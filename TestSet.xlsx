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3"/>
  </sheets>
  <definedNames>
    <definedName function="false" hidden="true" localSheetId="0" name="_xlnm._FilterDatabase" vbProcedure="false">Sheet3!$A$1:$AH$27</definedName>
    <definedName function="false" hidden="false" name="Break" vbProcedure="false">#REF!</definedName>
    <definedName function="false" hidden="false" name="star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<sst xmlns="http://schemas.openxmlformats.org/spreadsheetml/2006/main" count="126" uniqueCount="98">
  <si>
    <t xml:space="preserve">Change state</t>
  </si>
  <si>
    <t xml:space="preserve">Name</t>
  </si>
  <si>
    <t xml:space="preserve">Type</t>
  </si>
  <si>
    <t xml:space="preserve">Charges</t>
  </si>
  <si>
    <t xml:space="preserve">Column1</t>
  </si>
  <si>
    <t xml:space="preserve">Effect 1 Y</t>
  </si>
  <si>
    <t xml:space="preserve">Effect 1 Type</t>
  </si>
  <si>
    <t xml:space="preserve">Effect 1 Title</t>
  </si>
  <si>
    <t xml:space="preserve">Effect 1</t>
  </si>
  <si>
    <t xml:space="preserve">.</t>
  </si>
  <si>
    <t xml:space="preserve">Effect 2 Y</t>
  </si>
  <si>
    <t xml:space="preserve">Effect 2 Type</t>
  </si>
  <si>
    <t xml:space="preserve">Effect 2 Title</t>
  </si>
  <si>
    <t xml:space="preserve">Effect 2</t>
  </si>
  <si>
    <t xml:space="preserve">.2</t>
  </si>
  <si>
    <t xml:space="preserve">Effect 3 Y</t>
  </si>
  <si>
    <t xml:space="preserve">Effect 3 Type</t>
  </si>
  <si>
    <t xml:space="preserve">Effect 3 Title</t>
  </si>
  <si>
    <t xml:space="preserve">Effect 3</t>
  </si>
  <si>
    <t xml:space="preserve">.3</t>
  </si>
  <si>
    <t xml:space="preserve">Ypos</t>
  </si>
  <si>
    <t xml:space="preserve">Linewidth</t>
  </si>
  <si>
    <t xml:space="preserve">Ability Offset</t>
  </si>
  <si>
    <t xml:space="preserve">Border Offset</t>
  </si>
  <si>
    <t xml:space="preserve">Title Offset</t>
  </si>
  <si>
    <t xml:space="preserve">E1TY</t>
  </si>
  <si>
    <t xml:space="preserve">E1BY</t>
  </si>
  <si>
    <t xml:space="preserve">E1Y</t>
  </si>
  <si>
    <t xml:space="preserve">E2TY</t>
  </si>
  <si>
    <t xml:space="preserve">E2BY</t>
  </si>
  <si>
    <t xml:space="preserve">E2Y</t>
  </si>
  <si>
    <t xml:space="preserve">E3TY</t>
  </si>
  <si>
    <t xml:space="preserve">E3BY</t>
  </si>
  <si>
    <t xml:space="preserve">E3Y</t>
  </si>
  <si>
    <t xml:space="preserve">Ancient One</t>
  </si>
  <si>
    <t xml:space="preserve">Form</t>
  </si>
  <si>
    <t xml:space="preserve">Active</t>
  </si>
  <si>
    <t xml:space="preserve">&lt;b&gt;&lt;i&gt;Clear Mind&lt;/i&gt;&lt;/b&gt;</t>
  </si>
  <si>
    <t xml:space="preserve">At the start of your turn, flip an impression face up</t>
  </si>
  <si>
    <t xml:space="preserve">Passive</t>
  </si>
  <si>
    <t xml:space="preserve">&lt;b&gt;&lt;i&gt;Thief of thought&lt;/i&gt;&lt;/b&gt;</t>
  </si>
  <si>
    <t xml:space="preserve">Turn one of your impressions face down to stun target being</t>
  </si>
  <si>
    <t xml:space="preserve">Giant</t>
  </si>
  <si>
    <t xml:space="preserve">Shape = Hex1b</t>
  </si>
  <si>
    <t xml:space="preserve">&lt;b&gt;&lt;i&gt;Behemoth&lt;/i&gt;&lt;/b&gt;</t>
  </si>
  <si>
    <t xml:space="preserve">You can't be be forced to move against your will.</t>
  </si>
  <si>
    <t xml:space="preserve">&lt;b&gt;&lt;i&gt;Massive Limbs&lt;/i&gt;&lt;/b&gt;</t>
  </si>
  <si>
    <t xml:space="preserve">Attacks that cost more than 2 AP cost 1 less and have &lt;b&gt;Reach&lt;/b&gt;.</t>
  </si>
  <si>
    <t xml:space="preserve">&lt;b&gt;&lt;i&gt;Hefty&lt;/i&gt;&lt;/b&gt;</t>
  </si>
  <si>
    <t xml:space="preserve">After emergence, gain +1 Heft.</t>
  </si>
  <si>
    <t xml:space="preserve">Overlord</t>
  </si>
  <si>
    <t xml:space="preserve">&lt;b&gt;Coerce:&lt;/b&gt; &lt;b&gt;Exhaust&lt;/b&gt; or WeirdT</t>
  </si>
  <si>
    <t xml:space="preserve">Give an ally 1 AP.</t>
  </si>
  <si>
    <t xml:space="preserve">&lt;b&gt;Command:&lt;/b&gt; 1 AP or WeirdT</t>
  </si>
  <si>
    <t xml:space="preserve">Target creature moves one tile under your control.</t>
  </si>
  <si>
    <t xml:space="preserve">Whenever you land a killing blow (including death by command), restore all wounds to one stat of your choice.</t>
  </si>
  <si>
    <t xml:space="preserve">Hardy</t>
  </si>
  <si>
    <t xml:space="preserve">Impression</t>
  </si>
  <si>
    <t xml:space="preserve">&lt;b&gt;&lt;i&gt;Passive&lt;/i&gt;&lt;/b&gt;</t>
  </si>
  <si>
    <t xml:space="preserve">You can't be affected by the &lt;b&gt;Targeted Strike&lt;/b&gt; Critical effect.</t>
  </si>
  <si>
    <t xml:space="preserve">I'm Normal</t>
  </si>
  <si>
    <t xml:space="preserve">chargeBigchargeBig</t>
  </si>
  <si>
    <t xml:space="preserve">&lt;b&gt;&lt;i&gt;Normality&lt;/i&gt;&lt;/b&gt;</t>
  </si>
  <si>
    <t xml:space="preserve">Replace your  &lt;span style="color:#3366cc"&gt;&lt;strong&gt;Weird&lt;/strong&gt;&lt;/span&gt; with &lt;span style="color:#d964d4"&gt;&lt;strong&gt;Normal&lt;/strong&gt;&lt;/span&gt;. You cannot spend weirdt any more.</t>
  </si>
  <si>
    <t xml:space="preserve">&lt;b&gt;What?:&lt;/b&gt; 1 &lt;span style="color:#d964d4"&gt;&lt;strong&gt;Normal&lt;/strong&gt;&lt;/span&gt;</t>
  </si>
  <si>
    <t xml:space="preserve">Ignore the effects of an ability with weirdt in its cost (even if no weirdT was spent).</t>
  </si>
  <si>
    <t xml:space="preserve">&lt;b&gt;Cup of Tea:&lt;/b&gt; 1 AP + 1 &lt;span style="color:#d964d4"&gt;&lt;strong&gt;Normal&lt;/strong&gt;&lt;/span&gt;</t>
  </si>
  <si>
    <t xml:space="preserve">Gain the &lt;b&gt;Well rested&lt;/b&gt; status effect.</t>
  </si>
  <si>
    <t xml:space="preserve">Tinkerer</t>
  </si>
  <si>
    <t xml:space="preserve">&lt;b&gt;Wreath:&lt;/b&gt; 1 AP + weirdT</t>
  </si>
  <si>
    <t xml:space="preserve">Wreath target limb in shards. The next time this limb hits with an attack, that attack deals +2 damage</t>
  </si>
  <si>
    <t xml:space="preserve">&lt;b&gt;&lt;i&gt;Enchanting&lt;/i&gt;&lt;/b&gt;</t>
  </si>
  <si>
    <t xml:space="preserve">Whenever you spend Weirdt, wreath one of your own limbs.</t>
  </si>
  <si>
    <t xml:space="preserve">Crystal of the Deep</t>
  </si>
  <si>
    <t xml:space="preserve">Limb</t>
  </si>
  <si>
    <t xml:space="preserve">chargeBig</t>
  </si>
  <si>
    <t xml:space="preserve">&lt;b&gt;Embed:&lt;/b&gt; weirdTweirdT or chargeT</t>
  </si>
  <si>
    <t xml:space="preserve">Place a 1 hex crystal on an adjacent hex. The crystal breaks if it takes damage.</t>
  </si>
  <si>
    <t xml:space="preserve">&lt;b&gt;&lt;i&gt;Radiance&lt;/b&gt;&lt;/i&gt;</t>
  </si>
  <si>
    <t xml:space="preserve">At the end of your turn, if there is at least one crystal on the map, choose one of the following status effects to gain:
&lt;br /&gt;&lt;b&gt;Monstrous, Well Rested, Imbued&lt;/b&gt;.</t>
  </si>
  <si>
    <t xml:space="preserve">Dolem Piston</t>
  </si>
  <si>
    <t xml:space="preserve">Attack</t>
  </si>
  <si>
    <t xml:space="preserve">&lt;b&gt;Smash:&lt;/b&gt; 2 AP + 3 Composure</t>
  </si>
  <si>
    <t xml:space="preserve">&lt;b&gt;Damage = 5, Close&lt;/b&gt;</t>
  </si>
  <si>
    <t xml:space="preserve">&lt;b&gt;Drive-Power:&lt;/b&gt; weirdt</t>
  </si>
  <si>
    <t xml:space="preserve">Add +1 damage and +1 range to attacks this turn. Use only once each turn.</t>
  </si>
  <si>
    <t xml:space="preserve">Fungal Miasma</t>
  </si>
  <si>
    <t xml:space="preserve">&lt;b&gt;Miasma:&lt;/b&gt; 2 AP + weirdT</t>
  </si>
  <si>
    <t xml:space="preserve">Create a 1 hex cloud at target empty hex.</t>
  </si>
  <si>
    <t xml:space="preserve">&lt;b&gt;&lt;i&gt;Growing Cloud&lt;/i&gt;&lt;/b&gt;</t>
  </si>
  <si>
    <t xml:space="preserve">At the start of your turn, each cloud grows by one hex in all direction</t>
  </si>
  <si>
    <t xml:space="preserve">&lt;b&gt;&lt;i&gt;Toxic&lt;/b&gt;&lt;/i&gt;</t>
  </si>
  <si>
    <t xml:space="preserve">Whenever you spend weirdT, all beings inside a cloud take 4 damage. This damage cannot be reduced.</t>
  </si>
  <si>
    <t xml:space="preserve">Quartz Seed</t>
  </si>
  <si>
    <t xml:space="preserve">chargebig  chargebig</t>
  </si>
  <si>
    <t xml:space="preserve">&lt;b&gt;Sprout Spire:&lt;/b&gt; 2 AP + (weirdt or charget)</t>
  </si>
  <si>
    <t xml:space="preserve">Place a &lt;b&gt;crystal spire&lt;/b&gt; on an adjacent hex, it has a two hex radius aura, blocks line of sight, and is &lt;b&gt;destructible&lt;/b&gt;.
&lt;br /&gt;Whiskey_Xplo</t>
  </si>
  <si>
    <t xml:space="preserve">Other beings that start their turn inside a &lt;b&gt;crystal spire&lt;/b&gt; aura or enter it take 3 damage.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</si>
</sst>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C7DC"/>
        <bgColor rgb="FFB4C6E7"/>
      </patternFill>
    </fill>
    <fill>
      <patternFill patternType="solid">
        <fgColor rgb="FF808080"/>
        <bgColor rgb="FF969696"/>
      </patternFill>
    </fill>
    <fill>
      <patternFill patternType="solid">
        <fgColor rgb="FFEEEEEE"/>
        <bgColor rgb="FFCCFFFF"/>
      </patternFill>
    </fill>
    <fill>
      <patternFill patternType="solid">
        <fgColor rgb="FFFFFFA6"/>
        <bgColor rgb="FFFFE699"/>
      </patternFill>
    </fill>
    <fill>
      <patternFill patternType="solid">
        <fgColor theme="9" tint="0.3997"/>
        <bgColor rgb="FFC6E0B4"/>
      </patternFill>
    </fill>
    <fill>
      <patternFill patternType="solid">
        <fgColor rgb="FFFFA6A6"/>
        <bgColor rgb="FFF6B0DD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0" fillId="5" borderId="2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0" fillId="0" borderId="2" xfId="0" applyFont="fals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0" fillId="3" borderId="2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3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0" fillId="7" borderId="2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0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 readingOrder="1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4C7DC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A6A6"/>
          <bgColor rgb="FF000000"/>
        </patternFill>
      </fill>
    </dxf>
    <dxf>
      <fill>
        <patternFill patternType="solid">
          <fgColor rgb="FFFFFFA6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>
          <bgColor rgb="FFF6B0DD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B4C6E7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E699"/>
      <rgbColor rgb="FFCCFFFF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A6"/>
      <rgbColor rgb="FF99CCFF"/>
      <rgbColor rgb="FFFFA6A6"/>
      <rgbColor rgb="FFF6B0DD"/>
      <rgbColor rgb="FFF8CBAD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6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L3" activeCellId="0" sqref="L3"/>
    </sheetView>
  </sheetViews>
  <sheetFormatPr defaultColWidth="8.5703125" defaultRowHeight="15" customHeight="tru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0"/>
    <col collapsed="false" customWidth="true" hidden="false" outlineLevel="0" max="4" min="4" style="0" width="17.14"/>
    <col collapsed="false" customWidth="true" hidden="false" outlineLevel="0" max="5" min="5" style="0" width="1.42"/>
    <col collapsed="false" customWidth="true" hidden="false" outlineLevel="0" max="6" min="6" style="0" width="4.28"/>
    <col collapsed="false" customWidth="true" hidden="false" outlineLevel="0" max="7" min="7" style="0" width="8.28"/>
    <col collapsed="false" customWidth="true" hidden="false" outlineLevel="0" max="8" min="8" style="0" width="33"/>
    <col collapsed="false" customWidth="true" hidden="false" outlineLevel="0" max="9" min="9" style="0" width="42.42"/>
    <col collapsed="false" customWidth="true" hidden="false" outlineLevel="0" max="10" min="10" style="0" width="1.42"/>
    <col collapsed="false" customWidth="true" hidden="false" outlineLevel="0" max="11" min="11" style="0" width="6.85"/>
    <col collapsed="false" customWidth="true" hidden="false" outlineLevel="0" max="12" min="12" style="0" width="14.85"/>
    <col collapsed="false" customWidth="true" hidden="false" outlineLevel="0" max="13" min="13" style="0" width="31.72"/>
    <col collapsed="false" customWidth="true" hidden="false" outlineLevel="0" max="14" min="14" style="1" width="37.85"/>
    <col collapsed="false" customWidth="true" hidden="false" outlineLevel="0" max="15" min="15" style="0" width="1.42"/>
    <col collapsed="false" customWidth="true" hidden="false" outlineLevel="0" max="16" min="16" style="0" width="6.57"/>
    <col collapsed="false" customWidth="true" hidden="false" outlineLevel="0" max="17" min="17" style="0" width="8.42"/>
    <col collapsed="false" customWidth="true" hidden="false" outlineLevel="0" max="18" min="18" style="0" width="25.57"/>
    <col collapsed="false" customWidth="true" hidden="false" outlineLevel="0" max="19" min="19" style="0" width="35.14"/>
    <col collapsed="false" customWidth="true" hidden="false" outlineLevel="0" max="20" min="20" style="0" width="1.42"/>
    <col collapsed="false" customWidth="true" hidden="false" outlineLevel="0" max="21" min="21" style="0" width="10"/>
    <col collapsed="false" customWidth="true" hidden="false" outlineLevel="0" max="22" min="22" style="0" width="38"/>
    <col collapsed="false" customWidth="true" hidden="false" outlineLevel="0" max="32" min="25" style="0" width="10.57"/>
  </cols>
  <sheetData>
    <row r="1" customFormat="false" ht="35.25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5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6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5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 customFormat="false" ht="69.75" hidden="false" customHeight="true" outlineLevel="0" collapsed="false">
      <c r="A2" s="0" t="n">
        <v>1</v>
      </c>
      <c r="B2" s="7" t="s">
        <v>34</v>
      </c>
      <c r="C2" s="8" t="s">
        <v>35</v>
      </c>
      <c r="D2" s="9"/>
      <c r="E2" s="10"/>
      <c r="F2" s="9" t="n">
        <v>1</v>
      </c>
      <c r="G2" s="11" t="s">
        <v>36</v>
      </c>
      <c r="H2" s="11" t="s">
        <v>37</v>
      </c>
      <c r="I2" s="11" t="s">
        <v>38</v>
      </c>
      <c r="J2" s="10"/>
      <c r="K2" s="9" t="n">
        <v>4</v>
      </c>
      <c r="L2" s="11" t="s">
        <v>39</v>
      </c>
      <c r="M2" s="11" t="s">
        <v>40</v>
      </c>
      <c r="N2" s="9" t="s">
        <v>41</v>
      </c>
      <c r="O2" s="12"/>
      <c r="P2" s="9"/>
      <c r="Q2" s="9"/>
      <c r="R2" s="11"/>
      <c r="S2" s="9"/>
      <c r="T2" s="10"/>
      <c r="U2" s="9" t="n">
        <v>26</v>
      </c>
      <c r="V2" s="9" t="n">
        <v>4.4</v>
      </c>
      <c r="W2" s="9" t="n">
        <v>3</v>
      </c>
      <c r="X2" s="9" t="n">
        <v>-1.1</v>
      </c>
      <c r="Y2" s="9" t="n">
        <v>-6</v>
      </c>
      <c r="Z2" s="9" t="n">
        <f aca="false">AB2+Y$2</f>
        <v>20</v>
      </c>
      <c r="AA2" s="9" t="n">
        <f aca="false">Z2+X$2</f>
        <v>18.9</v>
      </c>
      <c r="AB2" s="9" t="n">
        <f aca="false">U$2+V$2*(F2-1)</f>
        <v>26</v>
      </c>
      <c r="AC2" s="9" t="n">
        <f aca="false">AE2+Y$2</f>
        <v>36.2</v>
      </c>
      <c r="AD2" s="9" t="n">
        <f aca="false">AC2+X$2</f>
        <v>35.1</v>
      </c>
      <c r="AE2" s="9" t="n">
        <f aca="false">U$2+V$2*(K2-1)+W$2</f>
        <v>42.2</v>
      </c>
      <c r="AF2" s="9" t="n">
        <f aca="false">AH2+Y$2</f>
        <v>21.6</v>
      </c>
      <c r="AG2" s="9" t="n">
        <f aca="false">AF2+X$2</f>
        <v>20.5</v>
      </c>
      <c r="AH2" s="11" t="n">
        <f aca="false">U$2+V$2*(P2-1)+2*W$2</f>
        <v>27.6</v>
      </c>
    </row>
    <row r="3" customFormat="false" ht="22.85" hidden="false" customHeight="false" outlineLevel="0" collapsed="false">
      <c r="A3" s="0" t="n">
        <v>1</v>
      </c>
      <c r="B3" s="7" t="s">
        <v>42</v>
      </c>
      <c r="C3" s="8" t="s">
        <v>35</v>
      </c>
      <c r="D3" s="9" t="s">
        <v>43</v>
      </c>
      <c r="E3" s="10"/>
      <c r="F3" s="9" t="n">
        <v>1</v>
      </c>
      <c r="G3" s="11" t="s">
        <v>36</v>
      </c>
      <c r="H3" s="11" t="s">
        <v>44</v>
      </c>
      <c r="I3" s="11" t="s">
        <v>45</v>
      </c>
      <c r="J3" s="10"/>
      <c r="K3" s="9" t="n">
        <v>5</v>
      </c>
      <c r="L3" s="11" t="s">
        <v>36</v>
      </c>
      <c r="M3" s="11" t="s">
        <v>46</v>
      </c>
      <c r="N3" s="9" t="s">
        <v>47</v>
      </c>
      <c r="O3" s="12"/>
      <c r="P3" s="9" t="n">
        <v>9</v>
      </c>
      <c r="Q3" s="9" t="s">
        <v>36</v>
      </c>
      <c r="R3" s="11" t="s">
        <v>48</v>
      </c>
      <c r="S3" s="9" t="s">
        <v>49</v>
      </c>
      <c r="T3" s="10"/>
      <c r="U3" s="9"/>
      <c r="V3" s="13"/>
      <c r="W3" s="9"/>
      <c r="X3" s="9"/>
      <c r="Y3" s="9"/>
      <c r="Z3" s="9" t="n">
        <f aca="false">AB3+Y$2</f>
        <v>20</v>
      </c>
      <c r="AA3" s="9" t="n">
        <f aca="false">Z3+X$2</f>
        <v>18.9</v>
      </c>
      <c r="AB3" s="9" t="n">
        <f aca="false">U$2+V$2*(F3-1)</f>
        <v>26</v>
      </c>
      <c r="AC3" s="9" t="n">
        <f aca="false">AE3+Y$2</f>
        <v>40.6</v>
      </c>
      <c r="AD3" s="9" t="n">
        <f aca="false">AC3+X$2</f>
        <v>39.5</v>
      </c>
      <c r="AE3" s="9" t="n">
        <f aca="false">U$2+V$2*(K3-1)+W$2</f>
        <v>46.6</v>
      </c>
      <c r="AF3" s="9" t="n">
        <f aca="false">AH3+Y$2</f>
        <v>61.2</v>
      </c>
      <c r="AG3" s="9" t="n">
        <f aca="false">AF3+X$2</f>
        <v>60.1</v>
      </c>
      <c r="AH3" s="11" t="n">
        <f aca="false">U$2+V$2*(P3-1)+2*W$2</f>
        <v>67.2</v>
      </c>
    </row>
    <row r="4" customFormat="false" ht="33.7" hidden="false" customHeight="false" outlineLevel="0" collapsed="false">
      <c r="B4" s="7" t="s">
        <v>50</v>
      </c>
      <c r="C4" s="8" t="s">
        <v>35</v>
      </c>
      <c r="D4" s="9"/>
      <c r="E4" s="10"/>
      <c r="F4" s="9" t="n">
        <v>1</v>
      </c>
      <c r="G4" s="11" t="s">
        <v>36</v>
      </c>
      <c r="H4" s="11" t="s">
        <v>51</v>
      </c>
      <c r="I4" s="11" t="s">
        <v>52</v>
      </c>
      <c r="J4" s="10"/>
      <c r="K4" s="9" t="n">
        <v>3</v>
      </c>
      <c r="L4" s="11" t="s">
        <v>36</v>
      </c>
      <c r="M4" s="11" t="s">
        <v>53</v>
      </c>
      <c r="N4" s="9" t="s">
        <v>54</v>
      </c>
      <c r="O4" s="12"/>
      <c r="P4" s="9" t="n">
        <v>6</v>
      </c>
      <c r="Q4" s="9" t="s">
        <v>36</v>
      </c>
      <c r="R4" s="11"/>
      <c r="S4" s="9" t="s">
        <v>55</v>
      </c>
      <c r="T4" s="10"/>
      <c r="U4" s="9"/>
      <c r="V4" s="9"/>
      <c r="W4" s="9"/>
      <c r="X4" s="9"/>
      <c r="Y4" s="9"/>
      <c r="Z4" s="9" t="n">
        <f aca="false">AB4+Y$2</f>
        <v>20</v>
      </c>
      <c r="AA4" s="9" t="n">
        <f aca="false">Z4+X$2</f>
        <v>18.9</v>
      </c>
      <c r="AB4" s="9" t="n">
        <f aca="false">U$2+V$2*(F4-1)</f>
        <v>26</v>
      </c>
      <c r="AC4" s="9" t="n">
        <f aca="false">AE4+Y$2</f>
        <v>31.8</v>
      </c>
      <c r="AD4" s="9" t="n">
        <f aca="false">AC4+X$2</f>
        <v>30.7</v>
      </c>
      <c r="AE4" s="9" t="n">
        <f aca="false">U$2+V$2*(K4-1)+W$2</f>
        <v>37.8</v>
      </c>
      <c r="AF4" s="9" t="n">
        <f aca="false">AH4+Y$2</f>
        <v>48</v>
      </c>
      <c r="AG4" s="9" t="n">
        <f aca="false">AF4+X$2</f>
        <v>46.9</v>
      </c>
      <c r="AH4" s="11" t="n">
        <f aca="false">U$2+V$2*(P4-1)+2*W$2</f>
        <v>54</v>
      </c>
    </row>
    <row r="5" customFormat="false" ht="22.85" hidden="false" customHeight="false" outlineLevel="0" collapsed="false">
      <c r="B5" s="7" t="s">
        <v>56</v>
      </c>
      <c r="C5" s="14" t="s">
        <v>57</v>
      </c>
      <c r="D5" s="9"/>
      <c r="E5" s="10"/>
      <c r="F5" s="9" t="n">
        <v>1</v>
      </c>
      <c r="G5" s="11" t="s">
        <v>36</v>
      </c>
      <c r="H5" s="11" t="s">
        <v>58</v>
      </c>
      <c r="I5" s="11" t="s">
        <v>59</v>
      </c>
      <c r="J5" s="10"/>
      <c r="K5" s="9"/>
      <c r="L5" s="11"/>
      <c r="M5" s="11"/>
      <c r="N5" s="9"/>
      <c r="O5" s="12"/>
      <c r="P5" s="9"/>
      <c r="Q5" s="9"/>
      <c r="R5" s="11"/>
      <c r="S5" s="9"/>
      <c r="T5" s="10"/>
      <c r="U5" s="9"/>
      <c r="V5" s="9"/>
      <c r="W5" s="9"/>
      <c r="X5" s="9"/>
      <c r="Y5" s="9"/>
      <c r="Z5" s="9" t="n">
        <f aca="false">AB5+Y$2</f>
        <v>20</v>
      </c>
      <c r="AA5" s="9" t="n">
        <f aca="false">Z5+X$2</f>
        <v>18.9</v>
      </c>
      <c r="AB5" s="9" t="n">
        <f aca="false">U$2+V$2*(F5-1)</f>
        <v>26</v>
      </c>
      <c r="AC5" s="9" t="n">
        <f aca="false">AE5+Y$2</f>
        <v>18.6</v>
      </c>
      <c r="AD5" s="9" t="n">
        <f aca="false">AC5+X$2</f>
        <v>17.5</v>
      </c>
      <c r="AE5" s="9" t="n">
        <f aca="false">U$2+V$2*(K5-1)+W$2</f>
        <v>24.6</v>
      </c>
      <c r="AF5" s="9" t="n">
        <f aca="false">AH5+Y$2</f>
        <v>21.6</v>
      </c>
      <c r="AG5" s="9" t="n">
        <f aca="false">AF5+X$2</f>
        <v>20.5</v>
      </c>
      <c r="AH5" s="11" t="n">
        <f aca="false">U$2+V$2*(P5-1)+2*W$2</f>
        <v>27.6</v>
      </c>
    </row>
    <row r="6" customFormat="false" ht="55.4" hidden="false" customHeight="false" outlineLevel="0" collapsed="false">
      <c r="B6" s="7" t="s">
        <v>60</v>
      </c>
      <c r="C6" s="14" t="s">
        <v>57</v>
      </c>
      <c r="D6" s="9" t="s">
        <v>61</v>
      </c>
      <c r="E6" s="10"/>
      <c r="F6" s="9" t="n">
        <v>1</v>
      </c>
      <c r="G6" s="11" t="s">
        <v>36</v>
      </c>
      <c r="H6" s="11" t="s">
        <v>62</v>
      </c>
      <c r="I6" s="11" t="s">
        <v>63</v>
      </c>
      <c r="J6" s="10"/>
      <c r="K6" s="9" t="n">
        <v>5</v>
      </c>
      <c r="L6" s="11" t="s">
        <v>36</v>
      </c>
      <c r="M6" s="11" t="s">
        <v>64</v>
      </c>
      <c r="N6" s="9" t="s">
        <v>65</v>
      </c>
      <c r="O6" s="12"/>
      <c r="P6" s="9" t="n">
        <v>8</v>
      </c>
      <c r="Q6" s="9" t="s">
        <v>36</v>
      </c>
      <c r="R6" s="11" t="s">
        <v>66</v>
      </c>
      <c r="S6" s="9" t="s">
        <v>67</v>
      </c>
      <c r="T6" s="10"/>
      <c r="U6" s="9"/>
      <c r="V6" s="9"/>
      <c r="W6" s="9"/>
      <c r="X6" s="9"/>
      <c r="Y6" s="9"/>
      <c r="Z6" s="9" t="n">
        <f aca="false">AB6+Y$2</f>
        <v>20</v>
      </c>
      <c r="AA6" s="9" t="n">
        <f aca="false">Z6+X$2</f>
        <v>18.9</v>
      </c>
      <c r="AB6" s="9" t="n">
        <f aca="false">U$2+V$2*(F6-1)</f>
        <v>26</v>
      </c>
      <c r="AC6" s="9" t="n">
        <f aca="false">AE6+Y$2</f>
        <v>40.6</v>
      </c>
      <c r="AD6" s="9" t="n">
        <f aca="false">AC6+X$2</f>
        <v>39.5</v>
      </c>
      <c r="AE6" s="9" t="n">
        <f aca="false">U$2+V$2*(K6-1)+W$2</f>
        <v>46.6</v>
      </c>
      <c r="AF6" s="9" t="n">
        <f aca="false">AH6+Y$2</f>
        <v>56.8</v>
      </c>
      <c r="AG6" s="9" t="n">
        <f aca="false">AF6+X$2</f>
        <v>55.7</v>
      </c>
      <c r="AH6" s="11" t="n">
        <f aca="false">U$2+V$2*(P6-1)+2*W$2</f>
        <v>62.8</v>
      </c>
    </row>
    <row r="7" customFormat="false" ht="22.85" hidden="false" customHeight="false" outlineLevel="0" collapsed="false">
      <c r="A7" s="0" t="n">
        <v>1</v>
      </c>
      <c r="B7" s="7" t="s">
        <v>68</v>
      </c>
      <c r="C7" s="14" t="s">
        <v>57</v>
      </c>
      <c r="D7" s="9"/>
      <c r="E7" s="10"/>
      <c r="F7" s="9" t="n">
        <v>1</v>
      </c>
      <c r="G7" s="11" t="s">
        <v>36</v>
      </c>
      <c r="H7" s="11" t="s">
        <v>69</v>
      </c>
      <c r="I7" s="11" t="s">
        <v>70</v>
      </c>
      <c r="J7" s="10"/>
      <c r="K7" s="9" t="n">
        <v>5</v>
      </c>
      <c r="L7" s="11" t="s">
        <v>36</v>
      </c>
      <c r="M7" s="11" t="s">
        <v>71</v>
      </c>
      <c r="N7" s="9" t="s">
        <v>72</v>
      </c>
      <c r="O7" s="12"/>
      <c r="P7" s="9"/>
      <c r="Q7" s="9"/>
      <c r="R7" s="11"/>
      <c r="S7" s="9"/>
      <c r="T7" s="10"/>
      <c r="U7" s="9"/>
      <c r="V7" s="9"/>
      <c r="W7" s="9"/>
      <c r="X7" s="9"/>
      <c r="Y7" s="9"/>
      <c r="Z7" s="9" t="n">
        <f aca="false">AB7+Y$2</f>
        <v>20</v>
      </c>
      <c r="AA7" s="9" t="n">
        <f aca="false">Z7+X$2</f>
        <v>18.9</v>
      </c>
      <c r="AB7" s="9" t="n">
        <f aca="false">U$2+V$2*(F7-1)</f>
        <v>26</v>
      </c>
      <c r="AC7" s="9" t="n">
        <f aca="false">AE7+Y$2</f>
        <v>40.6</v>
      </c>
      <c r="AD7" s="9" t="n">
        <f aca="false">AC7+X$2</f>
        <v>39.5</v>
      </c>
      <c r="AE7" s="9" t="n">
        <f aca="false">U$2+V$2*(K7-1)+W$2</f>
        <v>46.6</v>
      </c>
      <c r="AF7" s="9" t="n">
        <f aca="false">AH7+Y$2</f>
        <v>21.6</v>
      </c>
      <c r="AG7" s="9" t="n">
        <f aca="false">AF7+X$2</f>
        <v>20.5</v>
      </c>
      <c r="AH7" s="11" t="n">
        <f aca="false">U$2+V$2*(P7-1)+2*W$2</f>
        <v>27.6</v>
      </c>
    </row>
    <row r="8" customFormat="false" ht="44.55" hidden="false" customHeight="false" outlineLevel="0" collapsed="false">
      <c r="A8" s="0" t="n">
        <v>1</v>
      </c>
      <c r="B8" s="7" t="s">
        <v>73</v>
      </c>
      <c r="C8" s="15" t="s">
        <v>74</v>
      </c>
      <c r="D8" s="9" t="s">
        <v>75</v>
      </c>
      <c r="E8" s="10"/>
      <c r="F8" s="9" t="n">
        <v>1</v>
      </c>
      <c r="G8" s="11" t="s">
        <v>36</v>
      </c>
      <c r="H8" s="11" t="s">
        <v>76</v>
      </c>
      <c r="I8" s="11" t="s">
        <v>77</v>
      </c>
      <c r="J8" s="10"/>
      <c r="K8" s="11" t="n">
        <v>5</v>
      </c>
      <c r="L8" s="11" t="s">
        <v>36</v>
      </c>
      <c r="M8" s="9" t="s">
        <v>78</v>
      </c>
      <c r="N8" s="9" t="s">
        <v>79</v>
      </c>
      <c r="O8" s="12"/>
      <c r="P8" s="9"/>
      <c r="Q8" s="9"/>
      <c r="R8" s="9"/>
      <c r="S8" s="9"/>
      <c r="T8" s="10"/>
      <c r="U8" s="9"/>
      <c r="V8" s="9"/>
      <c r="W8" s="9"/>
      <c r="X8" s="9"/>
      <c r="Y8" s="9"/>
      <c r="Z8" s="9" t="n">
        <f aca="false">AB8+Y$2</f>
        <v>20</v>
      </c>
      <c r="AA8" s="9" t="n">
        <f aca="false">Z8+X$2</f>
        <v>18.9</v>
      </c>
      <c r="AB8" s="9" t="n">
        <f aca="false">U$2+V$2*(F8-1)</f>
        <v>26</v>
      </c>
      <c r="AC8" s="9" t="n">
        <f aca="false">AE8+Y$2</f>
        <v>40.6</v>
      </c>
      <c r="AD8" s="9" t="n">
        <f aca="false">AC8+X$2</f>
        <v>39.5</v>
      </c>
      <c r="AE8" s="9" t="n">
        <f aca="false">U$2+V$2*(K8-1)+W$2</f>
        <v>46.6</v>
      </c>
      <c r="AF8" s="9" t="n">
        <f aca="false">AH8+Y$2</f>
        <v>21.6</v>
      </c>
      <c r="AG8" s="9" t="n">
        <f aca="false">AF8+X$2</f>
        <v>20.5</v>
      </c>
      <c r="AH8" s="11" t="n">
        <f aca="false">U$2+V$2*(P8-1)+2*W$2</f>
        <v>27.6</v>
      </c>
    </row>
    <row r="9" customFormat="false" ht="22.85" hidden="false" customHeight="false" outlineLevel="0" collapsed="false">
      <c r="B9" s="7" t="s">
        <v>80</v>
      </c>
      <c r="C9" s="15" t="s">
        <v>74</v>
      </c>
      <c r="D9" s="9"/>
      <c r="E9" s="10"/>
      <c r="F9" s="9" t="n">
        <v>1</v>
      </c>
      <c r="G9" s="11" t="s">
        <v>81</v>
      </c>
      <c r="H9" s="11" t="s">
        <v>82</v>
      </c>
      <c r="I9" s="11" t="s">
        <v>83</v>
      </c>
      <c r="J9" s="10"/>
      <c r="K9" s="9" t="n">
        <v>3</v>
      </c>
      <c r="L9" s="11" t="s">
        <v>36</v>
      </c>
      <c r="M9" s="9" t="s">
        <v>84</v>
      </c>
      <c r="N9" s="9" t="s">
        <v>85</v>
      </c>
      <c r="O9" s="12"/>
      <c r="P9" s="9"/>
      <c r="Q9" s="9"/>
      <c r="R9" s="9"/>
      <c r="S9" s="9"/>
      <c r="T9" s="10"/>
      <c r="U9" s="9"/>
      <c r="V9" s="9"/>
      <c r="W9" s="9"/>
      <c r="X9" s="9"/>
      <c r="Y9" s="9"/>
      <c r="Z9" s="9" t="n">
        <f aca="false">AB9+Y$2</f>
        <v>20</v>
      </c>
      <c r="AA9" s="9" t="n">
        <f aca="false">Z9+X$2</f>
        <v>18.9</v>
      </c>
      <c r="AB9" s="9" t="n">
        <f aca="false">U$2+V$2*(F9-1)</f>
        <v>26</v>
      </c>
      <c r="AC9" s="9" t="n">
        <f aca="false">AE9+Y$2</f>
        <v>31.8</v>
      </c>
      <c r="AD9" s="9" t="n">
        <f aca="false">AC9+X$2</f>
        <v>30.7</v>
      </c>
      <c r="AE9" s="9" t="n">
        <f aca="false">U$2+V$2*(K9-1)+W$2</f>
        <v>37.8</v>
      </c>
      <c r="AF9" s="9" t="n">
        <f aca="false">AH9+Y$2</f>
        <v>21.6</v>
      </c>
      <c r="AG9" s="9" t="n">
        <f aca="false">AF9+X$2</f>
        <v>20.5</v>
      </c>
      <c r="AH9" s="11" t="n">
        <f aca="false">U$2+V$2*(P9-1)+2*W$2</f>
        <v>27.6</v>
      </c>
    </row>
    <row r="10" customFormat="false" ht="33.7" hidden="false" customHeight="false" outlineLevel="0" collapsed="false">
      <c r="A10" s="0" t="n">
        <v>1</v>
      </c>
      <c r="B10" s="7" t="s">
        <v>86</v>
      </c>
      <c r="C10" s="15" t="s">
        <v>74</v>
      </c>
      <c r="D10" s="9"/>
      <c r="E10" s="10"/>
      <c r="F10" s="9" t="n">
        <v>1</v>
      </c>
      <c r="G10" s="11" t="s">
        <v>36</v>
      </c>
      <c r="H10" s="11" t="s">
        <v>87</v>
      </c>
      <c r="I10" s="11" t="s">
        <v>88</v>
      </c>
      <c r="J10" s="10"/>
      <c r="K10" s="9" t="n">
        <v>4</v>
      </c>
      <c r="L10" s="11" t="s">
        <v>36</v>
      </c>
      <c r="M10" s="9" t="s">
        <v>89</v>
      </c>
      <c r="N10" s="9" t="s">
        <v>90</v>
      </c>
      <c r="O10" s="12"/>
      <c r="P10" s="9" t="n">
        <v>8</v>
      </c>
      <c r="Q10" s="9" t="s">
        <v>36</v>
      </c>
      <c r="R10" s="9" t="s">
        <v>91</v>
      </c>
      <c r="S10" s="9" t="s">
        <v>92</v>
      </c>
      <c r="T10" s="10"/>
      <c r="U10" s="9"/>
      <c r="V10" s="9"/>
      <c r="W10" s="9"/>
      <c r="X10" s="9"/>
      <c r="Y10" s="9"/>
      <c r="Z10" s="9" t="n">
        <f aca="false">AB10+Y$2</f>
        <v>20</v>
      </c>
      <c r="AA10" s="9" t="n">
        <f aca="false">Z10+X$2</f>
        <v>18.9</v>
      </c>
      <c r="AB10" s="9" t="n">
        <f aca="false">U$2+V$2*(F10-1)</f>
        <v>26</v>
      </c>
      <c r="AC10" s="9" t="n">
        <f aca="false">AE10+Y$2</f>
        <v>36.2</v>
      </c>
      <c r="AD10" s="9" t="n">
        <f aca="false">AC10+X$2</f>
        <v>35.1</v>
      </c>
      <c r="AE10" s="9" t="n">
        <f aca="false">U$2+V$2*(K10-1)+W$2</f>
        <v>42.2</v>
      </c>
      <c r="AF10" s="9" t="n">
        <f aca="false">AH10+Y$2</f>
        <v>56.8</v>
      </c>
      <c r="AG10" s="9" t="n">
        <f aca="false">AF10+X$2</f>
        <v>55.7</v>
      </c>
      <c r="AH10" s="11" t="n">
        <f aca="false">U$2+V$2*(P10-1)+2*W$2</f>
        <v>62.8</v>
      </c>
    </row>
    <row r="11" customFormat="false" ht="44.55" hidden="false" customHeight="false" outlineLevel="0" collapsed="false">
      <c r="A11" s="0" t="n">
        <v>1</v>
      </c>
      <c r="B11" s="7" t="s">
        <v>93</v>
      </c>
      <c r="C11" s="16" t="s">
        <v>74</v>
      </c>
      <c r="D11" s="11" t="s">
        <v>94</v>
      </c>
      <c r="E11" s="10"/>
      <c r="F11" s="9" t="n">
        <v>1</v>
      </c>
      <c r="G11" s="11" t="s">
        <v>36</v>
      </c>
      <c r="H11" s="11" t="s">
        <v>95</v>
      </c>
      <c r="I11" s="11" t="s">
        <v>96</v>
      </c>
      <c r="J11" s="10"/>
      <c r="K11" s="9" t="n">
        <v>9</v>
      </c>
      <c r="L11" s="11" t="s">
        <v>36</v>
      </c>
      <c r="M11" s="9" t="s">
        <v>58</v>
      </c>
      <c r="N11" s="11" t="s">
        <v>97</v>
      </c>
      <c r="O11" s="12"/>
      <c r="P11" s="9"/>
      <c r="Q11" s="9"/>
      <c r="R11" s="9"/>
      <c r="S11" s="11"/>
      <c r="T11" s="10"/>
      <c r="U11" s="9"/>
      <c r="V11" s="9"/>
      <c r="W11" s="9"/>
      <c r="X11" s="9"/>
      <c r="Y11" s="9"/>
      <c r="Z11" s="9" t="n">
        <f aca="false">AB11+Y$2</f>
        <v>20</v>
      </c>
      <c r="AA11" s="9" t="n">
        <f aca="false">Z11+X$2</f>
        <v>18.9</v>
      </c>
      <c r="AB11" s="9" t="n">
        <f aca="false">U$2+V$2*(F11-1)</f>
        <v>26</v>
      </c>
      <c r="AC11" s="9" t="n">
        <f aca="false">AE11+Y$2</f>
        <v>58.2</v>
      </c>
      <c r="AD11" s="9" t="n">
        <f aca="false">AC11+X$2</f>
        <v>57.1</v>
      </c>
      <c r="AE11" s="9" t="n">
        <f aca="false">U$2+V$2*(K11-1)+W$2</f>
        <v>64.2</v>
      </c>
      <c r="AF11" s="9" t="n">
        <f aca="false">AH11+Y$2</f>
        <v>21.6</v>
      </c>
      <c r="AG11" s="9" t="n">
        <f aca="false">AF11+X$2</f>
        <v>20.5</v>
      </c>
      <c r="AH11" s="11" t="n">
        <f aca="false">U$2+V$2*(P11-1)+2*W$2</f>
        <v>27.6</v>
      </c>
    </row>
    <row r="12" customFormat="false" ht="15" hidden="false" customHeight="false" outlineLevel="0" collapsed="false">
      <c r="B12" s="17"/>
      <c r="C12" s="17"/>
      <c r="D12" s="17"/>
      <c r="E12" s="17"/>
      <c r="F12" s="17"/>
      <c r="G12" s="18"/>
      <c r="H12" s="18"/>
      <c r="I12" s="17"/>
      <c r="J12" s="17"/>
      <c r="K12" s="17"/>
      <c r="L12" s="18"/>
      <c r="M12" s="18"/>
      <c r="N12" s="19"/>
      <c r="O12" s="17"/>
      <c r="P12" s="17"/>
      <c r="Q12" s="18"/>
      <c r="R12" s="18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8"/>
    </row>
    <row r="13" customFormat="false" ht="15" hidden="false" customHeight="false" outlineLevel="0" collapsed="false">
      <c r="B13" s="17"/>
      <c r="C13" s="17"/>
      <c r="D13" s="17"/>
      <c r="E13" s="17"/>
      <c r="F13" s="17"/>
      <c r="G13" s="18"/>
      <c r="H13" s="18"/>
      <c r="I13" s="17"/>
      <c r="J13" s="17"/>
      <c r="K13" s="17"/>
      <c r="L13" s="18"/>
      <c r="M13" s="18"/>
      <c r="N13" s="19"/>
      <c r="O13" s="17"/>
      <c r="P13" s="17"/>
      <c r="Q13" s="18"/>
      <c r="R13" s="18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8"/>
    </row>
    <row r="14" customFormat="false" ht="15" hidden="false" customHeight="false" outlineLevel="0" collapsed="false">
      <c r="B14" s="17"/>
      <c r="C14" s="17"/>
      <c r="D14" s="17"/>
      <c r="E14" s="17"/>
      <c r="F14" s="17"/>
      <c r="G14" s="18"/>
      <c r="H14" s="18"/>
      <c r="I14" s="17"/>
      <c r="J14" s="17"/>
      <c r="K14" s="17"/>
      <c r="L14" s="18"/>
      <c r="M14" s="18"/>
      <c r="N14" s="19"/>
      <c r="O14" s="17"/>
      <c r="P14" s="17"/>
      <c r="Q14" s="18"/>
      <c r="R14" s="18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8"/>
    </row>
    <row r="15" customFormat="false" ht="15" hidden="false" customHeight="false" outlineLevel="0" collapsed="false">
      <c r="B15" s="17"/>
      <c r="C15" s="17"/>
      <c r="D15" s="17"/>
      <c r="E15" s="17"/>
      <c r="F15" s="17"/>
      <c r="G15" s="18"/>
      <c r="H15" s="18"/>
      <c r="I15" s="17"/>
      <c r="J15" s="17"/>
      <c r="K15" s="17"/>
      <c r="L15" s="18"/>
      <c r="M15" s="18"/>
      <c r="N15" s="19"/>
      <c r="O15" s="17"/>
      <c r="P15" s="17"/>
      <c r="Q15" s="18"/>
      <c r="R15" s="18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8"/>
    </row>
    <row r="16" customFormat="false" ht="15" hidden="false" customHeight="false" outlineLevel="0" collapsed="false">
      <c r="B16" s="17"/>
      <c r="C16" s="17"/>
      <c r="D16" s="17"/>
      <c r="E16" s="17"/>
      <c r="F16" s="17"/>
      <c r="G16" s="18"/>
      <c r="H16" s="18"/>
      <c r="I16" s="17"/>
      <c r="J16" s="17"/>
      <c r="K16" s="17"/>
      <c r="L16" s="18"/>
      <c r="M16" s="18"/>
      <c r="N16" s="19"/>
      <c r="O16" s="17"/>
      <c r="P16" s="17"/>
      <c r="Q16" s="18"/>
      <c r="R16" s="18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8"/>
    </row>
    <row r="17" customFormat="false" ht="15" hidden="false" customHeight="false" outlineLevel="0" collapsed="false">
      <c r="B17" s="17"/>
      <c r="C17" s="17"/>
      <c r="D17" s="17"/>
      <c r="E17" s="17"/>
      <c r="F17" s="17"/>
      <c r="G17" s="18"/>
      <c r="H17" s="18"/>
      <c r="I17" s="17"/>
      <c r="J17" s="17"/>
      <c r="K17" s="17"/>
      <c r="L17" s="18"/>
      <c r="M17" s="18"/>
      <c r="N17" s="19"/>
      <c r="O17" s="17"/>
      <c r="P17" s="17"/>
      <c r="Q17" s="18"/>
      <c r="R17" s="18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8"/>
    </row>
    <row r="18" customFormat="false" ht="15" hidden="false" customHeight="false" outlineLevel="0" collapsed="false">
      <c r="B18" s="17"/>
      <c r="C18" s="17"/>
      <c r="D18" s="17"/>
      <c r="E18" s="17"/>
      <c r="F18" s="17"/>
      <c r="G18" s="18"/>
      <c r="H18" s="18"/>
      <c r="I18" s="17"/>
      <c r="J18" s="17"/>
      <c r="K18" s="17"/>
      <c r="L18" s="18"/>
      <c r="M18" s="18"/>
      <c r="N18" s="19"/>
      <c r="O18" s="17"/>
      <c r="P18" s="17"/>
      <c r="Q18" s="18"/>
      <c r="R18" s="18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8"/>
    </row>
    <row r="19" customFormat="false" ht="15" hidden="false" customHeight="false" outlineLevel="0" collapsed="false">
      <c r="B19" s="17"/>
      <c r="C19" s="17"/>
      <c r="D19" s="17"/>
      <c r="E19" s="17"/>
      <c r="F19" s="17"/>
      <c r="G19" s="18"/>
      <c r="H19" s="18"/>
      <c r="I19" s="17"/>
      <c r="J19" s="17"/>
      <c r="K19" s="17"/>
      <c r="L19" s="18"/>
      <c r="M19" s="18"/>
      <c r="N19" s="19"/>
      <c r="O19" s="17"/>
      <c r="P19" s="17"/>
      <c r="Q19" s="18"/>
      <c r="R19" s="18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8"/>
    </row>
    <row r="20" customFormat="false" ht="15" hidden="false" customHeight="false" outlineLevel="0" collapsed="false">
      <c r="B20" s="17"/>
      <c r="C20" s="17"/>
      <c r="D20" s="17"/>
      <c r="E20" s="17"/>
      <c r="F20" s="17"/>
      <c r="G20" s="18"/>
      <c r="H20" s="18"/>
      <c r="I20" s="17"/>
      <c r="J20" s="17"/>
      <c r="K20" s="17"/>
      <c r="L20" s="18"/>
      <c r="M20" s="18"/>
      <c r="N20" s="19"/>
      <c r="O20" s="17"/>
      <c r="P20" s="17"/>
      <c r="Q20" s="18"/>
      <c r="R20" s="18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8"/>
    </row>
    <row r="21" customFormat="false" ht="15" hidden="false" customHeight="false" outlineLevel="0" collapsed="false">
      <c r="B21" s="17"/>
      <c r="C21" s="17"/>
      <c r="D21" s="17"/>
      <c r="E21" s="17"/>
      <c r="F21" s="17"/>
      <c r="G21" s="18"/>
      <c r="H21" s="18"/>
      <c r="I21" s="17"/>
      <c r="J21" s="17"/>
      <c r="K21" s="17"/>
      <c r="L21" s="18"/>
      <c r="M21" s="18"/>
      <c r="N21" s="19"/>
      <c r="O21" s="17"/>
      <c r="P21" s="17"/>
      <c r="Q21" s="18"/>
      <c r="R21" s="18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8"/>
    </row>
    <row r="22" customFormat="false" ht="15" hidden="false" customHeight="false" outlineLevel="0" collapsed="false">
      <c r="B22" s="17"/>
      <c r="C22" s="17"/>
      <c r="D22" s="17"/>
      <c r="E22" s="17"/>
      <c r="F22" s="17"/>
      <c r="G22" s="18"/>
      <c r="H22" s="18"/>
      <c r="I22" s="17"/>
      <c r="J22" s="17"/>
      <c r="K22" s="17"/>
      <c r="L22" s="18"/>
      <c r="M22" s="18"/>
      <c r="N22" s="19"/>
      <c r="O22" s="17"/>
      <c r="P22" s="17"/>
      <c r="Q22" s="18"/>
      <c r="R22" s="18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8"/>
    </row>
    <row r="23" customFormat="false" ht="15" hidden="false" customHeight="false" outlineLevel="0" collapsed="false">
      <c r="B23" s="17"/>
      <c r="C23" s="17"/>
      <c r="D23" s="17"/>
      <c r="E23" s="17"/>
      <c r="F23" s="17"/>
      <c r="G23" s="18"/>
      <c r="H23" s="18"/>
      <c r="I23" s="17"/>
      <c r="J23" s="17"/>
      <c r="K23" s="17"/>
      <c r="L23" s="18"/>
      <c r="M23" s="18"/>
      <c r="N23" s="19"/>
      <c r="O23" s="17"/>
      <c r="P23" s="17"/>
      <c r="Q23" s="18"/>
      <c r="R23" s="18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8"/>
    </row>
    <row r="24" customFormat="false" ht="15" hidden="false" customHeight="false" outlineLevel="0" collapsed="false">
      <c r="B24" s="17"/>
      <c r="C24" s="17"/>
      <c r="D24" s="17"/>
      <c r="E24" s="17"/>
      <c r="F24" s="17"/>
      <c r="G24" s="18"/>
      <c r="H24" s="18"/>
      <c r="I24" s="17"/>
      <c r="J24" s="17"/>
      <c r="K24" s="17"/>
      <c r="L24" s="18"/>
      <c r="M24" s="18"/>
      <c r="N24" s="19"/>
      <c r="O24" s="17"/>
      <c r="P24" s="17"/>
      <c r="Q24" s="18"/>
      <c r="R24" s="18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8"/>
    </row>
    <row r="25" customFormat="false" ht="15" hidden="false" customHeight="false" outlineLevel="0" collapsed="false">
      <c r="B25" s="17"/>
      <c r="C25" s="17"/>
      <c r="D25" s="17"/>
      <c r="E25" s="17"/>
      <c r="F25" s="17"/>
      <c r="G25" s="18"/>
      <c r="H25" s="18"/>
      <c r="I25" s="17"/>
      <c r="J25" s="17"/>
      <c r="K25" s="17"/>
      <c r="L25" s="18"/>
      <c r="M25" s="18"/>
      <c r="N25" s="19"/>
      <c r="O25" s="17"/>
      <c r="P25" s="17"/>
      <c r="Q25" s="18"/>
      <c r="R25" s="18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8"/>
    </row>
    <row r="26" customFormat="false" ht="15" hidden="false" customHeight="false" outlineLevel="0" collapsed="false">
      <c r="B26" s="17"/>
      <c r="C26" s="17"/>
      <c r="D26" s="17"/>
      <c r="E26" s="17"/>
      <c r="F26" s="17"/>
      <c r="G26" s="18"/>
      <c r="H26" s="18"/>
      <c r="I26" s="17"/>
      <c r="J26" s="17"/>
      <c r="K26" s="17"/>
      <c r="L26" s="18"/>
      <c r="M26" s="18"/>
      <c r="N26" s="19"/>
      <c r="O26" s="17"/>
      <c r="P26" s="17"/>
      <c r="Q26" s="18"/>
      <c r="R26" s="18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8"/>
    </row>
    <row r="27" customFormat="false" ht="15" hidden="false" customHeight="false" outlineLevel="0" collapsed="false">
      <c r="B27" s="17"/>
      <c r="C27" s="17"/>
      <c r="D27" s="17"/>
      <c r="E27" s="17"/>
      <c r="F27" s="17"/>
      <c r="G27" s="18"/>
      <c r="H27" s="18"/>
      <c r="I27" s="17"/>
      <c r="J27" s="17"/>
      <c r="K27" s="17"/>
      <c r="L27" s="18"/>
      <c r="M27" s="18"/>
      <c r="N27" s="19"/>
      <c r="O27" s="17"/>
      <c r="P27" s="17"/>
      <c r="Q27" s="18"/>
      <c r="R27" s="18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8"/>
    </row>
    <row r="28" customFormat="false" ht="15" hidden="false" customHeight="false" outlineLevel="0" collapsed="false">
      <c r="B28" s="17"/>
      <c r="C28" s="17"/>
      <c r="D28" s="17"/>
      <c r="E28" s="17"/>
      <c r="F28" s="17"/>
      <c r="G28" s="18"/>
      <c r="H28" s="18"/>
      <c r="I28" s="17"/>
      <c r="J28" s="17"/>
      <c r="K28" s="17"/>
      <c r="L28" s="18"/>
      <c r="M28" s="18"/>
      <c r="N28" s="19"/>
      <c r="O28" s="17"/>
      <c r="P28" s="17"/>
      <c r="Q28" s="18"/>
      <c r="R28" s="18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8"/>
    </row>
    <row r="29" customFormat="false" ht="15" hidden="false" customHeight="false" outlineLevel="0" collapsed="false">
      <c r="B29" s="17"/>
      <c r="C29" s="17"/>
      <c r="D29" s="17"/>
      <c r="E29" s="17"/>
      <c r="F29" s="17"/>
      <c r="G29" s="18"/>
      <c r="H29" s="18"/>
      <c r="I29" s="17"/>
      <c r="J29" s="17"/>
      <c r="K29" s="17"/>
      <c r="L29" s="18"/>
      <c r="M29" s="18"/>
      <c r="N29" s="19"/>
      <c r="O29" s="17"/>
      <c r="P29" s="17"/>
      <c r="Q29" s="18"/>
      <c r="R29" s="18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8"/>
    </row>
    <row r="30" customFormat="false" ht="15" hidden="false" customHeight="false" outlineLevel="0" collapsed="false">
      <c r="B30" s="17"/>
      <c r="C30" s="17"/>
      <c r="D30" s="17"/>
      <c r="E30" s="17"/>
      <c r="F30" s="17"/>
      <c r="G30" s="18"/>
      <c r="H30" s="18"/>
      <c r="I30" s="17"/>
      <c r="J30" s="17"/>
      <c r="K30" s="17"/>
      <c r="L30" s="18"/>
      <c r="M30" s="18"/>
      <c r="N30" s="19"/>
      <c r="O30" s="17"/>
      <c r="P30" s="17"/>
      <c r="Q30" s="18"/>
      <c r="R30" s="18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8"/>
    </row>
    <row r="31" customFormat="false" ht="15" hidden="false" customHeight="false" outlineLevel="0" collapsed="false">
      <c r="B31" s="17"/>
      <c r="C31" s="17"/>
      <c r="D31" s="17"/>
      <c r="E31" s="17"/>
      <c r="F31" s="17"/>
      <c r="G31" s="18"/>
      <c r="H31" s="18"/>
      <c r="I31" s="17"/>
      <c r="J31" s="17"/>
      <c r="K31" s="17"/>
      <c r="L31" s="18"/>
      <c r="M31" s="18"/>
      <c r="N31" s="19"/>
      <c r="O31" s="17"/>
      <c r="P31" s="17"/>
      <c r="Q31" s="18"/>
      <c r="R31" s="18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8"/>
    </row>
    <row r="32" customFormat="false" ht="15" hidden="false" customHeight="false" outlineLevel="0" collapsed="false">
      <c r="B32" s="17"/>
      <c r="C32" s="17"/>
      <c r="D32" s="17"/>
      <c r="E32" s="17"/>
      <c r="F32" s="17"/>
      <c r="G32" s="18"/>
      <c r="H32" s="18"/>
      <c r="I32" s="17"/>
      <c r="J32" s="17"/>
      <c r="K32" s="17"/>
      <c r="L32" s="18"/>
      <c r="M32" s="18"/>
      <c r="N32" s="19"/>
      <c r="O32" s="17"/>
      <c r="P32" s="17"/>
      <c r="Q32" s="18"/>
      <c r="R32" s="18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8"/>
    </row>
    <row r="33" customFormat="false" ht="15" hidden="false" customHeight="false" outlineLevel="0" collapsed="false">
      <c r="B33" s="17"/>
      <c r="C33" s="17"/>
      <c r="D33" s="17"/>
      <c r="E33" s="17"/>
      <c r="F33" s="17"/>
      <c r="G33" s="18"/>
      <c r="H33" s="18"/>
      <c r="I33" s="17"/>
      <c r="J33" s="17"/>
      <c r="K33" s="17"/>
      <c r="L33" s="18"/>
      <c r="M33" s="18"/>
      <c r="N33" s="19"/>
      <c r="O33" s="17"/>
      <c r="P33" s="17"/>
      <c r="Q33" s="18"/>
      <c r="R33" s="18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8"/>
    </row>
    <row r="34" customFormat="false" ht="15" hidden="false" customHeight="false" outlineLevel="0" collapsed="false">
      <c r="B34" s="17"/>
      <c r="C34" s="17"/>
      <c r="D34" s="17"/>
      <c r="E34" s="17"/>
      <c r="F34" s="17"/>
      <c r="G34" s="18"/>
      <c r="H34" s="18"/>
      <c r="I34" s="17"/>
      <c r="J34" s="17"/>
      <c r="K34" s="17"/>
      <c r="L34" s="18"/>
      <c r="M34" s="18"/>
      <c r="N34" s="19"/>
      <c r="O34" s="17"/>
      <c r="P34" s="17"/>
      <c r="Q34" s="18"/>
      <c r="R34" s="18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8"/>
    </row>
    <row r="35" customFormat="false" ht="15" hidden="false" customHeight="false" outlineLevel="0" collapsed="false">
      <c r="B35" s="17"/>
      <c r="C35" s="17"/>
      <c r="D35" s="17"/>
      <c r="E35" s="17"/>
      <c r="F35" s="17"/>
      <c r="G35" s="18"/>
      <c r="H35" s="18"/>
      <c r="I35" s="17"/>
      <c r="J35" s="17"/>
      <c r="K35" s="17"/>
      <c r="L35" s="18"/>
      <c r="M35" s="18"/>
      <c r="N35" s="19"/>
      <c r="O35" s="17"/>
      <c r="P35" s="17"/>
      <c r="Q35" s="18"/>
      <c r="R35" s="18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8"/>
    </row>
    <row r="36" customFormat="false" ht="15" hidden="false" customHeight="false" outlineLevel="0" collapsed="false">
      <c r="B36" s="17"/>
      <c r="C36" s="17"/>
      <c r="D36" s="17"/>
      <c r="E36" s="17"/>
      <c r="F36" s="17"/>
      <c r="G36" s="18"/>
      <c r="H36" s="18"/>
      <c r="I36" s="17"/>
      <c r="J36" s="17"/>
      <c r="K36" s="17"/>
      <c r="L36" s="18"/>
      <c r="M36" s="18"/>
      <c r="N36" s="19"/>
      <c r="O36" s="17"/>
      <c r="P36" s="17"/>
      <c r="Q36" s="18"/>
      <c r="R36" s="18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</row>
    <row r="37" customFormat="false" ht="15" hidden="false" customHeight="false" outlineLevel="0" collapsed="false">
      <c r="B37" s="17"/>
      <c r="C37" s="17"/>
      <c r="D37" s="17"/>
      <c r="E37" s="17"/>
      <c r="F37" s="17"/>
      <c r="G37" s="18"/>
      <c r="H37" s="18"/>
      <c r="I37" s="17"/>
      <c r="J37" s="17"/>
      <c r="K37" s="17"/>
      <c r="L37" s="18"/>
      <c r="M37" s="18"/>
      <c r="N37" s="19"/>
      <c r="O37" s="17"/>
      <c r="P37" s="17"/>
      <c r="Q37" s="18"/>
      <c r="R37" s="18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8"/>
    </row>
    <row r="38" customFormat="false" ht="15" hidden="false" customHeight="false" outlineLevel="0" collapsed="false">
      <c r="B38" s="17"/>
      <c r="C38" s="17"/>
      <c r="D38" s="17"/>
      <c r="E38" s="17"/>
      <c r="F38" s="17"/>
      <c r="G38" s="18"/>
      <c r="H38" s="18"/>
      <c r="I38" s="17"/>
      <c r="J38" s="17"/>
      <c r="K38" s="17"/>
      <c r="L38" s="18"/>
      <c r="M38" s="18"/>
      <c r="N38" s="19"/>
      <c r="O38" s="17"/>
      <c r="P38" s="17"/>
      <c r="Q38" s="18"/>
      <c r="R38" s="18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</row>
    <row r="39" customFormat="false" ht="15" hidden="false" customHeight="false" outlineLevel="0" collapsed="false">
      <c r="B39" s="17"/>
      <c r="C39" s="17"/>
      <c r="D39" s="17"/>
      <c r="E39" s="17"/>
      <c r="F39" s="17"/>
      <c r="G39" s="18"/>
      <c r="H39" s="18"/>
      <c r="I39" s="17"/>
      <c r="J39" s="17"/>
      <c r="K39" s="17"/>
      <c r="L39" s="18"/>
      <c r="M39" s="18"/>
      <c r="N39" s="19"/>
      <c r="O39" s="17"/>
      <c r="P39" s="17"/>
      <c r="Q39" s="18"/>
      <c r="R39" s="18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8"/>
    </row>
    <row r="40" customFormat="false" ht="15" hidden="false" customHeight="false" outlineLevel="0" collapsed="false">
      <c r="B40" s="17"/>
      <c r="C40" s="17"/>
      <c r="D40" s="17"/>
      <c r="E40" s="17"/>
      <c r="F40" s="17"/>
      <c r="G40" s="18"/>
      <c r="H40" s="18"/>
      <c r="I40" s="17"/>
      <c r="J40" s="17"/>
      <c r="K40" s="17"/>
      <c r="L40" s="18"/>
      <c r="M40" s="18"/>
      <c r="N40" s="19"/>
      <c r="O40" s="17"/>
      <c r="P40" s="17"/>
      <c r="Q40" s="18"/>
      <c r="R40" s="18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</row>
    <row r="41" customFormat="false" ht="15" hidden="false" customHeight="false" outlineLevel="0" collapsed="false">
      <c r="B41" s="17"/>
      <c r="C41" s="17"/>
      <c r="D41" s="17"/>
      <c r="E41" s="17"/>
      <c r="F41" s="17"/>
      <c r="G41" s="18"/>
      <c r="H41" s="18"/>
      <c r="I41" s="17"/>
      <c r="J41" s="17"/>
      <c r="K41" s="17"/>
      <c r="L41" s="18"/>
      <c r="M41" s="18"/>
      <c r="N41" s="19"/>
      <c r="O41" s="17"/>
      <c r="P41" s="17"/>
      <c r="Q41" s="18"/>
      <c r="R41" s="18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/>
    </row>
    <row r="42" customFormat="false" ht="15" hidden="false" customHeight="false" outlineLevel="0" collapsed="false">
      <c r="B42" s="17"/>
      <c r="C42" s="17"/>
      <c r="D42" s="17"/>
      <c r="E42" s="17"/>
      <c r="F42" s="17"/>
      <c r="G42" s="18"/>
      <c r="H42" s="18"/>
      <c r="I42" s="17"/>
      <c r="J42" s="17"/>
      <c r="K42" s="17"/>
      <c r="L42" s="18"/>
      <c r="M42" s="18"/>
      <c r="N42" s="19"/>
      <c r="O42" s="17"/>
      <c r="P42" s="17"/>
      <c r="Q42" s="18"/>
      <c r="R42" s="18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8"/>
    </row>
    <row r="43" customFormat="false" ht="15" hidden="false" customHeight="false" outlineLevel="0" collapsed="false">
      <c r="B43" s="17"/>
      <c r="C43" s="17"/>
      <c r="D43" s="17"/>
      <c r="E43" s="17"/>
      <c r="F43" s="17"/>
      <c r="G43" s="18"/>
      <c r="H43" s="18"/>
      <c r="I43" s="17"/>
      <c r="J43" s="17"/>
      <c r="K43" s="17"/>
      <c r="L43" s="18"/>
      <c r="M43" s="18"/>
      <c r="N43" s="19"/>
      <c r="O43" s="17"/>
      <c r="P43" s="17"/>
      <c r="Q43" s="18"/>
      <c r="R43" s="18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</row>
    <row r="44" customFormat="false" ht="15" hidden="false" customHeight="false" outlineLevel="0" collapsed="false">
      <c r="B44" s="17"/>
      <c r="C44" s="17"/>
      <c r="D44" s="17"/>
      <c r="E44" s="17"/>
      <c r="F44" s="17"/>
      <c r="G44" s="18"/>
      <c r="H44" s="18"/>
      <c r="I44" s="17"/>
      <c r="J44" s="17"/>
      <c r="K44" s="17"/>
      <c r="L44" s="18"/>
      <c r="M44" s="18"/>
      <c r="N44" s="19"/>
      <c r="O44" s="17"/>
      <c r="P44" s="17"/>
      <c r="Q44" s="18"/>
      <c r="R44" s="18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</row>
    <row r="45" customFormat="false" ht="15" hidden="false" customHeight="false" outlineLevel="0" collapsed="false">
      <c r="B45" s="17"/>
      <c r="C45" s="17"/>
      <c r="D45" s="17"/>
      <c r="E45" s="17"/>
      <c r="F45" s="17"/>
      <c r="G45" s="18"/>
      <c r="H45" s="18"/>
      <c r="I45" s="17"/>
      <c r="J45" s="17"/>
      <c r="K45" s="17"/>
      <c r="L45" s="18"/>
      <c r="M45" s="18"/>
      <c r="N45" s="19"/>
      <c r="O45" s="17"/>
      <c r="P45" s="17"/>
      <c r="Q45" s="18"/>
      <c r="R45" s="18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</row>
    <row r="46" customFormat="false" ht="15" hidden="false" customHeight="false" outlineLevel="0" collapsed="false">
      <c r="B46" s="17"/>
      <c r="C46" s="17"/>
      <c r="D46" s="17"/>
      <c r="E46" s="17"/>
      <c r="F46" s="17"/>
      <c r="G46" s="18"/>
      <c r="H46" s="18"/>
      <c r="I46" s="17"/>
      <c r="J46" s="17"/>
      <c r="K46" s="17"/>
      <c r="L46" s="18"/>
      <c r="M46" s="18"/>
      <c r="N46" s="19"/>
      <c r="O46" s="17"/>
      <c r="P46" s="17"/>
      <c r="Q46" s="18"/>
      <c r="R46" s="18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</row>
    <row r="47" customFormat="false" ht="15" hidden="false" customHeight="false" outlineLevel="0" collapsed="false">
      <c r="B47" s="17"/>
      <c r="C47" s="17"/>
      <c r="D47" s="17"/>
      <c r="E47" s="17"/>
      <c r="F47" s="17"/>
      <c r="G47" s="18"/>
      <c r="H47" s="18"/>
      <c r="I47" s="17"/>
      <c r="J47" s="17"/>
      <c r="K47" s="17"/>
      <c r="L47" s="18"/>
      <c r="M47" s="18"/>
      <c r="N47" s="19"/>
      <c r="O47" s="17"/>
      <c r="P47" s="17"/>
      <c r="Q47" s="18"/>
      <c r="R47" s="18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</row>
    <row r="48" customFormat="false" ht="15" hidden="false" customHeight="false" outlineLevel="0" collapsed="false">
      <c r="B48" s="17"/>
      <c r="C48" s="17"/>
      <c r="D48" s="17"/>
      <c r="E48" s="17"/>
      <c r="F48" s="17"/>
      <c r="G48" s="18"/>
      <c r="H48" s="18"/>
      <c r="I48" s="17"/>
      <c r="J48" s="17"/>
      <c r="K48" s="17"/>
      <c r="L48" s="18"/>
      <c r="M48" s="18"/>
      <c r="N48" s="19"/>
      <c r="O48" s="17"/>
      <c r="P48" s="17"/>
      <c r="Q48" s="18"/>
      <c r="R48" s="18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</row>
    <row r="49" customFormat="false" ht="15" hidden="false" customHeight="false" outlineLevel="0" collapsed="false">
      <c r="B49" s="17"/>
      <c r="C49" s="17"/>
      <c r="D49" s="17"/>
      <c r="E49" s="17"/>
      <c r="F49" s="17"/>
      <c r="G49" s="18"/>
      <c r="H49" s="18"/>
      <c r="I49" s="17"/>
      <c r="J49" s="17"/>
      <c r="K49" s="17"/>
      <c r="L49" s="18"/>
      <c r="M49" s="18"/>
      <c r="N49" s="19"/>
      <c r="O49" s="17"/>
      <c r="P49" s="17"/>
      <c r="Q49" s="18"/>
      <c r="R49" s="18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</row>
    <row r="50" customFormat="false" ht="15" hidden="false" customHeight="false" outlineLevel="0" collapsed="false">
      <c r="B50" s="17"/>
      <c r="C50" s="17"/>
      <c r="D50" s="17"/>
      <c r="E50" s="17"/>
      <c r="F50" s="17"/>
      <c r="G50" s="18"/>
      <c r="H50" s="18"/>
      <c r="I50" s="17"/>
      <c r="J50" s="17"/>
      <c r="K50" s="17"/>
      <c r="L50" s="18"/>
      <c r="M50" s="18"/>
      <c r="N50" s="19"/>
      <c r="O50" s="17"/>
      <c r="P50" s="17"/>
      <c r="Q50" s="18"/>
      <c r="R50" s="18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</row>
    <row r="51" customFormat="false" ht="15" hidden="false" customHeight="false" outlineLevel="0" collapsed="false">
      <c r="B51" s="17"/>
      <c r="C51" s="17"/>
      <c r="D51" s="17"/>
      <c r="E51" s="17"/>
      <c r="F51" s="17"/>
      <c r="G51" s="18"/>
      <c r="H51" s="18"/>
      <c r="I51" s="17"/>
      <c r="J51" s="17"/>
      <c r="K51" s="17"/>
      <c r="L51" s="18"/>
      <c r="M51" s="18"/>
      <c r="N51" s="19"/>
      <c r="O51" s="17"/>
      <c r="P51" s="17"/>
      <c r="Q51" s="18"/>
      <c r="R51" s="18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</row>
    <row r="52" customFormat="false" ht="15" hidden="false" customHeight="false" outlineLevel="0" collapsed="false">
      <c r="B52" s="17"/>
      <c r="C52" s="17"/>
      <c r="D52" s="17"/>
      <c r="E52" s="17"/>
      <c r="F52" s="17"/>
      <c r="G52" s="18"/>
      <c r="H52" s="18"/>
      <c r="I52" s="17"/>
      <c r="J52" s="17"/>
      <c r="K52" s="17"/>
      <c r="L52" s="18"/>
      <c r="M52" s="18"/>
      <c r="N52" s="19"/>
      <c r="O52" s="17"/>
      <c r="P52" s="17"/>
      <c r="Q52" s="18"/>
      <c r="R52" s="18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</row>
    <row r="53" customFormat="false" ht="15" hidden="false" customHeight="false" outlineLevel="0" collapsed="false">
      <c r="B53" s="17"/>
      <c r="C53" s="17"/>
      <c r="D53" s="17"/>
      <c r="E53" s="17"/>
      <c r="F53" s="17"/>
      <c r="G53" s="18"/>
      <c r="H53" s="18"/>
      <c r="I53" s="17"/>
      <c r="J53" s="17"/>
      <c r="K53" s="17"/>
      <c r="L53" s="18"/>
      <c r="M53" s="18"/>
      <c r="N53" s="19"/>
      <c r="O53" s="17"/>
      <c r="P53" s="17"/>
      <c r="Q53" s="18"/>
      <c r="R53" s="18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</row>
    <row r="54" customFormat="false" ht="15" hidden="false" customHeight="false" outlineLevel="0" collapsed="false">
      <c r="B54" s="17"/>
      <c r="C54" s="17"/>
      <c r="D54" s="17"/>
      <c r="E54" s="17"/>
      <c r="F54" s="17"/>
      <c r="G54" s="18"/>
      <c r="H54" s="18"/>
      <c r="I54" s="17"/>
      <c r="J54" s="17"/>
      <c r="K54" s="17"/>
      <c r="L54" s="18"/>
      <c r="M54" s="18"/>
      <c r="N54" s="19"/>
      <c r="O54" s="17"/>
      <c r="P54" s="17"/>
      <c r="Q54" s="18"/>
      <c r="R54" s="18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8"/>
    </row>
    <row r="55" customFormat="false" ht="15" hidden="false" customHeight="false" outlineLevel="0" collapsed="false">
      <c r="B55" s="17"/>
      <c r="C55" s="17"/>
      <c r="D55" s="17"/>
      <c r="E55" s="17"/>
      <c r="F55" s="17"/>
      <c r="G55" s="18"/>
      <c r="H55" s="18"/>
      <c r="I55" s="17"/>
      <c r="J55" s="17"/>
      <c r="K55" s="17"/>
      <c r="L55" s="18"/>
      <c r="M55" s="18"/>
      <c r="N55" s="19"/>
      <c r="O55" s="17"/>
      <c r="P55" s="17"/>
      <c r="Q55" s="18"/>
      <c r="R55" s="18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8"/>
    </row>
    <row r="56" customFormat="false" ht="15" hidden="false" customHeight="false" outlineLevel="0" collapsed="false">
      <c r="B56" s="17"/>
      <c r="C56" s="17"/>
      <c r="D56" s="17"/>
      <c r="E56" s="17"/>
      <c r="F56" s="17"/>
      <c r="G56" s="18"/>
      <c r="H56" s="18"/>
      <c r="I56" s="17"/>
      <c r="J56" s="17"/>
      <c r="K56" s="17"/>
      <c r="L56" s="18"/>
      <c r="M56" s="18"/>
      <c r="N56" s="19"/>
      <c r="O56" s="17"/>
      <c r="P56" s="17"/>
      <c r="Q56" s="18"/>
      <c r="R56" s="18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8"/>
    </row>
    <row r="57" customFormat="false" ht="15" hidden="false" customHeight="false" outlineLevel="0" collapsed="false">
      <c r="B57" s="17"/>
      <c r="C57" s="17"/>
      <c r="D57" s="17"/>
      <c r="E57" s="17"/>
      <c r="F57" s="17"/>
      <c r="G57" s="18"/>
      <c r="H57" s="18"/>
      <c r="I57" s="17"/>
      <c r="J57" s="17"/>
      <c r="K57" s="17"/>
      <c r="L57" s="18"/>
      <c r="M57" s="18"/>
      <c r="N57" s="19"/>
      <c r="O57" s="17"/>
      <c r="P57" s="17"/>
      <c r="Q57" s="18"/>
      <c r="R57" s="18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8"/>
    </row>
    <row r="58" customFormat="false" ht="15" hidden="false" customHeight="false" outlineLevel="0" collapsed="false">
      <c r="B58" s="17"/>
      <c r="C58" s="17"/>
      <c r="D58" s="17"/>
      <c r="E58" s="17"/>
      <c r="F58" s="17"/>
      <c r="G58" s="18"/>
      <c r="H58" s="18"/>
      <c r="I58" s="17"/>
      <c r="J58" s="17"/>
      <c r="K58" s="17"/>
      <c r="L58" s="18"/>
      <c r="M58" s="18"/>
      <c r="N58" s="19"/>
      <c r="O58" s="17"/>
      <c r="P58" s="17"/>
      <c r="Q58" s="18"/>
      <c r="R58" s="18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8"/>
    </row>
    <row r="59" customFormat="false" ht="15" hidden="false" customHeight="false" outlineLevel="0" collapsed="false">
      <c r="B59" s="17"/>
      <c r="C59" s="17"/>
      <c r="D59" s="17"/>
      <c r="E59" s="17"/>
      <c r="F59" s="17"/>
      <c r="G59" s="18"/>
      <c r="H59" s="18"/>
      <c r="I59" s="17"/>
      <c r="J59" s="17"/>
      <c r="K59" s="17"/>
      <c r="L59" s="18"/>
      <c r="M59" s="18"/>
      <c r="N59" s="19"/>
      <c r="O59" s="17"/>
      <c r="P59" s="17"/>
      <c r="Q59" s="18"/>
      <c r="R59" s="18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8"/>
    </row>
    <row r="60" customFormat="false" ht="15" hidden="false" customHeight="false" outlineLevel="0" collapsed="false">
      <c r="B60" s="17"/>
      <c r="C60" s="17"/>
      <c r="D60" s="17"/>
      <c r="E60" s="17"/>
      <c r="F60" s="17"/>
      <c r="G60" s="18"/>
      <c r="H60" s="18"/>
      <c r="I60" s="17"/>
      <c r="J60" s="17"/>
      <c r="K60" s="17"/>
      <c r="L60" s="18"/>
      <c r="M60" s="18"/>
      <c r="N60" s="19"/>
      <c r="O60" s="17"/>
      <c r="P60" s="17"/>
      <c r="Q60" s="18"/>
      <c r="R60" s="18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8"/>
    </row>
    <row r="61" customFormat="false" ht="15" hidden="false" customHeight="false" outlineLevel="0" collapsed="false">
      <c r="B61" s="17"/>
      <c r="C61" s="17"/>
      <c r="D61" s="17"/>
      <c r="E61" s="17"/>
      <c r="F61" s="17"/>
      <c r="G61" s="18"/>
      <c r="H61" s="18"/>
      <c r="I61" s="17"/>
      <c r="J61" s="17"/>
      <c r="K61" s="17"/>
      <c r="L61" s="18"/>
      <c r="M61" s="18"/>
      <c r="N61" s="19"/>
      <c r="O61" s="17"/>
      <c r="P61" s="17"/>
      <c r="Q61" s="18"/>
      <c r="R61" s="18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8"/>
    </row>
    <row r="62" customFormat="false" ht="15" hidden="false" customHeight="false" outlineLevel="0" collapsed="false">
      <c r="B62" s="17"/>
      <c r="C62" s="17"/>
      <c r="D62" s="17"/>
      <c r="E62" s="17"/>
      <c r="F62" s="17"/>
      <c r="G62" s="18"/>
      <c r="H62" s="18"/>
      <c r="I62" s="17"/>
      <c r="J62" s="17"/>
      <c r="K62" s="17"/>
      <c r="L62" s="18"/>
      <c r="M62" s="18"/>
      <c r="N62" s="19"/>
      <c r="O62" s="17"/>
      <c r="P62" s="17"/>
      <c r="Q62" s="18"/>
      <c r="R62" s="18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8"/>
    </row>
    <row r="63" customFormat="false" ht="15" hidden="false" customHeight="false" outlineLevel="0" collapsed="false">
      <c r="B63" s="17"/>
      <c r="C63" s="17"/>
      <c r="D63" s="17"/>
      <c r="E63" s="17"/>
      <c r="F63" s="17"/>
      <c r="G63" s="18"/>
      <c r="H63" s="18"/>
      <c r="I63" s="17"/>
      <c r="J63" s="17"/>
      <c r="K63" s="17"/>
      <c r="L63" s="18"/>
      <c r="M63" s="18"/>
      <c r="N63" s="19"/>
      <c r="O63" s="17"/>
      <c r="P63" s="17"/>
      <c r="Q63" s="18"/>
      <c r="R63" s="18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8"/>
    </row>
    <row r="64" customFormat="false" ht="15" hidden="false" customHeight="false" outlineLevel="0" collapsed="false">
      <c r="B64" s="17"/>
      <c r="C64" s="17"/>
      <c r="D64" s="17"/>
      <c r="E64" s="17"/>
      <c r="F64" s="17"/>
      <c r="G64" s="18"/>
      <c r="H64" s="18"/>
      <c r="I64" s="17"/>
      <c r="J64" s="17"/>
      <c r="K64" s="17"/>
      <c r="L64" s="18"/>
      <c r="M64" s="18"/>
      <c r="N64" s="19"/>
      <c r="O64" s="17"/>
      <c r="P64" s="17"/>
      <c r="Q64" s="18"/>
      <c r="R64" s="18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8"/>
    </row>
    <row r="65" customFormat="false" ht="15" hidden="false" customHeight="false" outlineLevel="0" collapsed="false">
      <c r="B65" s="17"/>
      <c r="C65" s="17"/>
      <c r="D65" s="17"/>
      <c r="E65" s="17"/>
      <c r="F65" s="17"/>
      <c r="G65" s="18"/>
      <c r="H65" s="18"/>
      <c r="I65" s="17"/>
      <c r="J65" s="17"/>
      <c r="K65" s="17"/>
      <c r="L65" s="18"/>
      <c r="M65" s="18"/>
      <c r="N65" s="19"/>
      <c r="O65" s="17"/>
      <c r="P65" s="17"/>
      <c r="Q65" s="18"/>
      <c r="R65" s="18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8"/>
    </row>
    <row r="66" customFormat="false" ht="15" hidden="false" customHeight="false" outlineLevel="0" collapsed="false">
      <c r="B66" s="17"/>
      <c r="C66" s="17"/>
      <c r="D66" s="17"/>
      <c r="E66" s="17"/>
      <c r="F66" s="17"/>
      <c r="G66" s="18"/>
      <c r="H66" s="18"/>
      <c r="I66" s="17"/>
      <c r="J66" s="17"/>
      <c r="K66" s="17"/>
      <c r="L66" s="18"/>
      <c r="M66" s="18"/>
      <c r="N66" s="19"/>
      <c r="O66" s="17"/>
      <c r="P66" s="17"/>
      <c r="Q66" s="18"/>
      <c r="R66" s="18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8"/>
    </row>
    <row r="67" customFormat="false" ht="15" hidden="false" customHeight="false" outlineLevel="0" collapsed="false">
      <c r="B67" s="17"/>
      <c r="C67" s="17"/>
      <c r="D67" s="17"/>
      <c r="E67" s="17"/>
      <c r="F67" s="17"/>
      <c r="G67" s="18"/>
      <c r="H67" s="18"/>
      <c r="I67" s="17"/>
      <c r="J67" s="17"/>
      <c r="K67" s="17"/>
      <c r="L67" s="18"/>
      <c r="M67" s="18"/>
      <c r="N67" s="19"/>
      <c r="O67" s="17"/>
      <c r="P67" s="17"/>
      <c r="Q67" s="18"/>
      <c r="R67" s="18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8"/>
    </row>
    <row r="68" customFormat="false" ht="15" hidden="false" customHeight="false" outlineLevel="0" collapsed="false">
      <c r="B68" s="17"/>
      <c r="C68" s="17"/>
      <c r="D68" s="17"/>
      <c r="E68" s="17"/>
      <c r="F68" s="17"/>
      <c r="G68" s="18"/>
      <c r="H68" s="18"/>
      <c r="I68" s="17"/>
      <c r="J68" s="17"/>
      <c r="K68" s="17"/>
      <c r="L68" s="18"/>
      <c r="M68" s="18"/>
      <c r="N68" s="19"/>
      <c r="O68" s="17"/>
      <c r="P68" s="17"/>
      <c r="Q68" s="18"/>
      <c r="R68" s="18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8"/>
    </row>
    <row r="69" customFormat="false" ht="15" hidden="false" customHeight="false" outlineLevel="0" collapsed="false">
      <c r="B69" s="17"/>
      <c r="C69" s="17"/>
      <c r="D69" s="17"/>
      <c r="E69" s="17"/>
      <c r="F69" s="17"/>
      <c r="G69" s="18"/>
      <c r="H69" s="18"/>
      <c r="I69" s="17"/>
      <c r="J69" s="17"/>
      <c r="K69" s="17"/>
      <c r="L69" s="18"/>
      <c r="M69" s="18"/>
      <c r="N69" s="19"/>
      <c r="O69" s="17"/>
      <c r="P69" s="17"/>
      <c r="Q69" s="18"/>
      <c r="R69" s="18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8"/>
    </row>
    <row r="70" customFormat="false" ht="15" hidden="false" customHeight="false" outlineLevel="0" collapsed="false">
      <c r="B70" s="17"/>
      <c r="C70" s="17"/>
      <c r="D70" s="17"/>
      <c r="E70" s="17"/>
      <c r="F70" s="17"/>
      <c r="G70" s="18"/>
      <c r="H70" s="18"/>
      <c r="I70" s="17"/>
      <c r="J70" s="17"/>
      <c r="K70" s="17"/>
      <c r="L70" s="18"/>
      <c r="M70" s="18"/>
      <c r="N70" s="19"/>
      <c r="O70" s="17"/>
      <c r="P70" s="17"/>
      <c r="Q70" s="18"/>
      <c r="R70" s="18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8"/>
    </row>
    <row r="71" customFormat="false" ht="15" hidden="false" customHeight="false" outlineLevel="0" collapsed="false">
      <c r="B71" s="17"/>
      <c r="C71" s="17"/>
      <c r="D71" s="17"/>
      <c r="E71" s="17"/>
      <c r="F71" s="17"/>
      <c r="G71" s="18"/>
      <c r="H71" s="18"/>
      <c r="I71" s="17"/>
      <c r="J71" s="17"/>
      <c r="K71" s="17"/>
      <c r="L71" s="18"/>
      <c r="M71" s="18"/>
      <c r="N71" s="19"/>
      <c r="O71" s="17"/>
      <c r="P71" s="17"/>
      <c r="Q71" s="18"/>
      <c r="R71" s="18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8"/>
    </row>
    <row r="72" customFormat="false" ht="15" hidden="false" customHeight="false" outlineLevel="0" collapsed="false">
      <c r="B72" s="17"/>
      <c r="C72" s="17"/>
      <c r="D72" s="17"/>
      <c r="E72" s="17"/>
      <c r="F72" s="17"/>
      <c r="G72" s="18"/>
      <c r="H72" s="18"/>
      <c r="I72" s="17"/>
      <c r="J72" s="17"/>
      <c r="K72" s="17"/>
      <c r="L72" s="18"/>
      <c r="M72" s="18"/>
      <c r="N72" s="19"/>
      <c r="O72" s="17"/>
      <c r="P72" s="17"/>
      <c r="Q72" s="18"/>
      <c r="R72" s="18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8"/>
    </row>
    <row r="73" customFormat="false" ht="15" hidden="false" customHeight="false" outlineLevel="0" collapsed="false">
      <c r="B73" s="17"/>
      <c r="C73" s="17"/>
      <c r="D73" s="17"/>
      <c r="E73" s="17"/>
      <c r="F73" s="17"/>
      <c r="G73" s="18"/>
      <c r="H73" s="18"/>
      <c r="I73" s="17"/>
      <c r="J73" s="17"/>
      <c r="K73" s="17"/>
      <c r="L73" s="18"/>
      <c r="M73" s="18"/>
      <c r="N73" s="19"/>
      <c r="O73" s="17"/>
      <c r="P73" s="17"/>
      <c r="Q73" s="18"/>
      <c r="R73" s="18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8"/>
    </row>
    <row r="74" customFormat="false" ht="15" hidden="false" customHeight="false" outlineLevel="0" collapsed="false">
      <c r="B74" s="17"/>
      <c r="C74" s="17"/>
      <c r="D74" s="17"/>
      <c r="E74" s="17"/>
      <c r="F74" s="17"/>
      <c r="G74" s="18"/>
      <c r="H74" s="18"/>
      <c r="I74" s="17"/>
      <c r="J74" s="17"/>
      <c r="K74" s="17"/>
      <c r="L74" s="18"/>
      <c r="M74" s="18"/>
      <c r="N74" s="19"/>
      <c r="O74" s="17"/>
      <c r="P74" s="17"/>
      <c r="Q74" s="18"/>
      <c r="R74" s="18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8"/>
    </row>
    <row r="75" customFormat="false" ht="15" hidden="false" customHeight="false" outlineLevel="0" collapsed="false">
      <c r="B75" s="17"/>
      <c r="C75" s="17"/>
      <c r="D75" s="17"/>
      <c r="E75" s="17"/>
      <c r="F75" s="17"/>
      <c r="G75" s="18"/>
      <c r="H75" s="18"/>
      <c r="I75" s="17"/>
      <c r="J75" s="17"/>
      <c r="K75" s="17"/>
      <c r="L75" s="18"/>
      <c r="M75" s="18"/>
      <c r="N75" s="19"/>
      <c r="O75" s="17"/>
      <c r="P75" s="17"/>
      <c r="Q75" s="18"/>
      <c r="R75" s="18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8"/>
    </row>
    <row r="76" customFormat="false" ht="15" hidden="false" customHeight="false" outlineLevel="0" collapsed="false">
      <c r="B76" s="17"/>
      <c r="C76" s="17"/>
      <c r="D76" s="17"/>
      <c r="E76" s="17"/>
      <c r="F76" s="17"/>
      <c r="G76" s="18"/>
      <c r="H76" s="18"/>
      <c r="I76" s="17"/>
      <c r="J76" s="17"/>
      <c r="K76" s="17"/>
      <c r="L76" s="18"/>
      <c r="M76" s="18"/>
      <c r="N76" s="19"/>
      <c r="O76" s="17"/>
      <c r="P76" s="17"/>
      <c r="Q76" s="18"/>
      <c r="R76" s="18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8"/>
    </row>
    <row r="77" customFormat="false" ht="15" hidden="false" customHeight="false" outlineLevel="0" collapsed="false">
      <c r="B77" s="17"/>
      <c r="C77" s="17"/>
      <c r="D77" s="17"/>
      <c r="E77" s="17"/>
      <c r="F77" s="17"/>
      <c r="G77" s="18"/>
      <c r="H77" s="18"/>
      <c r="I77" s="17"/>
      <c r="J77" s="17"/>
      <c r="K77" s="17"/>
      <c r="L77" s="18"/>
      <c r="M77" s="18"/>
      <c r="N77" s="19"/>
      <c r="O77" s="17"/>
      <c r="P77" s="17"/>
      <c r="Q77" s="18"/>
      <c r="R77" s="18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8"/>
    </row>
    <row r="78" customFormat="false" ht="15" hidden="false" customHeight="false" outlineLevel="0" collapsed="false">
      <c r="B78" s="17"/>
      <c r="C78" s="17"/>
      <c r="D78" s="17"/>
      <c r="E78" s="17"/>
      <c r="F78" s="17"/>
      <c r="G78" s="18"/>
      <c r="H78" s="18"/>
      <c r="I78" s="17"/>
      <c r="J78" s="17"/>
      <c r="K78" s="17"/>
      <c r="L78" s="18"/>
      <c r="M78" s="18"/>
      <c r="N78" s="19"/>
      <c r="O78" s="17"/>
      <c r="P78" s="17"/>
      <c r="Q78" s="18"/>
      <c r="R78" s="18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8"/>
    </row>
    <row r="79" customFormat="false" ht="15" hidden="false" customHeight="false" outlineLevel="0" collapsed="false">
      <c r="B79" s="17"/>
      <c r="C79" s="17"/>
      <c r="D79" s="17"/>
      <c r="E79" s="17"/>
      <c r="F79" s="17"/>
      <c r="G79" s="18"/>
      <c r="H79" s="18"/>
      <c r="I79" s="17"/>
      <c r="J79" s="17"/>
      <c r="K79" s="17"/>
      <c r="L79" s="18"/>
      <c r="M79" s="18"/>
      <c r="N79" s="19"/>
      <c r="O79" s="17"/>
      <c r="P79" s="17"/>
      <c r="Q79" s="18"/>
      <c r="R79" s="18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8"/>
    </row>
    <row r="80" customFormat="false" ht="15" hidden="false" customHeight="false" outlineLevel="0" collapsed="false">
      <c r="B80" s="17"/>
      <c r="C80" s="17"/>
      <c r="D80" s="17"/>
      <c r="E80" s="17"/>
      <c r="F80" s="17"/>
      <c r="G80" s="18"/>
      <c r="H80" s="18"/>
      <c r="I80" s="17"/>
      <c r="J80" s="17"/>
      <c r="K80" s="17"/>
      <c r="L80" s="18"/>
      <c r="M80" s="18"/>
      <c r="N80" s="19"/>
      <c r="O80" s="17"/>
      <c r="P80" s="17"/>
      <c r="Q80" s="18"/>
      <c r="R80" s="18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8"/>
    </row>
    <row r="81" customFormat="false" ht="15" hidden="false" customHeight="false" outlineLevel="0" collapsed="false">
      <c r="B81" s="17"/>
      <c r="C81" s="17"/>
      <c r="D81" s="17"/>
      <c r="E81" s="17"/>
      <c r="F81" s="17"/>
      <c r="G81" s="18"/>
      <c r="H81" s="18"/>
      <c r="I81" s="17"/>
      <c r="J81" s="17"/>
      <c r="K81" s="17"/>
      <c r="L81" s="18"/>
      <c r="M81" s="18"/>
      <c r="N81" s="19"/>
      <c r="O81" s="17"/>
      <c r="P81" s="17"/>
      <c r="Q81" s="18"/>
      <c r="R81" s="18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8"/>
    </row>
    <row r="82" customFormat="false" ht="15" hidden="false" customHeight="false" outlineLevel="0" collapsed="false">
      <c r="B82" s="17"/>
      <c r="C82" s="17"/>
      <c r="D82" s="17"/>
      <c r="E82" s="17"/>
      <c r="F82" s="17"/>
      <c r="G82" s="18"/>
      <c r="H82" s="18"/>
      <c r="I82" s="17"/>
      <c r="J82" s="17"/>
      <c r="K82" s="17"/>
      <c r="L82" s="18"/>
      <c r="M82" s="18"/>
      <c r="N82" s="19"/>
      <c r="O82" s="17"/>
      <c r="P82" s="17"/>
      <c r="Q82" s="18"/>
      <c r="R82" s="18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8"/>
    </row>
    <row r="83" customFormat="false" ht="15" hidden="false" customHeight="false" outlineLevel="0" collapsed="false">
      <c r="B83" s="17"/>
      <c r="C83" s="17"/>
      <c r="D83" s="17"/>
      <c r="E83" s="17"/>
      <c r="F83" s="17"/>
      <c r="G83" s="18"/>
      <c r="H83" s="18"/>
      <c r="I83" s="17"/>
      <c r="J83" s="17"/>
      <c r="K83" s="17"/>
      <c r="L83" s="18"/>
      <c r="M83" s="18"/>
      <c r="N83" s="19"/>
      <c r="O83" s="17"/>
      <c r="P83" s="17"/>
      <c r="Q83" s="18"/>
      <c r="R83" s="18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8"/>
    </row>
    <row r="84" customFormat="false" ht="15" hidden="false" customHeight="false" outlineLevel="0" collapsed="false">
      <c r="B84" s="17"/>
      <c r="C84" s="17"/>
      <c r="D84" s="17"/>
      <c r="E84" s="17"/>
      <c r="F84" s="17"/>
      <c r="G84" s="18"/>
      <c r="H84" s="18"/>
      <c r="I84" s="17"/>
      <c r="J84" s="17"/>
      <c r="K84" s="17"/>
      <c r="L84" s="18"/>
      <c r="M84" s="18"/>
      <c r="N84" s="19"/>
      <c r="O84" s="17"/>
      <c r="P84" s="17"/>
      <c r="Q84" s="18"/>
      <c r="R84" s="18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8"/>
    </row>
    <row r="85" customFormat="false" ht="15" hidden="false" customHeight="false" outlineLevel="0" collapsed="false">
      <c r="B85" s="17"/>
      <c r="C85" s="17"/>
      <c r="D85" s="17"/>
      <c r="E85" s="17"/>
      <c r="F85" s="17"/>
      <c r="G85" s="18"/>
      <c r="H85" s="18"/>
      <c r="I85" s="17"/>
      <c r="J85" s="17"/>
      <c r="K85" s="17"/>
      <c r="L85" s="18"/>
      <c r="M85" s="18"/>
      <c r="N85" s="19"/>
      <c r="O85" s="17"/>
      <c r="P85" s="17"/>
      <c r="Q85" s="18"/>
      <c r="R85" s="18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8"/>
    </row>
    <row r="86" customFormat="false" ht="15" hidden="false" customHeight="false" outlineLevel="0" collapsed="false">
      <c r="B86" s="17"/>
      <c r="C86" s="17"/>
      <c r="D86" s="17"/>
      <c r="E86" s="17"/>
      <c r="F86" s="17"/>
      <c r="G86" s="18"/>
      <c r="H86" s="18"/>
      <c r="I86" s="17"/>
      <c r="J86" s="17"/>
      <c r="K86" s="17"/>
      <c r="L86" s="18"/>
      <c r="M86" s="18"/>
      <c r="N86" s="19"/>
      <c r="O86" s="17"/>
      <c r="P86" s="17"/>
      <c r="Q86" s="18"/>
      <c r="R86" s="18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8"/>
    </row>
  </sheetData>
  <autoFilter ref="A1:AH27"/>
  <conditionalFormatting sqref="B1:AH1 C2:C10 C12:C86">
    <cfRule type="containsText" priority="2" operator="containsText" aboveAverage="0" equalAverage="0" bottom="0" percent="0" rank="0" text="Accessory" dxfId="9">
      <formula>NOT(ISERROR(SEARCH("Accessory",B1)))</formula>
    </cfRule>
    <cfRule type="containsText" priority="3" operator="containsText" aboveAverage="0" equalAverage="0" bottom="0" percent="0" rank="0" text="Armour" dxfId="10">
      <formula>NOT(ISERROR(SEARCH("Armour",B1)))</formula>
    </cfRule>
    <cfRule type="containsText" priority="4" operator="containsText" aboveAverage="0" equalAverage="0" bottom="0" percent="0" rank="0" text="Equipment" dxfId="11">
      <formula>NOT(ISERROR(SEARCH("Equipment",B1)))</formula>
    </cfRule>
    <cfRule type="containsText" priority="5" operator="containsText" aboveAverage="0" equalAverage="0" bottom="0" percent="0" rank="0" text="Impression" dxfId="12">
      <formula>NOT(ISERROR(SEARCH("Impression",B1)))</formula>
    </cfRule>
    <cfRule type="containsText" priority="6" operator="containsText" aboveAverage="0" equalAverage="0" bottom="0" percent="0" rank="0" text="Spell" dxfId="13">
      <formula>NOT(ISERROR(SEARCH("Spell",B1)))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BD9A44-7659-4E3D-A8AD-0FE8F40955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2025-06-22T09:18:10Z</dcterms:created>
  <dc:creator>NTK</dc:creator>
  <dc:description/>
  <dc:language>en-NZ</dc:language>
  <cp:lastModifiedBy/>
  <dcterms:modified xsi:type="dcterms:W3CDTF">2026-04-13T20:06:21Z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0x010100B72EB742E1A5654587064A46DDB6CD15</vt:lpwstr>
  </property>
</Properties>
</file>