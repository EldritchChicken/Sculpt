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3"/>
    <sheet name="Terrain token fuckery" sheetId="2" state="visible" r:id="rId4"/>
  </sheets>
  <definedNames>
    <definedName function="false" hidden="false" name="Break" vbProcedure="false">#REF!</definedName>
    <definedName function="false" hidden="false" name="sta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<sst xmlns="http://schemas.openxmlformats.org/spreadsheetml/2006/main" count="74" uniqueCount="60">
  <si>
    <t xml:space="preserve">Name</t>
  </si>
  <si>
    <t xml:space="preserve">Type</t>
  </si>
  <si>
    <t xml:space="preserve">SmallTextTag</t>
  </si>
  <si>
    <t xml:space="preserve">TopRightText</t>
  </si>
  <si>
    <t xml:space="preserve">Effect 1</t>
  </si>
  <si>
    <t xml:space="preserve">Effect 2</t>
  </si>
  <si>
    <t xml:space="preserve">Effect 3</t>
  </si>
  <si>
    <t xml:space="preserve">Effect 4</t>
  </si>
  <si>
    <t xml:space="preserve">Flavour Text</t>
  </si>
  <si>
    <t xml:space="preserve">Body HTML</t>
  </si>
  <si>
    <t xml:space="preserve">Big text extra step</t>
  </si>
  <si>
    <t xml:space="preserve">Templates</t>
  </si>
  <si>
    <t xml:space="preserve">Walls</t>
  </si>
  <si>
    <t xml:space="preserve">Attack</t>
  </si>
  <si>
    <t xml:space="preserve">LOSicon</t>
  </si>
  <si>
    <t xml:space="preserve">Shape = Up to 5 x Hex1a</t>
  </si>
  <si>
    <t xml:space="preserve">Walls cannot be climbed.</t>
  </si>
  <si>
    <t xml:space="preserve">&lt;p style="font-size:14px;"&gt;&lt;br&gt;</t>
  </si>
  <si>
    <t xml:space="preserve">Roots</t>
  </si>
  <si>
    <t xml:space="preserve">Shape = 3 x Hex1a</t>
  </si>
  <si>
    <t xml:space="preserve">Roots can be climbed for 1 AP or jazzT.</t>
  </si>
  <si>
    <t xml:space="preserve">Roots block line of sight, but do not block movement.</t>
  </si>
  <si>
    <t xml:space="preserve">Roots are flammable.</t>
  </si>
  <si>
    <t xml:space="preserve">&lt;p style="font-size:12px;"&gt;&lt;br&gt;</t>
  </si>
  <si>
    <t xml:space="preserve">Tunnel</t>
  </si>
  <si>
    <t xml:space="preserve">Passive</t>
  </si>
  <si>
    <t xml:space="preserve">Shape = Up to 5 connected hexes, always 1 hex wide.</t>
  </si>
  <si>
    <t xml:space="preserve">The tunnel allows for normal movement.</t>
  </si>
  <si>
    <t xml:space="preserve">This can be placed through any solid structure, including map walls.</t>
  </si>
  <si>
    <t xml:space="preserve"> &lt;span style="color:#27ae60"&gt;&lt;strong&gt;Jazz&lt;/strong&gt;&lt;/span&gt;</t>
  </si>
  <si>
    <t xml:space="preserve">Fortified Gate</t>
  </si>
  <si>
    <t xml:space="preserve">Shape = 1 Gate hex, then up to 2 Wall hexes adjacent to the gate.&lt;br&gt;GateHex</t>
  </si>
  <si>
    <t xml:space="preserve">&lt;b&gt;Locked:&lt;/b&gt; The Gate can be opened using the Imbued status effect.</t>
  </si>
  <si>
    <t xml:space="preserve">Walls block movement and line of sight, and cannot be climbed.</t>
  </si>
  <si>
    <t xml:space="preserve">&lt;span style="color:#e74c3c"&gt;&lt;strong&gt;Flesh&lt;/strong&gt;&lt;/span&gt;</t>
  </si>
  <si>
    <t xml:space="preserve">River</t>
  </si>
  <si>
    <t xml:space="preserve">Reaction</t>
  </si>
  <si>
    <t xml:space="preserve">Shape = A 2 hex wide river running from one wall to another, with a current direction, a source, and lethal waterfall at the end.&lt;br&gt;RiverHex</t>
  </si>
  <si>
    <t xml:space="preserve">Moving in the river costs double movement unless it is in the flow direction which costs half.</t>
  </si>
  <si>
    <t xml:space="preserve">If you end your turn in the river, move 5 hexes in the flow.</t>
  </si>
  <si>
    <t xml:space="preserve">Hot Coals</t>
  </si>
  <si>
    <t xml:space="preserve">Shape = 5 Connected hexes</t>
  </si>
  <si>
    <t xml:space="preserve">If a creature starts their turn on hot coals, they take 3 damage.</t>
  </si>
  <si>
    <t xml:space="preserve">Cliff</t>
  </si>
  <si>
    <t xml:space="preserve">Active</t>
  </si>
  <si>
    <t xml:space="preserve">Shape = A continuous line between two walls, with a high side and a low side.</t>
  </si>
  <si>
    <t xml:space="preserve">Beings may Climb for 3AP or jazzt .</t>
  </si>
  <si>
    <t xml:space="preserve">If a being falls of the cliff they take 8 damage.</t>
  </si>
  <si>
    <t xml:space="preserve">The cliff blocks line of sight for anyone on the low side except on the cliff edge.</t>
  </si>
  <si>
    <t xml:space="preserve">Jazzt</t>
  </si>
  <si>
    <t xml:space="preserve">, </t>
  </si>
  <si>
    <t xml:space="preserve">Cavepaint1</t>
  </si>
  <si>
    <t xml:space="preserve">Cavepaint2</t>
  </si>
  <si>
    <t xml:space="preserve">Gatehex</t>
  </si>
  <si>
    <t xml:space="preserve">Hex1a</t>
  </si>
  <si>
    <t xml:space="preserve">Hex1b</t>
  </si>
  <si>
    <t xml:space="preserve">Hex2</t>
  </si>
  <si>
    <t xml:space="preserve">Hex3</t>
  </si>
  <si>
    <t xml:space="preserve">HornsHex</t>
  </si>
  <si>
    <t xml:space="preserve">Whisky_Xplo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</si>
</sst>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729FCF"/>
        <bgColor rgb="FF46B1E1"/>
      </patternFill>
    </fill>
    <fill>
      <patternFill patternType="solid">
        <fgColor rgb="FFFFA6A6"/>
        <bgColor rgb="FFF6B0DD"/>
      </patternFill>
    </fill>
    <fill>
      <patternFill patternType="solid">
        <fgColor theme="4" tint="0.7999"/>
        <bgColor rgb="FFCCFFFF"/>
      </patternFill>
    </fill>
    <fill>
      <patternFill patternType="solid">
        <fgColor rgb="FFE0C2CD"/>
        <bgColor rgb="FFF8CBAD"/>
      </patternFill>
    </fill>
    <fill>
      <patternFill patternType="solid">
        <fgColor rgb="FFFFE994"/>
        <bgColor rgb="FFFFE699"/>
      </patternFill>
    </fill>
    <fill>
      <patternFill patternType="solid">
        <fgColor rgb="FF77BC65"/>
        <bgColor rgb="FF99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3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0" borderId="1" xfId="0" applyFont="fals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4" borderId="3" xfId="0" applyFont="fals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5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6" fillId="6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7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729FC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7BC65"/>
          <bgColor rgb="FF000000"/>
        </patternFill>
      </fill>
    </dxf>
    <dxf>
      <fill>
        <patternFill patternType="solid">
          <fgColor rgb="FFE0C2CD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E994"/>
          <bgColor rgb="FF000000"/>
        </patternFill>
      </fill>
    </dxf>
    <dxf>
      <fill>
        <patternFill patternType="solid">
          <fgColor rgb="FFC1E5F5"/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6B0DD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E699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8CBAD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C6E0B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B4C6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729FCF"/>
      <rgbColor rgb="FF993366"/>
      <rgbColor rgb="FFFFE699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994"/>
      <rgbColor rgb="FFE0C2CD"/>
      <rgbColor rgb="FFFFA6A6"/>
      <rgbColor rgb="FFF6B0DD"/>
      <rgbColor rgb="FFF8CBAD"/>
      <rgbColor rgb="FF3366FF"/>
      <rgbColor rgb="FF46B1E1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3" displayName="Table3" ref="A1:J9" headerRowCount="1" totalsRowCount="0" totalsRowShown="0">
  <autoFilter ref="A1:J9"/>
  <tableColumns count="10">
    <tableColumn id="1" name="Name"/>
    <tableColumn id="2" name="Type"/>
    <tableColumn id="3" name="SmallTextTag"/>
    <tableColumn id="4" name="TopRightText"/>
    <tableColumn id="5" name="Effect 1"/>
    <tableColumn id="6" name="Effect 2"/>
    <tableColumn id="7" name="Effect 3"/>
    <tableColumn id="8" name="Effect 4"/>
    <tableColumn id="9" name="Flavour Text"/>
    <tableColumn id="10" name="Body HTM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3671875" defaultRowHeight="12.8" customHeight="true" zeroHeight="false" outlineLevelRow="0" outlineLevelCol="0"/>
  <cols>
    <col collapsed="false" customWidth="true" hidden="false" outlineLevel="0" max="3" min="1" style="1" width="11"/>
    <col collapsed="false" customWidth="true" hidden="false" outlineLevel="0" max="4" min="4" style="1" width="25.7"/>
    <col collapsed="false" customWidth="true" hidden="false" outlineLevel="0" max="5" min="5" style="1" width="28.14"/>
    <col collapsed="false" customWidth="true" hidden="false" outlineLevel="0" max="6" min="6" style="1" width="25.42"/>
    <col collapsed="false" customWidth="true" hidden="false" outlineLevel="0" max="7" min="7" style="1" width="19.85"/>
    <col collapsed="false" customWidth="true" hidden="false" outlineLevel="0" max="8" min="8" style="1" width="11"/>
    <col collapsed="false" customWidth="true" hidden="false" outlineLevel="0" max="9" min="9" style="1" width="11.14"/>
    <col collapsed="false" customWidth="true" hidden="false" outlineLevel="0" max="10" min="10" style="2" width="54.72"/>
    <col collapsed="false" customWidth="true" hidden="false" outlineLevel="0" max="11" min="11" style="2" width="23.86"/>
  </cols>
  <sheetData>
    <row r="1" customFormat="false" ht="24.0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2" t="s">
        <v>10</v>
      </c>
      <c r="M1" s="2" t="s">
        <v>11</v>
      </c>
    </row>
    <row r="2" customFormat="false" ht="22.85" hidden="false" customHeight="false" outlineLevel="0" collapsed="false">
      <c r="A2" s="6" t="s">
        <v>12</v>
      </c>
      <c r="B2" s="7" t="s">
        <v>13</v>
      </c>
      <c r="C2" s="8"/>
      <c r="D2" s="6" t="s">
        <v>14</v>
      </c>
      <c r="E2" s="6" t="s">
        <v>15</v>
      </c>
      <c r="F2" s="6" t="s">
        <v>16</v>
      </c>
      <c r="G2" s="6"/>
      <c r="H2" s="6"/>
      <c r="I2" s="6"/>
      <c r="J2" s="9" t="str">
        <f aca="false">_xlfn.CONCAT($K$2,E2,IF(F2="","","&lt;Br&gt;lineBrk&lt;Br&gt;"),F2,IF(G2="","","&lt;Br&gt;lineBrk&lt;Br&gt;"),G2,IF(H2="","","&lt;Br&gt;lineBrk&lt;Br&gt;"),H2,)</f>
        <v>&lt;p style="font-size:14px;"&gt;&lt;br&gt;Shape = Up to 5 x Hex1a&lt;Br&gt;lineBrk&lt;Br&gt;Walls cannot be climbed.</v>
      </c>
      <c r="K2" s="2" t="str">
        <f aca="false">IF(C2="yes",$M$3,$M$2)</f>
        <v>&lt;p style="font-size:14px;"&gt;&lt;br&gt;</v>
      </c>
      <c r="M2" s="2" t="s">
        <v>17</v>
      </c>
    </row>
    <row r="3" customFormat="false" ht="33.7" hidden="false" customHeight="false" outlineLevel="0" collapsed="false">
      <c r="A3" s="6" t="s">
        <v>18</v>
      </c>
      <c r="B3" s="7" t="s">
        <v>13</v>
      </c>
      <c r="C3" s="8"/>
      <c r="D3" s="6" t="s">
        <v>14</v>
      </c>
      <c r="E3" s="6" t="s">
        <v>19</v>
      </c>
      <c r="F3" s="6" t="s">
        <v>20</v>
      </c>
      <c r="G3" s="6" t="s">
        <v>21</v>
      </c>
      <c r="H3" s="6" t="s">
        <v>22</v>
      </c>
      <c r="I3" s="6"/>
      <c r="J3" s="9" t="str">
        <f aca="false">_xlfn.CONCAT($K$2,E3,IF(F3="","","&lt;Br&gt;lineBrk&lt;Br&gt;"),F3,IF(G3="","","&lt;Br&gt;lineBrk&lt;Br&gt;"),G3,IF(H3="","","&lt;Br&gt;lineBrk&lt;Br&gt;"),H3,)</f>
        <v>&lt;p style="font-size:14px;"&gt;&lt;br&gt;Shape = 3 x Hex1a&lt;Br&gt;lineBrk&lt;Br&gt;Roots can be climbed for 1 AP or jazzT.&lt;Br&gt;lineBrk&lt;Br&gt;Roots block line of sight, but do not block movement.&lt;Br&gt;lineBrk&lt;Br&gt;Roots are flammable.</v>
      </c>
      <c r="K3" s="2" t="str">
        <f aca="false">IF(C3="yes",$M$3,$M$2)</f>
        <v>&lt;p style="font-size:14px;"&gt;&lt;br&gt;</v>
      </c>
      <c r="M3" s="2" t="s">
        <v>23</v>
      </c>
    </row>
    <row r="4" customFormat="false" ht="44.55" hidden="false" customHeight="false" outlineLevel="0" collapsed="false">
      <c r="A4" s="6" t="s">
        <v>24</v>
      </c>
      <c r="B4" s="10" t="s">
        <v>25</v>
      </c>
      <c r="C4" s="8"/>
      <c r="D4" s="6"/>
      <c r="E4" s="6" t="s">
        <v>26</v>
      </c>
      <c r="F4" s="6" t="s">
        <v>27</v>
      </c>
      <c r="G4" s="6" t="s">
        <v>28</v>
      </c>
      <c r="H4" s="6"/>
      <c r="I4" s="6"/>
      <c r="J4" s="9" t="str">
        <f aca="false">_xlfn.CONCAT($K$2,E4,IF(F4="","","&lt;Br&gt;lineBrk&lt;Br&gt;"),F4,IF(G4="","","&lt;Br&gt;lineBrk&lt;Br&gt;"),G4,IF(H4="","","&lt;Br&gt;lineBrk&lt;Br&gt;"),H4,)</f>
        <v>&lt;p style="font-size:14px;"&gt;&lt;br&gt;Shape = Up to 5 connected hexes, always 1 hex wide.&lt;Br&gt;lineBrk&lt;Br&gt;The tunnel allows for normal movement.&lt;Br&gt;lineBrk&lt;Br&gt;This can be placed through any solid structure, including map walls.</v>
      </c>
      <c r="K4" s="2" t="str">
        <f aca="false">IF(C4="yes",$M$3,$M$2)</f>
        <v>&lt;p style="font-size:14px;"&gt;&lt;br&gt;</v>
      </c>
      <c r="M4" s="2" t="s">
        <v>29</v>
      </c>
    </row>
    <row r="5" customFormat="false" ht="55.4" hidden="false" customHeight="false" outlineLevel="0" collapsed="false">
      <c r="A5" s="6" t="s">
        <v>30</v>
      </c>
      <c r="B5" s="10" t="s">
        <v>25</v>
      </c>
      <c r="C5" s="8"/>
      <c r="D5" s="6" t="s">
        <v>14</v>
      </c>
      <c r="E5" s="6" t="s">
        <v>31</v>
      </c>
      <c r="F5" s="6" t="s">
        <v>32</v>
      </c>
      <c r="G5" s="6" t="s">
        <v>33</v>
      </c>
      <c r="H5" s="6"/>
      <c r="I5" s="6"/>
      <c r="J5" s="9" t="str">
        <f aca="false">_xlfn.CONCAT($K$2,E5,IF(F5="","","&lt;Br&gt;lineBrk&lt;Br&gt;"),F5,IF(G5="","","&lt;Br&gt;lineBrk&lt;Br&gt;"),G5,IF(H5="","","&lt;Br&gt;lineBrk&lt;Br&gt;"),H5,)</f>
        <v>&lt;p style="font-size:14px;"&gt;&lt;br&gt;Shape = 1 Gate hex, then up to 2 Wall hexes adjacent to the gate.&lt;br&gt;GateHex&lt;Br&gt;lineBrk&lt;Br&gt;&lt;b&gt;Locked:&lt;/b&gt; The Gate can be opened using the Imbued status effect.&lt;Br&gt;lineBrk&lt;Br&gt;Walls block movement and line of sight, and cannot be climbed.</v>
      </c>
      <c r="K5" s="2" t="str">
        <f aca="false">IF(C5="yes",$M$3,$M$2)</f>
        <v>&lt;p style="font-size:14px;"&gt;&lt;br&gt;</v>
      </c>
      <c r="M5" s="2" t="s">
        <v>34</v>
      </c>
    </row>
    <row r="6" customFormat="false" ht="66.25" hidden="false" customHeight="false" outlineLevel="0" collapsed="false">
      <c r="A6" s="6" t="s">
        <v>35</v>
      </c>
      <c r="B6" s="11" t="s">
        <v>36</v>
      </c>
      <c r="C6" s="8"/>
      <c r="D6" s="6"/>
      <c r="E6" s="6" t="s">
        <v>37</v>
      </c>
      <c r="F6" s="6" t="s">
        <v>38</v>
      </c>
      <c r="G6" s="6" t="s">
        <v>39</v>
      </c>
      <c r="H6" s="6"/>
      <c r="I6" s="6"/>
      <c r="J6" s="9" t="str">
        <f aca="false">_xlfn.CONCAT($K$2,E6,IF(F6="","","&lt;Br&gt;lineBrk&lt;Br&gt;"),F6,IF(G6="","","&lt;Br&gt;lineBrk&lt;Br&gt;"),G6,IF(H6="","","&lt;Br&gt;lineBrk&lt;Br&gt;"),H6,)</f>
        <v>&lt;p style="font-size:14px;"&gt;&lt;br&gt;Shape = A 2 hex wide river running from one wall to another, with a current direction, a source, and lethal waterfall at the end.&lt;br&gt;RiverHex&lt;Br&gt;lineBrk&lt;Br&gt;Moving in the river costs double movement unless it is in the flow direction which costs half.&lt;Br&gt;lineBrk&lt;Br&gt;If you end your turn in the river, move 5 hexes in the flow.</v>
      </c>
      <c r="K6" s="2" t="str">
        <f aca="false">IF(C6="yes",$M$3,$M$2)</f>
        <v>&lt;p style="font-size:14px;"&gt;&lt;br&gt;</v>
      </c>
    </row>
    <row r="7" customFormat="false" ht="33.7" hidden="false" customHeight="false" outlineLevel="0" collapsed="false">
      <c r="A7" s="6" t="s">
        <v>40</v>
      </c>
      <c r="B7" s="11" t="s">
        <v>36</v>
      </c>
      <c r="C7" s="8"/>
      <c r="D7" s="6"/>
      <c r="E7" s="6" t="s">
        <v>41</v>
      </c>
      <c r="F7" s="6" t="s">
        <v>42</v>
      </c>
      <c r="G7" s="6"/>
      <c r="H7" s="6"/>
      <c r="I7" s="6"/>
      <c r="J7" s="9" t="str">
        <f aca="false">_xlfn.CONCAT($K$2,E7,IF(F7="","","&lt;Br&gt;lineBrk&lt;Br&gt;"),F7,IF(G7="","","&lt;Br&gt;lineBrk&lt;Br&gt;"),G7,IF(H7="","","&lt;Br&gt;lineBrk&lt;Br&gt;"),H7,)</f>
        <v>&lt;p style="font-size:14px;"&gt;&lt;br&gt;Shape = 5 Connected hexes&lt;Br&gt;lineBrk&lt;Br&gt;If a creature starts their turn on hot coals, they take 3 damage.</v>
      </c>
      <c r="K7" s="2" t="str">
        <f aca="false">IF(C7="yes",$M$3,$M$2)</f>
        <v>&lt;p style="font-size:14px;"&gt;&lt;br&gt;</v>
      </c>
    </row>
    <row r="8" customFormat="false" ht="77.1" hidden="false" customHeight="false" outlineLevel="0" collapsed="false">
      <c r="A8" s="6" t="s">
        <v>43</v>
      </c>
      <c r="B8" s="12" t="s">
        <v>44</v>
      </c>
      <c r="C8" s="8"/>
      <c r="D8" s="6" t="s">
        <v>14</v>
      </c>
      <c r="E8" s="6" t="s">
        <v>45</v>
      </c>
      <c r="F8" s="6" t="s">
        <v>46</v>
      </c>
      <c r="G8" s="6" t="s">
        <v>47</v>
      </c>
      <c r="H8" s="6" t="s">
        <v>48</v>
      </c>
      <c r="I8" s="6"/>
      <c r="J8" s="9" t="str">
        <f aca="false">_xlfn.CONCAT($K$2,E8,IF(F8="","","&lt;Br&gt;lineBrk&lt;Br&gt;"),F8,IF(G8="","","&lt;Br&gt;lineBrk&lt;Br&gt;"),G8,IF(H8="","","&lt;Br&gt;lineBrk&lt;Br&gt;"),H8,)</f>
        <v>&lt;p style="font-size:14px;"&gt;&lt;br&gt;Shape = A continuous line between two walls, with a high side and a low side.&lt;Br&gt;lineBrk&lt;Br&gt;Beings may Climb for 3AP or jazzt .&lt;Br&gt;lineBrk&lt;Br&gt;If a being falls of the cliff they take 8 damage.&lt;Br&gt;lineBrk&lt;Br&gt;The cliff blocks line of sight for anyone on the low side except on the cliff edge.</v>
      </c>
      <c r="K8" s="2" t="str">
        <f aca="false">IF(C8="yes",$M$3,$M$2)</f>
        <v>&lt;p style="font-size:14px;"&gt;&lt;br&gt;</v>
      </c>
    </row>
    <row r="9" customFormat="false" ht="77.1" hidden="false" customHeight="false" outlineLevel="0" collapsed="false">
      <c r="A9" s="6" t="s">
        <v>43</v>
      </c>
      <c r="B9" s="12" t="s">
        <v>44</v>
      </c>
      <c r="C9" s="8"/>
      <c r="D9" s="6" t="s">
        <v>14</v>
      </c>
      <c r="E9" s="6" t="s">
        <v>45</v>
      </c>
      <c r="F9" s="6" t="s">
        <v>46</v>
      </c>
      <c r="G9" s="6" t="s">
        <v>47</v>
      </c>
      <c r="H9" s="6" t="s">
        <v>48</v>
      </c>
      <c r="I9" s="6"/>
      <c r="J9" s="9" t="str">
        <f aca="false">_xlfn.CONCAT($K$2,E9,IF(F9="","","&lt;Br&gt;lineBrk&lt;Br&gt;"),F9,IF(G9="","","&lt;Br&gt;lineBrk&lt;Br&gt;"),G9,IF(H9="","","&lt;Br&gt;lineBrk&lt;Br&gt;"),H9,)</f>
        <v>&lt;p style="font-size:14px;"&gt;&lt;br&gt;Shape = A continuous line between two walls, with a high side and a low side.&lt;Br&gt;lineBrk&lt;Br&gt;Beings may Climb for 3AP or jazzt .&lt;Br&gt;lineBrk&lt;Br&gt;If a being falls of the cliff they take 8 damage.&lt;Br&gt;lineBrk&lt;Br&gt;The cliff blocks line of sight for anyone on the low side except on the cliff edge.</v>
      </c>
      <c r="K9" s="2" t="str">
        <f aca="false">IF(C9="yes",$M$3,$M$2)</f>
        <v>&lt;p style="font-size:14px;"&gt;&lt;br&gt;</v>
      </c>
    </row>
  </sheetData>
  <conditionalFormatting sqref="B1:C9">
    <cfRule type="containsText" priority="2" operator="containsText" aboveAverage="0" equalAverage="0" bottom="0" percent="0" rank="0" text="Accessory" dxfId="8">
      <formula>NOT(ISERROR(SEARCH("Accessory",B1)))</formula>
    </cfRule>
    <cfRule type="containsText" priority="3" operator="containsText" aboveAverage="0" equalAverage="0" bottom="0" percent="0" rank="0" text="Armour" dxfId="9">
      <formula>NOT(ISERROR(SEARCH("Armour",B1)))</formula>
    </cfRule>
    <cfRule type="containsText" priority="4" operator="containsText" aboveAverage="0" equalAverage="0" bottom="0" percent="0" rank="0" text="Equipment" dxfId="10">
      <formula>NOT(ISERROR(SEARCH("Equipment",B1)))</formula>
    </cfRule>
    <cfRule type="containsText" priority="5" operator="containsText" aboveAverage="0" equalAverage="0" bottom="0" percent="0" rank="0" text="Impression" dxfId="11">
      <formula>NOT(ISERROR(SEARCH("Impression",B1)))</formula>
    </cfRule>
    <cfRule type="containsText" priority="6" operator="containsText" aboveAverage="0" equalAverage="0" bottom="0" percent="0" rank="0" text="Spell" dxfId="12">
      <formula>NOT(ISERROR(SEARCH("Spell",B1)))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3.4765625" defaultRowHeight="12.8" customHeight="true" zeroHeight="false" outlineLevelRow="0" outlineLevelCol="0"/>
  <sheetData>
    <row r="1" customFormat="false" ht="13.8" hidden="false" customHeight="false" outlineLevel="0" collapsed="false">
      <c r="A1" s="2" t="s">
        <v>49</v>
      </c>
      <c r="C1" s="2" t="n">
        <v>160</v>
      </c>
      <c r="D1" s="2" t="n">
        <v>0.32</v>
      </c>
      <c r="E1" s="2" t="s">
        <v>50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2" t="s">
        <v>51</v>
      </c>
      <c r="B3" s="2" t="n">
        <v>662</v>
      </c>
      <c r="C3" s="2" t="n">
        <v>614</v>
      </c>
      <c r="D3" s="2" t="n">
        <f aca="false">$D$1/$C$1*B3</f>
        <v>1.324</v>
      </c>
      <c r="E3" s="2" t="n">
        <f aca="false">$D$1/$C$1*C3</f>
        <v>1.228</v>
      </c>
      <c r="F3" s="2" t="str">
        <f aca="false">_xlfn.CONCAT(" ",D3,$E$1,E3,$E$1,"PB")</f>
        <v> 1.324, 1.228, PB</v>
      </c>
    </row>
    <row r="4" customFormat="false" ht="13.8" hidden="false" customHeight="false" outlineLevel="0" collapsed="false">
      <c r="A4" s="2" t="s">
        <v>52</v>
      </c>
      <c r="B4" s="2" t="n">
        <v>1186</v>
      </c>
      <c r="C4" s="2" t="n">
        <v>160</v>
      </c>
      <c r="D4" s="2" t="n">
        <f aca="false">$D$1/$C$1*B4</f>
        <v>2.372</v>
      </c>
      <c r="E4" s="2" t="n">
        <f aca="false">$D$1/$C$1*C4</f>
        <v>0.32</v>
      </c>
      <c r="F4" s="2" t="str">
        <f aca="false">_xlfn.CONCAT(D4,$E$1,E4,$E$1,"PB")</f>
        <v>2.372, 0.32, PB</v>
      </c>
    </row>
    <row r="5" customFormat="false" ht="13.8" hidden="false" customHeight="false" outlineLevel="0" collapsed="false">
      <c r="A5" s="2" t="s">
        <v>53</v>
      </c>
      <c r="B5" s="2" t="n">
        <v>400</v>
      </c>
      <c r="C5" s="2" t="n">
        <v>384</v>
      </c>
      <c r="D5" s="2" t="n">
        <f aca="false">$D$1/$C$1*B5</f>
        <v>0.8</v>
      </c>
      <c r="E5" s="2" t="n">
        <f aca="false">$D$1/$C$1*C5</f>
        <v>0.768</v>
      </c>
      <c r="F5" s="2" t="str">
        <f aca="false">_xlfn.CONCAT(D5,$E$1,E5,$E$1,"PB")</f>
        <v>0.8, 0.768, PB</v>
      </c>
    </row>
    <row r="6" customFormat="false" ht="13.8" hidden="false" customHeight="false" outlineLevel="0" collapsed="false">
      <c r="A6" s="2" t="s">
        <v>54</v>
      </c>
      <c r="B6" s="2" t="n">
        <v>138</v>
      </c>
      <c r="C6" s="2" t="n">
        <v>160</v>
      </c>
      <c r="D6" s="2" t="n">
        <f aca="false">$D$1/$C$1*B6</f>
        <v>0.276</v>
      </c>
      <c r="E6" s="2" t="n">
        <f aca="false">$D$1/$C$1*C6</f>
        <v>0.32</v>
      </c>
      <c r="F6" s="2" t="str">
        <f aca="false">_xlfn.CONCAT(D6,$E$1,E6,$E$1,"PB")</f>
        <v>0.276, 0.32, PB</v>
      </c>
    </row>
    <row r="7" customFormat="false" ht="13.8" hidden="false" customHeight="false" outlineLevel="0" collapsed="false">
      <c r="A7" s="2" t="s">
        <v>55</v>
      </c>
      <c r="B7" s="2" t="n">
        <v>269</v>
      </c>
      <c r="C7" s="2" t="n">
        <v>273</v>
      </c>
      <c r="D7" s="2" t="n">
        <f aca="false">$D$1/$C$1*B7</f>
        <v>0.538</v>
      </c>
      <c r="E7" s="2" t="n">
        <f aca="false">$D$1/$C$1*C7</f>
        <v>0.546</v>
      </c>
      <c r="F7" s="2" t="str">
        <f aca="false">_xlfn.CONCAT(D7,$E$1,E7,$E$1,"PB")</f>
        <v>0.538, 0.546, PB</v>
      </c>
    </row>
    <row r="8" customFormat="false" ht="13.8" hidden="false" customHeight="false" outlineLevel="0" collapsed="false">
      <c r="A8" s="2" t="s">
        <v>56</v>
      </c>
      <c r="B8" s="2" t="n">
        <v>400</v>
      </c>
      <c r="C8" s="2" t="n">
        <v>387</v>
      </c>
      <c r="D8" s="2" t="n">
        <f aca="false">$D$1/$C$1*B8</f>
        <v>0.8</v>
      </c>
      <c r="E8" s="2" t="n">
        <f aca="false">$D$1/$C$1*C8</f>
        <v>0.774</v>
      </c>
      <c r="F8" s="2" t="str">
        <f aca="false">_xlfn.CONCAT(D8,$E$1,E8,$E$1,"PB")</f>
        <v>0.8, 0.774, PB</v>
      </c>
    </row>
    <row r="9" customFormat="false" ht="13.8" hidden="false" customHeight="false" outlineLevel="0" collapsed="false">
      <c r="A9" s="2" t="s">
        <v>57</v>
      </c>
      <c r="B9" s="2" t="n">
        <v>662</v>
      </c>
      <c r="C9" s="2" t="n">
        <v>613</v>
      </c>
      <c r="D9" s="2" t="n">
        <f aca="false">$D$1/$C$1*B9</f>
        <v>1.324</v>
      </c>
      <c r="E9" s="2" t="n">
        <f aca="false">$D$1/$C$1*C9</f>
        <v>1.226</v>
      </c>
      <c r="F9" s="2" t="str">
        <f aca="false">_xlfn.CONCAT(D9,$E$1,E9,$E$1,"PB")</f>
        <v>1.324, 1.226, PB</v>
      </c>
    </row>
    <row r="10" customFormat="false" ht="13.8" hidden="false" customHeight="false" outlineLevel="0" collapsed="false">
      <c r="A10" s="2" t="s">
        <v>58</v>
      </c>
      <c r="B10" s="2" t="n">
        <v>513</v>
      </c>
      <c r="C10" s="2" t="n">
        <v>387</v>
      </c>
      <c r="D10" s="2" t="n">
        <f aca="false">$D$1/$C$1*B10</f>
        <v>1.026</v>
      </c>
      <c r="E10" s="2" t="n">
        <f aca="false">$D$1/$C$1*C10</f>
        <v>0.774</v>
      </c>
      <c r="F10" s="2" t="str">
        <f aca="false">_xlfn.CONCAT(D10,$E$1,E10,$E$1,"PB")</f>
        <v>1.026, 0.774, PB</v>
      </c>
    </row>
    <row r="11" customFormat="false" ht="13.8" hidden="false" customHeight="false" outlineLevel="0" collapsed="false">
      <c r="A11" s="2" t="s">
        <v>14</v>
      </c>
      <c r="B11" s="2" t="n">
        <v>267</v>
      </c>
      <c r="C11" s="2" t="n">
        <v>141</v>
      </c>
      <c r="D11" s="2" t="n">
        <f aca="false">$D$1/$C$1*B11*2</f>
        <v>1.068</v>
      </c>
      <c r="E11" s="2" t="n">
        <f aca="false">$D$1/$C$1*C11*2</f>
        <v>0.564</v>
      </c>
      <c r="F11" s="2" t="str">
        <f aca="false">_xlfn.CONCAT(D11,$E$1,E11,$E$1,"PB")</f>
        <v>1.068, 0.564, PB</v>
      </c>
    </row>
    <row r="12" customFormat="false" ht="13.8" hidden="false" customHeight="false" outlineLevel="0" collapsed="false">
      <c r="A12" s="2" t="s">
        <v>59</v>
      </c>
      <c r="B12" s="2" t="n">
        <v>662</v>
      </c>
      <c r="C12" s="2" t="n">
        <v>613</v>
      </c>
      <c r="D12" s="2" t="n">
        <f aca="false">$D$1/$C$1*B12</f>
        <v>1.324</v>
      </c>
      <c r="E12" s="2" t="n">
        <f aca="false">$D$1/$C$1*C12</f>
        <v>1.226</v>
      </c>
      <c r="F12" s="2" t="str">
        <f aca="false">_xlfn.CONCAT(D12,$E$1,E12,$E$1,"PB")</f>
        <v>1.324, 1.226, PB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2025-06-22T09:18:10Z</dcterms:created>
  <dc:creator>NTK</dc:creator>
  <dc:description/>
  <dc:language>en-NZ</dc:language>
  <cp:lastModifiedBy/>
  <dcterms:modified xsi:type="dcterms:W3CDTF">2025-10-02T21:13:36Z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