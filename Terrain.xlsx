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20001_{253A496C-A55E-46F6-80AA-34BF214C012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Sheet3!$A$1:$AH$19</definedName>
    <definedName name="Break">#REF!</definedName>
    <definedName name="start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22" i="1" l="1"/>
  <c r="AF22" i="1"/>
  <c r="AG22" i="1" s="1"/>
  <c r="AE22" i="1"/>
  <c r="AC22" i="1" s="1"/>
  <c r="AD22" i="1" s="1"/>
  <c r="AB22" i="1"/>
  <c r="Z22" i="1"/>
  <c r="AA22" i="1" s="1"/>
  <c r="AH21" i="1"/>
  <c r="AF21" i="1"/>
  <c r="AG21" i="1" s="1"/>
  <c r="AE21" i="1"/>
  <c r="AC21" i="1" s="1"/>
  <c r="AD21" i="1" s="1"/>
  <c r="AB21" i="1"/>
  <c r="Z21" i="1"/>
  <c r="AA21" i="1" s="1"/>
  <c r="AH20" i="1"/>
  <c r="AF20" i="1" s="1"/>
  <c r="AG20" i="1" s="1"/>
  <c r="AE20" i="1"/>
  <c r="AC20" i="1"/>
  <c r="AD20" i="1" s="1"/>
  <c r="AB20" i="1"/>
  <c r="Z20" i="1" s="1"/>
  <c r="AA20" i="1" s="1"/>
  <c r="AH19" i="1"/>
  <c r="AF19" i="1" s="1"/>
  <c r="AG19" i="1" s="1"/>
  <c r="AE19" i="1"/>
  <c r="AC19" i="1" s="1"/>
  <c r="AD19" i="1" s="1"/>
  <c r="AB19" i="1"/>
  <c r="Z19" i="1"/>
  <c r="AA19" i="1" s="1"/>
  <c r="AH18" i="1"/>
  <c r="AF18" i="1"/>
  <c r="AG18" i="1" s="1"/>
  <c r="AE18" i="1"/>
  <c r="AC18" i="1"/>
  <c r="AD18" i="1" s="1"/>
  <c r="AB18" i="1"/>
  <c r="Z18" i="1"/>
  <c r="AA18" i="1" s="1"/>
  <c r="AH17" i="1"/>
  <c r="AF17" i="1"/>
  <c r="AG17" i="1" s="1"/>
  <c r="AE17" i="1"/>
  <c r="AC17" i="1"/>
  <c r="AD17" i="1" s="1"/>
  <c r="AB17" i="1"/>
  <c r="Z17" i="1"/>
  <c r="AA17" i="1" s="1"/>
  <c r="AH16" i="1"/>
  <c r="AF16" i="1"/>
  <c r="AG16" i="1" s="1"/>
  <c r="AE16" i="1"/>
  <c r="AC16" i="1"/>
  <c r="AD16" i="1" s="1"/>
  <c r="AB16" i="1"/>
  <c r="Z16" i="1"/>
  <c r="AA16" i="1" s="1"/>
  <c r="AH15" i="1"/>
  <c r="AF15" i="1"/>
  <c r="AG15" i="1" s="1"/>
  <c r="AE15" i="1"/>
  <c r="AC15" i="1"/>
  <c r="AD15" i="1" s="1"/>
  <c r="AB15" i="1"/>
  <c r="Z15" i="1"/>
  <c r="AA15" i="1" s="1"/>
  <c r="AH14" i="1"/>
  <c r="AF14" i="1"/>
  <c r="AG14" i="1" s="1"/>
  <c r="AE14" i="1"/>
  <c r="AC14" i="1"/>
  <c r="AD14" i="1" s="1"/>
  <c r="AB14" i="1"/>
  <c r="Z14" i="1"/>
  <c r="AA14" i="1" s="1"/>
  <c r="AH13" i="1"/>
  <c r="AF13" i="1"/>
  <c r="AG13" i="1" s="1"/>
  <c r="AE13" i="1"/>
  <c r="AC13" i="1"/>
  <c r="AD13" i="1" s="1"/>
  <c r="AB13" i="1"/>
  <c r="Z13" i="1"/>
  <c r="AA13" i="1" s="1"/>
  <c r="AH12" i="1"/>
  <c r="AF12" i="1"/>
  <c r="AG12" i="1" s="1"/>
  <c r="AE12" i="1"/>
  <c r="AC12" i="1" s="1"/>
  <c r="AD12" i="1" s="1"/>
  <c r="AB12" i="1"/>
  <c r="Z12" i="1"/>
  <c r="AA12" i="1" s="1"/>
  <c r="AH11" i="1"/>
  <c r="AF11" i="1"/>
  <c r="AG11" i="1" s="1"/>
  <c r="AE11" i="1"/>
  <c r="AC11" i="1"/>
  <c r="AD11" i="1" s="1"/>
  <c r="AB11" i="1"/>
  <c r="Z11" i="1"/>
  <c r="AA11" i="1" s="1"/>
  <c r="AH10" i="1"/>
  <c r="AF10" i="1"/>
  <c r="AG10" i="1" s="1"/>
  <c r="AE10" i="1"/>
  <c r="AC10" i="1"/>
  <c r="AD10" i="1" s="1"/>
  <c r="AB10" i="1"/>
  <c r="Z10" i="1"/>
  <c r="AA10" i="1" s="1"/>
  <c r="AH9" i="1"/>
  <c r="AF9" i="1"/>
  <c r="AG9" i="1" s="1"/>
  <c r="AE9" i="1"/>
  <c r="AC9" i="1"/>
  <c r="AD9" i="1" s="1"/>
  <c r="AB9" i="1"/>
  <c r="Z9" i="1"/>
  <c r="AA9" i="1" s="1"/>
  <c r="AH8" i="1"/>
  <c r="AF8" i="1"/>
  <c r="AG8" i="1" s="1"/>
  <c r="AE8" i="1"/>
  <c r="AC8" i="1"/>
  <c r="AD8" i="1" s="1"/>
  <c r="AB8" i="1"/>
  <c r="Z8" i="1"/>
  <c r="AA8" i="1" s="1"/>
  <c r="AH7" i="1"/>
  <c r="AF7" i="1"/>
  <c r="AG7" i="1" s="1"/>
  <c r="AE7" i="1"/>
  <c r="AC7" i="1"/>
  <c r="AD7" i="1" s="1"/>
  <c r="AB7" i="1"/>
  <c r="Z7" i="1"/>
  <c r="AA7" i="1" s="1"/>
  <c r="AH6" i="1"/>
  <c r="AF6" i="1"/>
  <c r="AG6" i="1" s="1"/>
  <c r="AE6" i="1"/>
  <c r="AC6" i="1"/>
  <c r="AD6" i="1" s="1"/>
  <c r="AB6" i="1"/>
  <c r="Z6" i="1"/>
  <c r="AA6" i="1" s="1"/>
  <c r="AH5" i="1"/>
  <c r="AF5" i="1" s="1"/>
  <c r="AG5" i="1" s="1"/>
  <c r="AE5" i="1"/>
  <c r="AC5" i="1" s="1"/>
  <c r="AD5" i="1" s="1"/>
  <c r="AB5" i="1"/>
  <c r="Z5" i="1"/>
  <c r="AA5" i="1" s="1"/>
  <c r="AH4" i="1"/>
  <c r="AF4" i="1"/>
  <c r="AG4" i="1" s="1"/>
  <c r="AE4" i="1"/>
  <c r="AC4" i="1"/>
  <c r="AD4" i="1" s="1"/>
  <c r="AB4" i="1"/>
  <c r="Z4" i="1"/>
  <c r="AA4" i="1" s="1"/>
  <c r="AH3" i="1"/>
  <c r="AF3" i="1"/>
  <c r="AG3" i="1" s="1"/>
  <c r="AE3" i="1"/>
  <c r="AC3" i="1"/>
  <c r="AD3" i="1" s="1"/>
  <c r="AB3" i="1"/>
  <c r="Z3" i="1"/>
  <c r="AA3" i="1" s="1"/>
  <c r="AH2" i="1"/>
  <c r="AF2" i="1" s="1"/>
  <c r="AG2" i="1" s="1"/>
  <c r="AE2" i="1"/>
  <c r="AC2" i="1"/>
  <c r="AD2" i="1" s="1"/>
  <c r="AB2" i="1"/>
  <c r="Z2" i="1"/>
  <c r="AA2" i="1" s="1"/>
</calcChain>
</file>

<file path=xl/sharedStrings.xml><?xml version="1.0" encoding="utf-8"?>
<sst xmlns="http://schemas.openxmlformats.org/spreadsheetml/2006/main" count="202" uniqueCount="152">
  <si>
    <t>Change state</t>
  </si>
  <si>
    <t>Name</t>
  </si>
  <si>
    <t>ShapeText</t>
  </si>
  <si>
    <t>ShapeIcon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</si>
  <si>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</si>
  <si>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</si>
  <si>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</si>
  <si>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</si>
  <si>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</si>
  <si>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</si>
  <si>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</si>
  <si>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</si>
  <si>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</si>
  <si>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</si>
  <si>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</si>
  <si>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</si>
  <si>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</si>
  <si>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</si>
  <si>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</si>
  <si>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</si>
  <si>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</si>
  <si>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</si>
  <si>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</si>
  <si>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</si>
  <si>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</si>
  <si>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</si>
  <si>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</si>
  <si>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</si>
  <si>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</si>
  <si>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</si>
  <si>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</si>
  <si>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</si>
  <si>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</si>
  <si>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</si>
  <si>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Archer's Roost</t>
  </si>
  <si>
    <t>Shape = 2 Adjacent Hexes</t>
  </si>
  <si>
    <t>RoostICON</t>
  </si>
  <si>
    <t>Active</t>
  </si>
  <si>
    <t>&lt;b&gt;One Hex is Stairs&lt;/b&gt;</t>
  </si>
  <si>
    <t>Climb the stairs to high ground for no extra movement cost.</t>
  </si>
  <si>
    <t>&lt;b&gt;One Hex is High Ground&lt;/b&gt;</t>
  </si>
  <si>
    <t>Ranged attacks always hit beings below.
&lt;br /&gt;JazzT or 3 AP to climb up or down. 
&lt;br /&gt;Take 8 damage if you fall.</t>
  </si>
  <si>
    <t>Campfire</t>
  </si>
  <si>
    <t>&lt;br /&gt;
Shape = 1 Hex</t>
  </si>
  <si>
    <t>CampfireICON</t>
  </si>
  <si>
    <t>&lt;b&gt;Rest:&lt;/b&gt; 3 AP</t>
  </si>
  <si>
    <t>Gain the well rested status effect.</t>
  </si>
  <si>
    <t>&lt;b&gt;Burning&lt;/b&gt;</t>
  </si>
  <si>
    <t>If a being steps on the campfire they take 4 Armour Piercing damage and suffer the burning status.</t>
  </si>
  <si>
    <t>Cave Paintings</t>
  </si>
  <si>
    <t>PaintICON</t>
  </si>
  <si>
    <t>&lt;b&gt;Study:&lt;/b&gt; 1 AP</t>
  </si>
  <si>
    <t>Permanently gain a +1 damage bonus against the boss.
&lt;br /&gt;Each player can only study each painting once.</t>
  </si>
  <si>
    <t>&lt;b&gt;Scattered Story&lt;/b&gt;</t>
  </si>
  <si>
    <t>Each painting must be at least 3 Hexes away from any other paintings</t>
  </si>
  <si>
    <t>&lt;span style="color:#e74c3c"&gt;&lt;b&gt;Flesh&lt;/b&gt;&lt;/span&gt;</t>
  </si>
  <si>
    <t>Fixed Arbalest</t>
  </si>
  <si>
    <t>ArbICON</t>
  </si>
  <si>
    <t>&lt;b&gt;Fire:&lt;/b&gt; 3 AP</t>
  </si>
  <si>
    <t>The arbalest must be loaded. 
&lt;br /&gt;Damage = 8, Ranged Attack 
&lt;br /&gt;Hits everyone in a line.</t>
  </si>
  <si>
    <t xml:space="preserve">&lt;b&gt;Reload:&lt;/b&gt; 3 AP + flesht flesht: </t>
  </si>
  <si>
    <t>Reload the arbalest. &lt;br /&gt; The Arbalest starts the combat loaded.</t>
  </si>
  <si>
    <t>&lt;span style="color:#3366cc"&gt;&lt;b&gt;Weird&lt;/b&gt;&lt;/span&gt;</t>
  </si>
  <si>
    <t>Fountain of life</t>
  </si>
  <si>
    <t>SpringICON</t>
  </si>
  <si>
    <t>&lt;b&gt;Drink:&lt;/b&gt; 3 AP</t>
  </si>
  <si>
    <t>Restore 2 wounds and empty the fountain. It cannot be used again.</t>
  </si>
  <si>
    <t>&lt;span style="color:#27ae60"&gt;&lt;b&gt;Jazz&lt;/b&gt;&lt;/span&gt;</t>
  </si>
  <si>
    <t>Leyline Nexus</t>
  </si>
  <si>
    <t>LeylineICON</t>
  </si>
  <si>
    <t>&lt;b&gt;Channel Power:&lt;/b&gt; 3 AP</t>
  </si>
  <si>
    <t>Refresh two spent stats tokens and destroy Leyline Nexus.</t>
  </si>
  <si>
    <t>Mud Pit</t>
  </si>
  <si>
    <t>&lt;br /&gt;
Shape = 3 Hexs</t>
  </si>
  <si>
    <t>MudICON</t>
  </si>
  <si>
    <t>&lt;b&gt;Thick Mud&lt;/b&gt;</t>
  </si>
  <si>
    <t>Spend 1 AP or fleshT to enter 1 hex.</t>
  </si>
  <si>
    <r>
      <rPr>
        <sz val="11"/>
        <color rgb="FF000000"/>
        <rFont val="Aptos Narrow"/>
        <family val="2"/>
        <charset val="1"/>
      </rPr>
      <t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</si>
  <si>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>Gain 1 limb. This can only be done once.</t>
  </si>
  <si>
    <t>Pleasant Aura-stone</t>
  </si>
  <si>
    <t>AuraICON</t>
  </si>
  <si>
    <t>&lt;b&gt;Reinforcing Aura&lt;/b&gt;</t>
  </si>
  <si>
    <t>Any being that ends their turn within the aura gains up to 2 temporary composure.</t>
  </si>
  <si>
    <t>Portal</t>
  </si>
  <si>
    <t>PortalICON</t>
  </si>
  <si>
    <t>&lt;b&gt;Many Doors&lt;/b&gt;</t>
  </si>
  <si>
    <t>Place 2 Portals on the map</t>
  </si>
  <si>
    <r>
      <rPr>
        <sz val="11"/>
        <color rgb="FF000000"/>
        <rFont val="Aptos Narrow"/>
        <family val="2"/>
        <charset val="1"/>
      </rPr>
      <t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</si>
  <si>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>Teleport to any unoccupied portal hex.</t>
  </si>
  <si>
    <t>Pure Clay</t>
  </si>
  <si>
    <t>ClayICON</t>
  </si>
  <si>
    <r>
      <rPr>
        <sz val="11"/>
        <color rgb="FF000000"/>
        <rFont val="Aptos Narrow"/>
        <family val="2"/>
        <charset val="1"/>
      </rPr>
      <t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</si>
  <si>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>Destroy this and gain the Imbued status.</t>
  </si>
  <si>
    <t>Quartz Sphere</t>
  </si>
  <si>
    <t>SphereICON</t>
  </si>
  <si>
    <r>
      <rPr>
        <sz val="11"/>
        <color rgb="FF000000"/>
        <rFont val="Aptos Narrow"/>
        <family val="2"/>
        <charset val="1"/>
      </rPr>
      <t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</si>
  <si>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>Gain the portent status.</t>
  </si>
  <si>
    <t>Sculpting wheel</t>
  </si>
  <si>
    <t>WheelICON</t>
  </si>
  <si>
    <t>&lt;b&gt;Locked:&lt;/b&gt; Use &lt;b&gt;Imbued&lt;/b&gt;</t>
  </si>
  <si>
    <t>Look at 2 limbs or impressions and equip any number of them. Then destroy this</t>
  </si>
  <si>
    <t>Stained Stalagmite</t>
  </si>
  <si>
    <t>StalagmiteICON</t>
  </si>
  <si>
    <t>&lt;b&gt;Sacrifice:&lt;/b&gt; 1 AP</t>
  </si>
  <si>
    <t>Take a wound to a stat of your choice and draw an impression. You may equip it.</t>
  </si>
  <si>
    <t>Transpondermagig</t>
  </si>
  <si>
    <t>SwitchICON</t>
  </si>
  <si>
    <t>&lt;b&gt;Transponderify:&lt;/b&gt; 1 AP + WeirdT</t>
  </si>
  <si>
    <t>Swap locations with target being.</t>
  </si>
  <si>
    <t>Clearing</t>
  </si>
  <si>
    <r>
      <rPr>
        <sz val="11"/>
        <color theme="1"/>
        <rFont val="Aptos Narrow"/>
        <family val="2"/>
        <charset val="1"/>
      </rPr>
      <t>Shape = U</t>
    </r>
    <r>
      <rPr>
        <sz val="10"/>
        <color theme="1"/>
        <rFont val="Candara"/>
        <family val="2"/>
        <charset val="1"/>
      </rPr>
      <t>p to 6 adjacent hexes</t>
    </r>
  </si>
  <si>
    <t>TunnelICON</t>
  </si>
  <si>
    <t>&lt;b&gt;Clear The Way&lt;/b&gt;</t>
  </si>
  <si>
    <t>Create a Clearing through any map terrain, including walls. Clearing tiles are simple open space.</t>
  </si>
  <si>
    <t>&lt;b&gt;Keep What Matters&lt;/b&gt;</t>
  </si>
  <si>
    <t>Clearing can not remove other Boons</t>
  </si>
  <si>
    <t>Weird Fossil</t>
  </si>
  <si>
    <t>FossilICON</t>
  </si>
  <si>
    <t>&lt;b&gt;Excavated:&lt;/b&gt; 3 AP or weirdT + 1 AP</t>
  </si>
  <si>
    <t>Replenish a spent charge token on a card and destroy this hex.</t>
  </si>
  <si>
    <t>Whisky Barrel</t>
  </si>
  <si>
    <t>WhiskyICON</t>
  </si>
  <si>
    <t>&lt;b&gt;Drink:&lt;/b&gt; 1 AP</t>
  </si>
  <si>
    <t>Become monstrous.</t>
  </si>
  <si>
    <t>&lt;b&gt;Delicate&lt;/b&gt;</t>
  </si>
  <si>
    <t>&lt;b&gt;Flammable, Destructible&lt;/b&gt;</t>
  </si>
  <si>
    <t>Writhing greatworm</t>
  </si>
  <si>
    <t>WormICON</t>
  </si>
  <si>
    <t>&lt;b&gt;Wrangle:&lt;/b&gt; 2 AP + fleshT</t>
  </si>
  <si>
    <t>Pick up the worm, it counts as an equipped limb.</t>
  </si>
  <si>
    <t>&lt;b&gt;Unleash:&lt;/b&gt; 2 AP</t>
  </si>
  <si>
    <t>Damage = 6, close range.
&lt;br /&gt;Drop the worm onto an adjacent hex if you hit.</t>
  </si>
  <si>
    <t>Weird Stone</t>
  </si>
  <si>
    <t>&lt;br /&gt;
Shape = On the map</t>
  </si>
  <si>
    <t>WeirdICON</t>
  </si>
  <si>
    <t>&lt;b&gt;Weird Aura&lt;/b&gt;</t>
  </si>
  <si>
    <t>While the weirdstone is in play, any being that spends weirdt takes 2 damage.</t>
  </si>
  <si>
    <t>&lt;b&gt;Fragile&lt;/b&gt;</t>
  </si>
  <si>
    <t>The Weirdstone is &lt;b&gt;Destructable&lt;/b&gt; (it is destroyed by any amount of damage)</t>
  </si>
  <si>
    <t>Gate</t>
  </si>
  <si>
    <t>GateICON</t>
  </si>
  <si>
    <t>&lt;b&gt;Solid&lt;/b&gt;</t>
  </si>
  <si>
    <t>The gate blocks line of sight and movement</t>
  </si>
  <si>
    <t>Open the gate, removing this tile from the map</t>
  </si>
  <si>
    <t>Cliff</t>
  </si>
  <si>
    <t>CliffICON</t>
  </si>
  <si>
    <t>&lt;b&gt;Climb&lt;/b&gt;</t>
  </si>
  <si>
    <t xml:space="preserve">Ranged attacks always hit beings below.
&lt;br /&gt;JazzT or 3 AP to climb up or down. 
</t>
  </si>
  <si>
    <t>&lt;b&gt;Fall&lt;/b&gt;</t>
  </si>
  <si>
    <t>Take 8 damage if you fall.</t>
  </si>
  <si>
    <t>The boss will end its current move action after climbing up or down a cliff.</t>
  </si>
  <si>
    <t>Boss Behaviour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</si>
</sst>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B3CAC7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 readingOrder="1"/>
    </xf>
    <xf numFmtId="0" fontId="0" fillId="3" borderId="3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4" fillId="0" borderId="2" xfId="0" applyFont="1" applyBorder="1" applyAlignment="1">
      <alignment horizontal="center" vertical="top" wrapText="1" readingOrder="1"/>
    </xf>
    <xf numFmtId="0" fontId="0" fillId="0" borderId="4" xfId="0" applyFill="1" applyBorder="1" applyAlignment="1">
      <alignment horizontal="left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2"/>
  <sheetViews>
    <sheetView tabSelected="1" zoomScale="90" zoomScaleNormal="90" workbookViewId="0">
      <pane xSplit="2" ySplit="1" topLeftCell="C13" activePane="bottomRight" state="frozen"/>
      <selection pane="topRight" activeCell="J1" sqref="J1"/>
      <selection pane="bottomLeft" activeCell="A2" sqref="A2"/>
      <selection pane="bottomRight" activeCell="R23" sqref="R23"/>
    </sheetView>
  </sheetViews>
  <sheetFormatPr defaultColWidth="8.5703125" defaultRowHeight="15" x14ac:dyDescent="0.25"/>
  <cols>
    <col min="1" max="2" width="11" customWidth="1"/>
    <col min="3" max="3" width="17.140625" customWidth="1"/>
    <col min="4" max="4" width="15.710937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34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3.570312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3.5703125" style="2" customWidth="1"/>
    <col min="20" max="20" width="1.42578125" customWidth="1"/>
    <col min="21" max="21" width="10" customWidth="1"/>
    <col min="22" max="22" width="12.85546875" customWidth="1"/>
    <col min="25" max="32" width="10.5703125" customWidth="1"/>
  </cols>
  <sheetData>
    <row r="1" spans="1:34" ht="35.25" customHeight="1" x14ac:dyDescent="0.25">
      <c r="A1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5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6" t="s">
        <v>14</v>
      </c>
      <c r="P1" s="4" t="s">
        <v>15</v>
      </c>
      <c r="Q1" s="4" t="s">
        <v>16</v>
      </c>
      <c r="R1" s="4" t="s">
        <v>17</v>
      </c>
      <c r="S1" s="3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</row>
    <row r="2" spans="1:34" ht="69.95" customHeight="1" x14ac:dyDescent="0.25">
      <c r="B2" s="7" t="s">
        <v>34</v>
      </c>
      <c r="C2" s="8" t="s">
        <v>35</v>
      </c>
      <c r="D2" s="8" t="s">
        <v>36</v>
      </c>
      <c r="E2" s="9"/>
      <c r="F2" s="8">
        <v>1</v>
      </c>
      <c r="G2" s="8" t="s">
        <v>37</v>
      </c>
      <c r="H2" s="8" t="s">
        <v>38</v>
      </c>
      <c r="I2" s="10" t="s">
        <v>39</v>
      </c>
      <c r="J2" s="9"/>
      <c r="K2" s="8">
        <v>5</v>
      </c>
      <c r="L2" s="8" t="s">
        <v>37</v>
      </c>
      <c r="M2" s="8" t="s">
        <v>40</v>
      </c>
      <c r="N2" s="10" t="s">
        <v>41</v>
      </c>
      <c r="O2" s="11"/>
      <c r="P2" s="8"/>
      <c r="Q2" s="8"/>
      <c r="R2" s="8"/>
      <c r="S2" s="10"/>
      <c r="T2" s="9"/>
      <c r="U2" s="8">
        <v>34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 t="shared" ref="Z2:Z22" si="0">AB2+Y$2</f>
        <v>28</v>
      </c>
      <c r="AA2" s="8">
        <f t="shared" ref="AA2:AA22" si="1">Z2+X$2</f>
        <v>26.9</v>
      </c>
      <c r="AB2" s="8">
        <f t="shared" ref="AB2:AB22" si="2">U$2+V$2*(F2-1)</f>
        <v>34</v>
      </c>
      <c r="AC2" s="8">
        <f t="shared" ref="AC2:AC22" si="3">AE2+Y$2</f>
        <v>48.6</v>
      </c>
      <c r="AD2" s="8">
        <f t="shared" ref="AD2:AD22" si="4">AC2+X$2</f>
        <v>47.5</v>
      </c>
      <c r="AE2" s="8">
        <f t="shared" ref="AE2:AE22" si="5">U$2+V$2*(K2-1)+W$2</f>
        <v>54.6</v>
      </c>
      <c r="AF2" s="8">
        <f t="shared" ref="AF2:AF22" si="6">AH2+Y$2</f>
        <v>29.6</v>
      </c>
      <c r="AG2" s="8">
        <f t="shared" ref="AG2:AG22" si="7">AF2+X$2</f>
        <v>28.5</v>
      </c>
      <c r="AH2" s="12">
        <f t="shared" ref="AH2:AH22" si="8">U$2+V$2*(P2-1)+2*W$2</f>
        <v>35.6</v>
      </c>
    </row>
    <row r="3" spans="1:34" ht="38.25" x14ac:dyDescent="0.25">
      <c r="B3" s="7" t="s">
        <v>42</v>
      </c>
      <c r="C3" s="8" t="s">
        <v>43</v>
      </c>
      <c r="D3" s="8" t="s">
        <v>44</v>
      </c>
      <c r="E3" s="9"/>
      <c r="F3" s="8">
        <v>1</v>
      </c>
      <c r="G3" s="8" t="s">
        <v>37</v>
      </c>
      <c r="H3" s="8" t="s">
        <v>45</v>
      </c>
      <c r="I3" s="10" t="s">
        <v>46</v>
      </c>
      <c r="J3" s="9"/>
      <c r="K3" s="8">
        <v>4</v>
      </c>
      <c r="L3" s="8" t="s">
        <v>37</v>
      </c>
      <c r="M3" s="8" t="s">
        <v>47</v>
      </c>
      <c r="N3" s="10" t="s">
        <v>48</v>
      </c>
      <c r="O3" s="11"/>
      <c r="P3" s="8"/>
      <c r="Q3" s="8"/>
      <c r="R3" s="8"/>
      <c r="S3" s="10"/>
      <c r="T3" s="9"/>
      <c r="U3" s="8"/>
      <c r="V3" s="8"/>
      <c r="W3" s="8"/>
      <c r="X3" s="8"/>
      <c r="Y3" s="8"/>
      <c r="Z3" s="8">
        <f t="shared" si="0"/>
        <v>28</v>
      </c>
      <c r="AA3" s="8">
        <f t="shared" si="1"/>
        <v>26.9</v>
      </c>
      <c r="AB3" s="8">
        <f t="shared" si="2"/>
        <v>34</v>
      </c>
      <c r="AC3" s="8">
        <f t="shared" si="3"/>
        <v>44.2</v>
      </c>
      <c r="AD3" s="8">
        <f t="shared" si="4"/>
        <v>43.1</v>
      </c>
      <c r="AE3" s="8">
        <f t="shared" si="5"/>
        <v>50.2</v>
      </c>
      <c r="AF3" s="8">
        <f t="shared" si="6"/>
        <v>29.6</v>
      </c>
      <c r="AG3" s="8">
        <f t="shared" si="7"/>
        <v>28.5</v>
      </c>
      <c r="AH3" s="12">
        <f t="shared" si="8"/>
        <v>35.6</v>
      </c>
    </row>
    <row r="4" spans="1:34" ht="75" x14ac:dyDescent="0.25">
      <c r="B4" s="7" t="s">
        <v>49</v>
      </c>
      <c r="C4" s="8" t="s">
        <v>43</v>
      </c>
      <c r="D4" s="8" t="s">
        <v>50</v>
      </c>
      <c r="E4" s="9"/>
      <c r="F4" s="8">
        <v>1</v>
      </c>
      <c r="G4" s="8" t="s">
        <v>37</v>
      </c>
      <c r="H4" s="13" t="s">
        <v>51</v>
      </c>
      <c r="I4" s="10" t="s">
        <v>52</v>
      </c>
      <c r="J4" s="9"/>
      <c r="K4" s="8">
        <v>7</v>
      </c>
      <c r="L4" s="8" t="s">
        <v>37</v>
      </c>
      <c r="M4" s="8" t="s">
        <v>53</v>
      </c>
      <c r="N4" s="10" t="s">
        <v>54</v>
      </c>
      <c r="O4" s="11"/>
      <c r="P4" s="8"/>
      <c r="Q4" s="8"/>
      <c r="R4" s="8"/>
      <c r="S4" s="10"/>
      <c r="T4" s="9"/>
      <c r="U4" s="8"/>
      <c r="V4" s="14" t="s">
        <v>55</v>
      </c>
      <c r="W4" s="8"/>
      <c r="X4" s="8"/>
      <c r="Y4" s="8"/>
      <c r="Z4" s="8">
        <f t="shared" si="0"/>
        <v>28</v>
      </c>
      <c r="AA4" s="8">
        <f t="shared" si="1"/>
        <v>26.9</v>
      </c>
      <c r="AB4" s="8">
        <f t="shared" si="2"/>
        <v>34</v>
      </c>
      <c r="AC4" s="8">
        <f t="shared" si="3"/>
        <v>57.400000000000006</v>
      </c>
      <c r="AD4" s="8">
        <f t="shared" si="4"/>
        <v>56.300000000000004</v>
      </c>
      <c r="AE4" s="8">
        <f t="shared" si="5"/>
        <v>63.400000000000006</v>
      </c>
      <c r="AF4" s="8">
        <f t="shared" si="6"/>
        <v>29.6</v>
      </c>
      <c r="AG4" s="8">
        <f t="shared" si="7"/>
        <v>28.5</v>
      </c>
      <c r="AH4" s="12">
        <f t="shared" si="8"/>
        <v>35.6</v>
      </c>
    </row>
    <row r="5" spans="1:34" ht="75" x14ac:dyDescent="0.25">
      <c r="B5" s="7" t="s">
        <v>56</v>
      </c>
      <c r="C5" s="8" t="s">
        <v>43</v>
      </c>
      <c r="D5" s="8" t="s">
        <v>57</v>
      </c>
      <c r="E5" s="9"/>
      <c r="F5" s="8">
        <v>1</v>
      </c>
      <c r="G5" s="8" t="s">
        <v>37</v>
      </c>
      <c r="H5" s="8" t="s">
        <v>58</v>
      </c>
      <c r="I5" s="10" t="s">
        <v>59</v>
      </c>
      <c r="J5" s="9"/>
      <c r="K5" s="8">
        <v>6</v>
      </c>
      <c r="L5" s="8" t="s">
        <v>37</v>
      </c>
      <c r="M5" s="8" t="s">
        <v>60</v>
      </c>
      <c r="N5" s="10" t="s">
        <v>61</v>
      </c>
      <c r="O5" s="11"/>
      <c r="P5" s="8"/>
      <c r="Q5" s="8"/>
      <c r="R5" s="8"/>
      <c r="S5" s="10"/>
      <c r="T5" s="9"/>
      <c r="U5" s="8"/>
      <c r="V5" s="15" t="s">
        <v>62</v>
      </c>
      <c r="W5" s="8"/>
      <c r="X5" s="8"/>
      <c r="Y5" s="8"/>
      <c r="Z5" s="8">
        <f t="shared" si="0"/>
        <v>28</v>
      </c>
      <c r="AA5" s="8">
        <f t="shared" si="1"/>
        <v>26.9</v>
      </c>
      <c r="AB5" s="8">
        <f t="shared" si="2"/>
        <v>34</v>
      </c>
      <c r="AC5" s="8">
        <f t="shared" si="3"/>
        <v>53</v>
      </c>
      <c r="AD5" s="8">
        <f t="shared" si="4"/>
        <v>51.9</v>
      </c>
      <c r="AE5" s="8">
        <f t="shared" si="5"/>
        <v>59</v>
      </c>
      <c r="AF5" s="8">
        <f t="shared" si="6"/>
        <v>29.6</v>
      </c>
      <c r="AG5" s="8">
        <f t="shared" si="7"/>
        <v>28.5</v>
      </c>
      <c r="AH5" s="12">
        <f t="shared" si="8"/>
        <v>35.6</v>
      </c>
    </row>
    <row r="6" spans="1:34" ht="75" x14ac:dyDescent="0.25">
      <c r="B6" s="7" t="s">
        <v>63</v>
      </c>
      <c r="C6" s="8" t="s">
        <v>43</v>
      </c>
      <c r="D6" s="8" t="s">
        <v>64</v>
      </c>
      <c r="E6" s="9"/>
      <c r="F6" s="8">
        <v>1</v>
      </c>
      <c r="G6" s="8" t="s">
        <v>37</v>
      </c>
      <c r="H6" s="8" t="s">
        <v>65</v>
      </c>
      <c r="I6" s="10" t="s">
        <v>66</v>
      </c>
      <c r="J6" s="9"/>
      <c r="K6" s="8"/>
      <c r="L6" s="8"/>
      <c r="M6" s="8"/>
      <c r="N6" s="10"/>
      <c r="O6" s="11"/>
      <c r="P6" s="8"/>
      <c r="Q6" s="8"/>
      <c r="R6" s="8"/>
      <c r="S6" s="10"/>
      <c r="T6" s="9"/>
      <c r="U6" s="8"/>
      <c r="V6" s="16" t="s">
        <v>67</v>
      </c>
      <c r="W6" s="8"/>
      <c r="X6" s="8"/>
      <c r="Y6" s="8"/>
      <c r="Z6" s="8">
        <f t="shared" si="0"/>
        <v>28</v>
      </c>
      <c r="AA6" s="8">
        <f t="shared" si="1"/>
        <v>26.9</v>
      </c>
      <c r="AB6" s="8">
        <f t="shared" si="2"/>
        <v>34</v>
      </c>
      <c r="AC6" s="8">
        <f t="shared" si="3"/>
        <v>26.6</v>
      </c>
      <c r="AD6" s="8">
        <f t="shared" si="4"/>
        <v>25.5</v>
      </c>
      <c r="AE6" s="8">
        <f t="shared" si="5"/>
        <v>32.6</v>
      </c>
      <c r="AF6" s="8">
        <f t="shared" si="6"/>
        <v>29.6</v>
      </c>
      <c r="AG6" s="8">
        <f t="shared" si="7"/>
        <v>28.5</v>
      </c>
      <c r="AH6" s="12">
        <f t="shared" si="8"/>
        <v>35.6</v>
      </c>
    </row>
    <row r="7" spans="1:34" ht="30" x14ac:dyDescent="0.25">
      <c r="B7" s="7" t="s">
        <v>68</v>
      </c>
      <c r="C7" s="8" t="s">
        <v>43</v>
      </c>
      <c r="D7" s="8" t="s">
        <v>69</v>
      </c>
      <c r="E7" s="9"/>
      <c r="F7" s="8">
        <v>1</v>
      </c>
      <c r="G7" s="8" t="s">
        <v>37</v>
      </c>
      <c r="H7" s="8" t="s">
        <v>70</v>
      </c>
      <c r="I7" s="10" t="s">
        <v>71</v>
      </c>
      <c r="J7" s="9"/>
      <c r="K7" s="8"/>
      <c r="L7" s="8"/>
      <c r="M7" s="8"/>
      <c r="N7" s="10"/>
      <c r="O7" s="11"/>
      <c r="P7" s="8"/>
      <c r="Q7" s="8"/>
      <c r="R7" s="8"/>
      <c r="S7" s="10"/>
      <c r="T7" s="9"/>
      <c r="U7" s="8"/>
      <c r="V7" s="8"/>
      <c r="W7" s="8"/>
      <c r="X7" s="8"/>
      <c r="Y7" s="8"/>
      <c r="Z7" s="8">
        <f t="shared" si="0"/>
        <v>28</v>
      </c>
      <c r="AA7" s="8">
        <f t="shared" si="1"/>
        <v>26.9</v>
      </c>
      <c r="AB7" s="8">
        <f t="shared" si="2"/>
        <v>34</v>
      </c>
      <c r="AC7" s="8">
        <f t="shared" si="3"/>
        <v>26.6</v>
      </c>
      <c r="AD7" s="8">
        <f t="shared" si="4"/>
        <v>25.5</v>
      </c>
      <c r="AE7" s="8">
        <f t="shared" si="5"/>
        <v>32.6</v>
      </c>
      <c r="AF7" s="8">
        <f t="shared" si="6"/>
        <v>29.6</v>
      </c>
      <c r="AG7" s="8">
        <f t="shared" si="7"/>
        <v>28.5</v>
      </c>
      <c r="AH7" s="12">
        <f t="shared" si="8"/>
        <v>35.6</v>
      </c>
    </row>
    <row r="8" spans="1:34" ht="30" x14ac:dyDescent="0.25">
      <c r="B8" s="7" t="s">
        <v>72</v>
      </c>
      <c r="C8" s="8" t="s">
        <v>73</v>
      </c>
      <c r="D8" s="8" t="s">
        <v>74</v>
      </c>
      <c r="E8" s="17"/>
      <c r="F8" s="8">
        <v>1</v>
      </c>
      <c r="G8" s="8" t="s">
        <v>37</v>
      </c>
      <c r="H8" s="13" t="s">
        <v>75</v>
      </c>
      <c r="I8" s="10" t="s">
        <v>76</v>
      </c>
      <c r="J8" s="17"/>
      <c r="K8" s="8">
        <v>4</v>
      </c>
      <c r="L8" s="8" t="s">
        <v>37</v>
      </c>
      <c r="M8" s="13" t="s">
        <v>77</v>
      </c>
      <c r="N8" s="10" t="s">
        <v>78</v>
      </c>
      <c r="O8" s="18"/>
      <c r="P8" s="8"/>
      <c r="Q8" s="8"/>
      <c r="R8" s="8"/>
      <c r="S8" s="10"/>
      <c r="T8" s="9"/>
      <c r="U8" s="8"/>
      <c r="V8" s="8"/>
      <c r="W8" s="8"/>
      <c r="X8" s="8"/>
      <c r="Y8" s="8"/>
      <c r="Z8" s="8">
        <f t="shared" si="0"/>
        <v>28</v>
      </c>
      <c r="AA8" s="8">
        <f t="shared" si="1"/>
        <v>26.9</v>
      </c>
      <c r="AB8" s="8">
        <f t="shared" si="2"/>
        <v>34</v>
      </c>
      <c r="AC8" s="8">
        <f t="shared" si="3"/>
        <v>44.2</v>
      </c>
      <c r="AD8" s="8">
        <f t="shared" si="4"/>
        <v>43.1</v>
      </c>
      <c r="AE8" s="8">
        <f t="shared" si="5"/>
        <v>50.2</v>
      </c>
      <c r="AF8" s="8">
        <f t="shared" si="6"/>
        <v>29.6</v>
      </c>
      <c r="AG8" s="8">
        <f t="shared" si="7"/>
        <v>28.5</v>
      </c>
      <c r="AH8" s="12">
        <f t="shared" si="8"/>
        <v>35.6</v>
      </c>
    </row>
    <row r="9" spans="1:34" ht="38.25" x14ac:dyDescent="0.25">
      <c r="B9" s="7" t="s">
        <v>79</v>
      </c>
      <c r="C9" s="8" t="s">
        <v>43</v>
      </c>
      <c r="D9" s="8" t="s">
        <v>80</v>
      </c>
      <c r="E9" s="9"/>
      <c r="F9" s="8">
        <v>1</v>
      </c>
      <c r="G9" s="8" t="s">
        <v>37</v>
      </c>
      <c r="H9" s="8" t="s">
        <v>81</v>
      </c>
      <c r="I9" s="10" t="s">
        <v>82</v>
      </c>
      <c r="J9" s="9"/>
      <c r="K9" s="8"/>
      <c r="L9" s="8"/>
      <c r="M9" s="8"/>
      <c r="N9" s="10"/>
      <c r="O9" s="11"/>
      <c r="P9" s="12"/>
      <c r="Q9" s="8"/>
      <c r="R9" s="8"/>
      <c r="S9" s="10"/>
      <c r="T9" s="9"/>
      <c r="U9" s="8"/>
      <c r="V9" s="8"/>
      <c r="W9" s="8"/>
      <c r="X9" s="8"/>
      <c r="Y9" s="8"/>
      <c r="Z9" s="8">
        <f t="shared" si="0"/>
        <v>28</v>
      </c>
      <c r="AA9" s="8">
        <f t="shared" si="1"/>
        <v>26.9</v>
      </c>
      <c r="AB9" s="8">
        <f t="shared" si="2"/>
        <v>34</v>
      </c>
      <c r="AC9" s="8">
        <f t="shared" si="3"/>
        <v>26.6</v>
      </c>
      <c r="AD9" s="8">
        <f t="shared" si="4"/>
        <v>25.5</v>
      </c>
      <c r="AE9" s="8">
        <f t="shared" si="5"/>
        <v>32.6</v>
      </c>
      <c r="AF9" s="8">
        <f t="shared" si="6"/>
        <v>29.6</v>
      </c>
      <c r="AG9" s="8">
        <f t="shared" si="7"/>
        <v>28.5</v>
      </c>
      <c r="AH9" s="12">
        <f t="shared" si="8"/>
        <v>35.6</v>
      </c>
    </row>
    <row r="10" spans="1:34" ht="30" x14ac:dyDescent="0.25">
      <c r="B10" s="7" t="s">
        <v>83</v>
      </c>
      <c r="C10" s="8" t="s">
        <v>43</v>
      </c>
      <c r="D10" s="8" t="s">
        <v>84</v>
      </c>
      <c r="E10" s="9"/>
      <c r="F10" s="8">
        <v>1</v>
      </c>
      <c r="G10" s="8" t="s">
        <v>37</v>
      </c>
      <c r="H10" s="13" t="s">
        <v>85</v>
      </c>
      <c r="I10" s="10" t="s">
        <v>86</v>
      </c>
      <c r="J10" s="9"/>
      <c r="K10" s="8">
        <v>4</v>
      </c>
      <c r="L10" s="8" t="s">
        <v>37</v>
      </c>
      <c r="M10" s="13" t="s">
        <v>87</v>
      </c>
      <c r="N10" s="10" t="s">
        <v>88</v>
      </c>
      <c r="O10" s="11"/>
      <c r="P10" s="8"/>
      <c r="Q10" s="8"/>
      <c r="R10" s="8"/>
      <c r="S10" s="10"/>
      <c r="T10" s="9"/>
      <c r="U10" s="8"/>
      <c r="V10" s="8"/>
      <c r="W10" s="8"/>
      <c r="X10" s="8"/>
      <c r="Y10" s="8"/>
      <c r="Z10" s="8">
        <f t="shared" si="0"/>
        <v>28</v>
      </c>
      <c r="AA10" s="8">
        <f t="shared" si="1"/>
        <v>26.9</v>
      </c>
      <c r="AB10" s="8">
        <f t="shared" si="2"/>
        <v>34</v>
      </c>
      <c r="AC10" s="8">
        <f t="shared" si="3"/>
        <v>44.2</v>
      </c>
      <c r="AD10" s="8">
        <f t="shared" si="4"/>
        <v>43.1</v>
      </c>
      <c r="AE10" s="8">
        <f t="shared" si="5"/>
        <v>50.2</v>
      </c>
      <c r="AF10" s="8">
        <f t="shared" si="6"/>
        <v>29.6</v>
      </c>
      <c r="AG10" s="8">
        <f t="shared" si="7"/>
        <v>28.5</v>
      </c>
      <c r="AH10" s="12">
        <f t="shared" si="8"/>
        <v>35.6</v>
      </c>
    </row>
    <row r="11" spans="1:34" ht="30" x14ac:dyDescent="0.25">
      <c r="B11" s="7" t="s">
        <v>89</v>
      </c>
      <c r="C11" s="8" t="s">
        <v>43</v>
      </c>
      <c r="D11" s="8" t="s">
        <v>90</v>
      </c>
      <c r="E11" s="9"/>
      <c r="F11" s="8">
        <v>1</v>
      </c>
      <c r="G11" s="8" t="s">
        <v>37</v>
      </c>
      <c r="H11" s="13" t="s">
        <v>91</v>
      </c>
      <c r="I11" s="10" t="s">
        <v>92</v>
      </c>
      <c r="J11" s="9"/>
      <c r="K11" s="8"/>
      <c r="L11" s="12"/>
      <c r="M11" s="8"/>
      <c r="N11" s="10"/>
      <c r="O11" s="11"/>
      <c r="P11" s="8"/>
      <c r="Q11" s="8"/>
      <c r="R11" s="8"/>
      <c r="S11" s="10"/>
      <c r="T11" s="9"/>
      <c r="U11" s="8"/>
      <c r="V11" s="8"/>
      <c r="W11" s="8"/>
      <c r="X11" s="8"/>
      <c r="Y11" s="8"/>
      <c r="Z11" s="8">
        <f t="shared" si="0"/>
        <v>28</v>
      </c>
      <c r="AA11" s="8">
        <f t="shared" si="1"/>
        <v>26.9</v>
      </c>
      <c r="AB11" s="8">
        <f t="shared" si="2"/>
        <v>34</v>
      </c>
      <c r="AC11" s="8">
        <f t="shared" si="3"/>
        <v>26.6</v>
      </c>
      <c r="AD11" s="8">
        <f t="shared" si="4"/>
        <v>25.5</v>
      </c>
      <c r="AE11" s="8">
        <f t="shared" si="5"/>
        <v>32.6</v>
      </c>
      <c r="AF11" s="8">
        <f t="shared" si="6"/>
        <v>29.6</v>
      </c>
      <c r="AG11" s="8">
        <f t="shared" si="7"/>
        <v>28.5</v>
      </c>
      <c r="AH11" s="12">
        <f t="shared" si="8"/>
        <v>35.6</v>
      </c>
    </row>
    <row r="12" spans="1:34" ht="30" x14ac:dyDescent="0.25">
      <c r="B12" s="7" t="s">
        <v>93</v>
      </c>
      <c r="C12" s="8" t="s">
        <v>43</v>
      </c>
      <c r="D12" s="8" t="s">
        <v>94</v>
      </c>
      <c r="E12" s="9"/>
      <c r="F12" s="8">
        <v>1</v>
      </c>
      <c r="G12" s="8" t="s">
        <v>37</v>
      </c>
      <c r="H12" s="13" t="s">
        <v>95</v>
      </c>
      <c r="I12" s="10" t="s">
        <v>96</v>
      </c>
      <c r="J12" s="9"/>
      <c r="K12" s="8"/>
      <c r="L12" s="8"/>
      <c r="M12" s="8"/>
      <c r="N12" s="10"/>
      <c r="O12" s="11"/>
      <c r="P12" s="8"/>
      <c r="Q12" s="8"/>
      <c r="R12" s="8"/>
      <c r="S12" s="10"/>
      <c r="T12" s="9"/>
      <c r="U12" s="8"/>
      <c r="V12" s="8"/>
      <c r="W12" s="8"/>
      <c r="X12" s="8"/>
      <c r="Y12" s="8"/>
      <c r="Z12" s="8">
        <f t="shared" si="0"/>
        <v>28</v>
      </c>
      <c r="AA12" s="8">
        <f t="shared" si="1"/>
        <v>26.9</v>
      </c>
      <c r="AB12" s="8">
        <f t="shared" si="2"/>
        <v>34</v>
      </c>
      <c r="AC12" s="8">
        <f t="shared" si="3"/>
        <v>26.6</v>
      </c>
      <c r="AD12" s="8">
        <f t="shared" si="4"/>
        <v>25.5</v>
      </c>
      <c r="AE12" s="8">
        <f t="shared" si="5"/>
        <v>32.6</v>
      </c>
      <c r="AF12" s="8">
        <f t="shared" si="6"/>
        <v>29.6</v>
      </c>
      <c r="AG12" s="8">
        <f t="shared" si="7"/>
        <v>28.5</v>
      </c>
      <c r="AH12" s="12">
        <f t="shared" si="8"/>
        <v>35.6</v>
      </c>
    </row>
    <row r="13" spans="1:34" ht="30" x14ac:dyDescent="0.25">
      <c r="B13" s="7" t="s">
        <v>97</v>
      </c>
      <c r="C13" s="8" t="s">
        <v>43</v>
      </c>
      <c r="D13" s="8" t="s">
        <v>98</v>
      </c>
      <c r="E13" s="9"/>
      <c r="F13" s="8">
        <v>1</v>
      </c>
      <c r="G13" s="8" t="s">
        <v>37</v>
      </c>
      <c r="H13" s="13" t="s">
        <v>99</v>
      </c>
      <c r="I13" s="19" t="s">
        <v>100</v>
      </c>
      <c r="J13" s="9"/>
      <c r="K13" s="8"/>
      <c r="L13" s="8"/>
      <c r="M13" s="8"/>
      <c r="N13" s="10"/>
      <c r="O13" s="11"/>
      <c r="P13" s="8"/>
      <c r="Q13" s="8"/>
      <c r="R13" s="8"/>
      <c r="S13" s="10"/>
      <c r="T13" s="9"/>
      <c r="U13" s="8"/>
      <c r="V13" s="8"/>
      <c r="W13" s="8"/>
      <c r="X13" s="8"/>
      <c r="Y13" s="8"/>
      <c r="Z13" s="8">
        <f t="shared" si="0"/>
        <v>28</v>
      </c>
      <c r="AA13" s="8">
        <f t="shared" si="1"/>
        <v>26.9</v>
      </c>
      <c r="AB13" s="8">
        <f t="shared" si="2"/>
        <v>34</v>
      </c>
      <c r="AC13" s="8">
        <f t="shared" si="3"/>
        <v>26.6</v>
      </c>
      <c r="AD13" s="8">
        <f t="shared" si="4"/>
        <v>25.5</v>
      </c>
      <c r="AE13" s="8">
        <f t="shared" si="5"/>
        <v>32.6</v>
      </c>
      <c r="AF13" s="8">
        <f t="shared" si="6"/>
        <v>29.6</v>
      </c>
      <c r="AG13" s="8">
        <f t="shared" si="7"/>
        <v>28.5</v>
      </c>
      <c r="AH13" s="12">
        <f t="shared" si="8"/>
        <v>35.6</v>
      </c>
    </row>
    <row r="14" spans="1:34" ht="38.25" x14ac:dyDescent="0.25">
      <c r="B14" s="7" t="s">
        <v>101</v>
      </c>
      <c r="C14" s="8" t="s">
        <v>43</v>
      </c>
      <c r="D14" s="8" t="s">
        <v>102</v>
      </c>
      <c r="E14" s="9"/>
      <c r="F14" s="8">
        <v>1</v>
      </c>
      <c r="G14" s="8" t="s">
        <v>37</v>
      </c>
      <c r="H14" s="13" t="s">
        <v>103</v>
      </c>
      <c r="I14" s="10" t="s">
        <v>104</v>
      </c>
      <c r="J14" s="9"/>
      <c r="K14" s="8"/>
      <c r="L14" s="8"/>
      <c r="M14" s="8"/>
      <c r="N14" s="10"/>
      <c r="O14" s="11"/>
      <c r="P14" s="8"/>
      <c r="Q14" s="8"/>
      <c r="R14" s="8"/>
      <c r="S14" s="10"/>
      <c r="T14" s="9"/>
      <c r="U14" s="8"/>
      <c r="V14" s="8"/>
      <c r="W14" s="8"/>
      <c r="X14" s="8"/>
      <c r="Y14" s="8"/>
      <c r="Z14" s="8">
        <f t="shared" si="0"/>
        <v>28</v>
      </c>
      <c r="AA14" s="8">
        <f t="shared" si="1"/>
        <v>26.9</v>
      </c>
      <c r="AB14" s="8">
        <f t="shared" si="2"/>
        <v>34</v>
      </c>
      <c r="AC14" s="8">
        <f t="shared" si="3"/>
        <v>26.6</v>
      </c>
      <c r="AD14" s="8">
        <f t="shared" si="4"/>
        <v>25.5</v>
      </c>
      <c r="AE14" s="8">
        <f t="shared" si="5"/>
        <v>32.6</v>
      </c>
      <c r="AF14" s="8">
        <f t="shared" si="6"/>
        <v>29.6</v>
      </c>
      <c r="AG14" s="8">
        <f t="shared" si="7"/>
        <v>28.5</v>
      </c>
      <c r="AH14" s="12">
        <f t="shared" si="8"/>
        <v>35.6</v>
      </c>
    </row>
    <row r="15" spans="1:34" ht="30" x14ac:dyDescent="0.25">
      <c r="B15" s="7" t="s">
        <v>105</v>
      </c>
      <c r="C15" s="8" t="s">
        <v>43</v>
      </c>
      <c r="D15" s="8" t="s">
        <v>106</v>
      </c>
      <c r="E15" s="9"/>
      <c r="F15" s="8">
        <v>1</v>
      </c>
      <c r="G15" s="8" t="s">
        <v>37</v>
      </c>
      <c r="H15" s="13" t="s">
        <v>107</v>
      </c>
      <c r="I15" s="19" t="s">
        <v>108</v>
      </c>
      <c r="J15" s="9"/>
      <c r="K15" s="8"/>
      <c r="L15" s="8"/>
      <c r="M15" s="8"/>
      <c r="N15" s="10"/>
      <c r="O15" s="11"/>
      <c r="P15" s="8"/>
      <c r="Q15" s="8"/>
      <c r="R15" s="8"/>
      <c r="S15" s="10"/>
      <c r="T15" s="9"/>
      <c r="U15" s="8"/>
      <c r="V15" s="8"/>
      <c r="W15" s="8"/>
      <c r="X15" s="8"/>
      <c r="Y15" s="8"/>
      <c r="Z15" s="8">
        <f t="shared" si="0"/>
        <v>28</v>
      </c>
      <c r="AA15" s="8">
        <f t="shared" si="1"/>
        <v>26.9</v>
      </c>
      <c r="AB15" s="8">
        <f t="shared" si="2"/>
        <v>34</v>
      </c>
      <c r="AC15" s="8">
        <f t="shared" si="3"/>
        <v>26.6</v>
      </c>
      <c r="AD15" s="8">
        <f t="shared" si="4"/>
        <v>25.5</v>
      </c>
      <c r="AE15" s="8">
        <f t="shared" si="5"/>
        <v>32.6</v>
      </c>
      <c r="AF15" s="8">
        <f t="shared" si="6"/>
        <v>29.6</v>
      </c>
      <c r="AG15" s="8">
        <f t="shared" si="7"/>
        <v>28.5</v>
      </c>
      <c r="AH15" s="12">
        <f t="shared" si="8"/>
        <v>35.6</v>
      </c>
    </row>
    <row r="16" spans="1:34" ht="38.25" x14ac:dyDescent="0.25">
      <c r="B16" s="7" t="s">
        <v>109</v>
      </c>
      <c r="C16" s="8" t="s">
        <v>110</v>
      </c>
      <c r="D16" s="8" t="s">
        <v>111</v>
      </c>
      <c r="E16" s="9"/>
      <c r="F16" s="8">
        <v>1</v>
      </c>
      <c r="G16" s="8" t="s">
        <v>37</v>
      </c>
      <c r="H16" s="13" t="s">
        <v>112</v>
      </c>
      <c r="I16" s="19" t="s">
        <v>113</v>
      </c>
      <c r="J16" s="9"/>
      <c r="K16" s="8">
        <v>6</v>
      </c>
      <c r="L16" s="8" t="s">
        <v>37</v>
      </c>
      <c r="M16" s="8" t="s">
        <v>114</v>
      </c>
      <c r="N16" s="10" t="s">
        <v>115</v>
      </c>
      <c r="O16" s="11"/>
      <c r="P16" s="8"/>
      <c r="Q16" s="8"/>
      <c r="R16" s="8"/>
      <c r="S16" s="10"/>
      <c r="T16" s="9"/>
      <c r="U16" s="8"/>
      <c r="V16" s="8"/>
      <c r="W16" s="8"/>
      <c r="X16" s="8"/>
      <c r="Y16" s="8"/>
      <c r="Z16" s="8">
        <f t="shared" si="0"/>
        <v>28</v>
      </c>
      <c r="AA16" s="8">
        <f t="shared" si="1"/>
        <v>26.9</v>
      </c>
      <c r="AB16" s="8">
        <f t="shared" si="2"/>
        <v>34</v>
      </c>
      <c r="AC16" s="8">
        <f t="shared" si="3"/>
        <v>53</v>
      </c>
      <c r="AD16" s="8">
        <f t="shared" si="4"/>
        <v>51.9</v>
      </c>
      <c r="AE16" s="8">
        <f t="shared" si="5"/>
        <v>59</v>
      </c>
      <c r="AF16" s="8">
        <f t="shared" si="6"/>
        <v>29.6</v>
      </c>
      <c r="AG16" s="8">
        <f t="shared" si="7"/>
        <v>28.5</v>
      </c>
      <c r="AH16" s="12">
        <f t="shared" si="8"/>
        <v>35.6</v>
      </c>
    </row>
    <row r="17" spans="2:34" ht="30" x14ac:dyDescent="0.25">
      <c r="B17" s="7" t="s">
        <v>116</v>
      </c>
      <c r="C17" s="8" t="s">
        <v>43</v>
      </c>
      <c r="D17" s="8" t="s">
        <v>117</v>
      </c>
      <c r="E17" s="9"/>
      <c r="F17" s="8">
        <v>1</v>
      </c>
      <c r="G17" s="8" t="s">
        <v>37</v>
      </c>
      <c r="H17" s="13" t="s">
        <v>118</v>
      </c>
      <c r="I17" s="19" t="s">
        <v>119</v>
      </c>
      <c r="J17" s="9"/>
      <c r="K17" s="8"/>
      <c r="L17" s="8"/>
      <c r="M17" s="8"/>
      <c r="N17" s="10"/>
      <c r="O17" s="11"/>
      <c r="P17" s="8"/>
      <c r="Q17" s="8"/>
      <c r="R17" s="8"/>
      <c r="S17" s="10"/>
      <c r="T17" s="9"/>
      <c r="U17" s="8"/>
      <c r="V17" s="8"/>
      <c r="W17" s="8"/>
      <c r="X17" s="8"/>
      <c r="Y17" s="8"/>
      <c r="Z17" s="8">
        <f t="shared" si="0"/>
        <v>28</v>
      </c>
      <c r="AA17" s="8">
        <f t="shared" si="1"/>
        <v>26.9</v>
      </c>
      <c r="AB17" s="8">
        <f t="shared" si="2"/>
        <v>34</v>
      </c>
      <c r="AC17" s="8">
        <f t="shared" si="3"/>
        <v>26.6</v>
      </c>
      <c r="AD17" s="8">
        <f t="shared" si="4"/>
        <v>25.5</v>
      </c>
      <c r="AE17" s="8">
        <f t="shared" si="5"/>
        <v>32.6</v>
      </c>
      <c r="AF17" s="8">
        <f t="shared" si="6"/>
        <v>29.6</v>
      </c>
      <c r="AG17" s="8">
        <f t="shared" si="7"/>
        <v>28.5</v>
      </c>
      <c r="AH17" s="12">
        <f t="shared" si="8"/>
        <v>35.6</v>
      </c>
    </row>
    <row r="18" spans="2:34" ht="30" x14ac:dyDescent="0.25">
      <c r="B18" s="7" t="s">
        <v>120</v>
      </c>
      <c r="C18" s="8" t="s">
        <v>43</v>
      </c>
      <c r="D18" s="8" t="s">
        <v>121</v>
      </c>
      <c r="E18" s="9"/>
      <c r="F18" s="8">
        <v>1</v>
      </c>
      <c r="G18" s="8" t="s">
        <v>37</v>
      </c>
      <c r="H18" s="13" t="s">
        <v>122</v>
      </c>
      <c r="I18" s="19" t="s">
        <v>123</v>
      </c>
      <c r="J18" s="9"/>
      <c r="K18" s="8">
        <v>4</v>
      </c>
      <c r="L18" s="8" t="s">
        <v>37</v>
      </c>
      <c r="M18" s="8" t="s">
        <v>124</v>
      </c>
      <c r="N18" s="10" t="s">
        <v>125</v>
      </c>
      <c r="O18" s="11"/>
      <c r="P18" s="8"/>
      <c r="Q18" s="8"/>
      <c r="R18" s="8"/>
      <c r="S18" s="10"/>
      <c r="T18" s="9"/>
      <c r="U18" s="8"/>
      <c r="V18" s="8"/>
      <c r="W18" s="8"/>
      <c r="X18" s="8"/>
      <c r="Y18" s="8"/>
      <c r="Z18" s="8">
        <f t="shared" si="0"/>
        <v>28</v>
      </c>
      <c r="AA18" s="8">
        <f t="shared" si="1"/>
        <v>26.9</v>
      </c>
      <c r="AB18" s="8">
        <f t="shared" si="2"/>
        <v>34</v>
      </c>
      <c r="AC18" s="8">
        <f t="shared" si="3"/>
        <v>44.2</v>
      </c>
      <c r="AD18" s="8">
        <f t="shared" si="4"/>
        <v>43.1</v>
      </c>
      <c r="AE18" s="8">
        <f t="shared" si="5"/>
        <v>50.2</v>
      </c>
      <c r="AF18" s="8">
        <f t="shared" si="6"/>
        <v>29.6</v>
      </c>
      <c r="AG18" s="8">
        <f t="shared" si="7"/>
        <v>28.5</v>
      </c>
      <c r="AH18" s="12">
        <f t="shared" si="8"/>
        <v>35.6</v>
      </c>
    </row>
    <row r="19" spans="2:34" ht="38.25" x14ac:dyDescent="0.25">
      <c r="B19" s="7" t="s">
        <v>126</v>
      </c>
      <c r="C19" s="8" t="s">
        <v>43</v>
      </c>
      <c r="D19" s="8" t="s">
        <v>127</v>
      </c>
      <c r="E19" s="9"/>
      <c r="F19" s="8">
        <v>1</v>
      </c>
      <c r="G19" s="8" t="s">
        <v>37</v>
      </c>
      <c r="H19" s="13" t="s">
        <v>128</v>
      </c>
      <c r="I19" s="19" t="s">
        <v>129</v>
      </c>
      <c r="J19" s="9"/>
      <c r="K19" s="8">
        <v>5</v>
      </c>
      <c r="L19" s="8" t="s">
        <v>37</v>
      </c>
      <c r="M19" s="8" t="s">
        <v>130</v>
      </c>
      <c r="N19" s="10" t="s">
        <v>131</v>
      </c>
      <c r="O19" s="11"/>
      <c r="P19" s="8"/>
      <c r="Q19" s="8"/>
      <c r="R19" s="8"/>
      <c r="S19" s="10"/>
      <c r="T19" s="9"/>
      <c r="U19" s="8"/>
      <c r="V19" s="8"/>
      <c r="W19" s="8"/>
      <c r="X19" s="8"/>
      <c r="Y19" s="8"/>
      <c r="Z19" s="8">
        <f t="shared" si="0"/>
        <v>28</v>
      </c>
      <c r="AA19" s="8">
        <f t="shared" si="1"/>
        <v>26.9</v>
      </c>
      <c r="AB19" s="8">
        <f t="shared" si="2"/>
        <v>34</v>
      </c>
      <c r="AC19" s="8">
        <f t="shared" si="3"/>
        <v>48.6</v>
      </c>
      <c r="AD19" s="8">
        <f t="shared" si="4"/>
        <v>47.5</v>
      </c>
      <c r="AE19" s="8">
        <f t="shared" si="5"/>
        <v>54.6</v>
      </c>
      <c r="AF19" s="8">
        <f t="shared" si="6"/>
        <v>29.6</v>
      </c>
      <c r="AG19" s="8">
        <f t="shared" si="7"/>
        <v>28.5</v>
      </c>
      <c r="AH19" s="12">
        <f t="shared" si="8"/>
        <v>35.6</v>
      </c>
    </row>
    <row r="20" spans="2:34" ht="45" x14ac:dyDescent="0.25">
      <c r="B20" s="7" t="s">
        <v>132</v>
      </c>
      <c r="C20" s="8" t="s">
        <v>133</v>
      </c>
      <c r="D20" s="8" t="s">
        <v>134</v>
      </c>
      <c r="E20" s="9"/>
      <c r="F20" s="8">
        <v>1</v>
      </c>
      <c r="G20" s="8" t="s">
        <v>37</v>
      </c>
      <c r="H20" s="13" t="s">
        <v>135</v>
      </c>
      <c r="I20" s="19" t="s">
        <v>136</v>
      </c>
      <c r="J20" s="9"/>
      <c r="K20" s="8">
        <v>6</v>
      </c>
      <c r="L20" s="8" t="s">
        <v>37</v>
      </c>
      <c r="M20" s="13" t="s">
        <v>137</v>
      </c>
      <c r="N20" s="10" t="s">
        <v>138</v>
      </c>
      <c r="O20" s="11"/>
      <c r="P20" s="8"/>
      <c r="Q20" s="8"/>
      <c r="R20" s="8"/>
      <c r="S20" s="10"/>
      <c r="T20" s="9"/>
      <c r="U20" s="8"/>
      <c r="V20" s="8"/>
      <c r="W20" s="8"/>
      <c r="X20" s="8"/>
      <c r="Y20" s="8"/>
      <c r="Z20" s="8">
        <f t="shared" si="0"/>
        <v>28</v>
      </c>
      <c r="AA20" s="8">
        <f t="shared" si="1"/>
        <v>26.9</v>
      </c>
      <c r="AB20" s="8">
        <f t="shared" si="2"/>
        <v>34</v>
      </c>
      <c r="AC20" s="8">
        <f t="shared" si="3"/>
        <v>53</v>
      </c>
      <c r="AD20" s="8">
        <f t="shared" si="4"/>
        <v>51.9</v>
      </c>
      <c r="AE20" s="8">
        <f t="shared" si="5"/>
        <v>59</v>
      </c>
      <c r="AF20" s="8">
        <f t="shared" si="6"/>
        <v>29.6</v>
      </c>
      <c r="AG20" s="8">
        <f t="shared" si="7"/>
        <v>28.5</v>
      </c>
      <c r="AH20" s="12">
        <f t="shared" si="8"/>
        <v>35.6</v>
      </c>
    </row>
    <row r="21" spans="2:34" ht="45" x14ac:dyDescent="0.25">
      <c r="B21" s="7" t="s">
        <v>139</v>
      </c>
      <c r="C21" s="8" t="s">
        <v>133</v>
      </c>
      <c r="D21" s="8" t="s">
        <v>140</v>
      </c>
      <c r="E21" s="9"/>
      <c r="F21" s="8">
        <v>1</v>
      </c>
      <c r="G21" s="8" t="s">
        <v>37</v>
      </c>
      <c r="H21" s="13" t="s">
        <v>141</v>
      </c>
      <c r="I21" s="19" t="s">
        <v>142</v>
      </c>
      <c r="J21" s="9"/>
      <c r="K21" s="8">
        <v>5</v>
      </c>
      <c r="L21" s="8" t="s">
        <v>37</v>
      </c>
      <c r="M21" s="13" t="s">
        <v>99</v>
      </c>
      <c r="N21" s="19" t="s">
        <v>143</v>
      </c>
      <c r="O21" s="11"/>
      <c r="P21" s="8"/>
      <c r="Q21" s="8"/>
      <c r="R21" s="8"/>
      <c r="S21" s="10"/>
      <c r="T21" s="9"/>
      <c r="U21" s="8"/>
      <c r="V21" s="8"/>
      <c r="W21" s="8"/>
      <c r="X21" s="8"/>
      <c r="Y21" s="8"/>
      <c r="Z21" s="8">
        <f t="shared" si="0"/>
        <v>28</v>
      </c>
      <c r="AA21" s="8">
        <f t="shared" si="1"/>
        <v>26.9</v>
      </c>
      <c r="AB21" s="8">
        <f t="shared" si="2"/>
        <v>34</v>
      </c>
      <c r="AC21" s="8">
        <f t="shared" si="3"/>
        <v>48.6</v>
      </c>
      <c r="AD21" s="8">
        <f t="shared" si="4"/>
        <v>47.5</v>
      </c>
      <c r="AE21" s="8">
        <f t="shared" si="5"/>
        <v>54.6</v>
      </c>
      <c r="AF21" s="8">
        <f t="shared" si="6"/>
        <v>29.6</v>
      </c>
      <c r="AG21" s="8">
        <f t="shared" si="7"/>
        <v>28.5</v>
      </c>
      <c r="AH21" s="12">
        <f t="shared" si="8"/>
        <v>35.6</v>
      </c>
    </row>
    <row r="22" spans="2:34" ht="45" x14ac:dyDescent="0.25">
      <c r="B22" s="7" t="s">
        <v>144</v>
      </c>
      <c r="C22" s="8" t="s">
        <v>133</v>
      </c>
      <c r="D22" s="8" t="s">
        <v>145</v>
      </c>
      <c r="E22" s="9"/>
      <c r="F22" s="8">
        <v>1</v>
      </c>
      <c r="G22" s="8" t="s">
        <v>37</v>
      </c>
      <c r="H22" s="8" t="s">
        <v>146</v>
      </c>
      <c r="I22" s="10" t="s">
        <v>147</v>
      </c>
      <c r="J22" s="9"/>
      <c r="K22" s="8">
        <v>6</v>
      </c>
      <c r="L22" s="8" t="s">
        <v>37</v>
      </c>
      <c r="M22" s="8" t="s">
        <v>148</v>
      </c>
      <c r="N22" s="10" t="s">
        <v>149</v>
      </c>
      <c r="O22" s="11"/>
      <c r="P22" s="8">
        <v>8</v>
      </c>
      <c r="Q22" s="8" t="s">
        <v>37</v>
      </c>
      <c r="R22" s="20" t="s">
        <v>151</v>
      </c>
      <c r="S22" s="8" t="s">
        <v>150</v>
      </c>
      <c r="T22" s="9"/>
      <c r="U22" s="8"/>
      <c r="V22" s="8"/>
      <c r="W22" s="8"/>
      <c r="X22" s="8"/>
      <c r="Y22" s="8"/>
      <c r="Z22" s="8">
        <f t="shared" si="0"/>
        <v>28</v>
      </c>
      <c r="AA22" s="8">
        <f t="shared" si="1"/>
        <v>26.9</v>
      </c>
      <c r="AB22" s="8">
        <f t="shared" si="2"/>
        <v>34</v>
      </c>
      <c r="AC22" s="8">
        <f t="shared" si="3"/>
        <v>53</v>
      </c>
      <c r="AD22" s="8">
        <f t="shared" si="4"/>
        <v>51.9</v>
      </c>
      <c r="AE22" s="8">
        <f t="shared" si="5"/>
        <v>59</v>
      </c>
      <c r="AF22" s="8">
        <f t="shared" si="6"/>
        <v>64.800000000000011</v>
      </c>
      <c r="AG22" s="8">
        <f t="shared" si="7"/>
        <v>63.70000000000001</v>
      </c>
      <c r="AH22" s="12">
        <f t="shared" si="8"/>
        <v>70.800000000000011</v>
      </c>
    </row>
  </sheetData>
  <autoFilter ref="A1:AH19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71</cp:revision>
  <dcterms:created xsi:type="dcterms:W3CDTF">2025-06-22T09:18:10Z</dcterms:created>
  <dcterms:modified xsi:type="dcterms:W3CDTF">2026-05-29T03:45:05Z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