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Kage\Documents\GitHub\Sculpt\"/>
    </mc:Choice>
  </mc:AlternateContent>
  <xr:revisionPtr revIDLastSave="0" documentId="13_ncr:1_{848E80D6-73EE-43BC-8985-99CD30E4E9E2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3" sheetId="1" r:id="rId1"/>
    <sheet name="Terrain token fuckery" sheetId="2" r:id="rId2"/>
  </sheets>
  <definedNames>
    <definedName name="Break">#REF!</definedName>
    <definedName name="start">#REF!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12" i="2" l="1"/>
  <c r="D12" i="2"/>
  <c r="F12" i="2" s="1"/>
  <c r="E11" i="2"/>
  <c r="D11" i="2"/>
  <c r="F11" i="2" s="1"/>
  <c r="F10" i="2"/>
  <c r="E10" i="2"/>
  <c r="D10" i="2"/>
  <c r="E9" i="2"/>
  <c r="D9" i="2"/>
  <c r="F9" i="2" s="1"/>
  <c r="E8" i="2"/>
  <c r="D8" i="2"/>
  <c r="F8" i="2" s="1"/>
  <c r="F7" i="2"/>
  <c r="E7" i="2"/>
  <c r="D7" i="2"/>
  <c r="E6" i="2"/>
  <c r="D6" i="2"/>
  <c r="F6" i="2" s="1"/>
  <c r="F5" i="2"/>
  <c r="E5" i="2"/>
  <c r="D5" i="2"/>
  <c r="E4" i="2"/>
  <c r="D4" i="2"/>
  <c r="F4" i="2" s="1"/>
  <c r="E3" i="2"/>
  <c r="D3" i="2"/>
  <c r="F3" i="2" s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  <c r="J4" i="1" s="1"/>
  <c r="J2" i="1" l="1"/>
  <c r="J6" i="1"/>
  <c r="J30" i="1"/>
  <c r="J24" i="1"/>
  <c r="J22" i="1"/>
  <c r="J17" i="1"/>
  <c r="J31" i="1"/>
  <c r="J35" i="1"/>
  <c r="J16" i="1"/>
  <c r="J5" i="1"/>
  <c r="J34" i="1"/>
  <c r="J10" i="1"/>
  <c r="J29" i="1"/>
  <c r="J26" i="1"/>
  <c r="J9" i="1"/>
  <c r="J32" i="1"/>
  <c r="J15" i="1"/>
  <c r="J7" i="1"/>
  <c r="J19" i="1"/>
  <c r="J27" i="1"/>
  <c r="J21" i="1"/>
  <c r="J28" i="1"/>
  <c r="J25" i="1"/>
  <c r="J23" i="1"/>
  <c r="J18" i="1"/>
  <c r="J20" i="1"/>
  <c r="J14" i="1"/>
  <c r="J33" i="1"/>
  <c r="J3" i="1"/>
  <c r="J11" i="1"/>
  <c r="J8" i="1"/>
  <c r="J13" i="1"/>
  <c r="J12" i="1"/>
</calcChain>
</file>

<file path=xl/sharedStrings.xml><?xml version="1.0" encoding="utf-8"?>
<sst xmlns="http://schemas.openxmlformats.org/spreadsheetml/2006/main" count="200" uniqueCount="140">
  <si>
    <t>Name</t>
  </si>
  <si>
    <t>Type</t>
  </si>
  <si>
    <t>SmallTextTag</t>
  </si>
  <si>
    <t>TopRightText</t>
  </si>
  <si>
    <t>Effect 1</t>
  </si>
  <si>
    <t>Effect 2</t>
  </si>
  <si>
    <t>Effect 3</t>
  </si>
  <si>
    <t>Effect 4</t>
  </si>
  <si>
    <t>Flavour Text</t>
  </si>
  <si>
    <t>Body HTML</t>
  </si>
  <si>
    <t>Big text extra step</t>
  </si>
  <si>
    <t>Templates</t>
  </si>
  <si>
    <t>Walls</t>
  </si>
  <si>
    <t>LOSicon</t>
  </si>
  <si>
    <t>Shape = Up to 5 x Hex1a</t>
  </si>
  <si>
    <t>Walls cannot be climbed.</t>
  </si>
  <si>
    <t>&lt;p style="font-size:14px;"&gt;&lt;br&gt;</t>
  </si>
  <si>
    <t>Roots</t>
  </si>
  <si>
    <t>Shape = 3 x Hex1a</t>
  </si>
  <si>
    <t>Roots can be climbed for 1 AP or jazzT.</t>
  </si>
  <si>
    <t>Roots block line of sight, but do not block movement.</t>
  </si>
  <si>
    <t>&lt;p style="font-size:12px;"&gt;&lt;br&gt;</t>
  </si>
  <si>
    <t>Tunnel</t>
  </si>
  <si>
    <t xml:space="preserve"> &lt;span style="color:#27ae60"&gt;&lt;strong&gt;Jazz&lt;/strong&gt;&lt;/span&gt;</t>
  </si>
  <si>
    <t>Fortified Gate</t>
  </si>
  <si>
    <t>Shape = 1 Gate hex, then up to 2 Wall hexes adjacent to the gate.&lt;br&gt;GateHex</t>
  </si>
  <si>
    <t>&lt;b&gt;Locked:&lt;/b&gt; The Gate can be opened using the Imbued status effect.</t>
  </si>
  <si>
    <t>Walls block movement and line of sight, and cannot be climbed.</t>
  </si>
  <si>
    <t>&lt;span style="color:#e74c3c"&gt;&lt;strong&gt;Flesh&lt;/strong&gt;&lt;/span&gt;</t>
  </si>
  <si>
    <t>Rubble</t>
  </si>
  <si>
    <t>Shape = Hex3</t>
  </si>
  <si>
    <t>Each rubble hex takes 2 hexes of movement to enter.</t>
  </si>
  <si>
    <t>&lt;span style="color:#3366cc"&gt;&lt;strong&gt;Weird&lt;/strong&gt;&lt;/span&gt;</t>
  </si>
  <si>
    <t>Giant Lichen</t>
  </si>
  <si>
    <t>Lichen blocks line of sight.</t>
  </si>
  <si>
    <t>Fire will burn all connected lichen hexes, dealing 2 Armour Piercing damage and inflicting the Burning status to anyone any being in the lichen.</t>
  </si>
  <si>
    <t>Burning lichen is destroyed at the end of the bosses turn.</t>
  </si>
  <si>
    <t>River</t>
  </si>
  <si>
    <t>Shape = A 2 hex wide river running from one wall to another, with a current direction, a source, and lethal waterfall at the end.&lt;br&gt;RiverHex</t>
  </si>
  <si>
    <t>Moving in the river costs double movement unless it is in the flow direction which costs half.</t>
  </si>
  <si>
    <t>Hot Coals</t>
  </si>
  <si>
    <t>If a creature starts their turn on hot coals, they take 3 damage.</t>
  </si>
  <si>
    <t>Cliff</t>
  </si>
  <si>
    <t>Shape = A continuous line between two walls, with a high side and a low side.</t>
  </si>
  <si>
    <t>Beings may Climb for 3AP or jazzt .</t>
  </si>
  <si>
    <t>If a being falls of the cliff they take 8 damage.</t>
  </si>
  <si>
    <t>The cliff blocks line of sight for anyone on the low side except on the cliff edge.</t>
  </si>
  <si>
    <t>Whisky Barrel</t>
  </si>
  <si>
    <t>Shape = Hex1a</t>
  </si>
  <si>
    <t>&lt;b&gt;Drink:&lt;/b&gt; 1AP&lt;br&gt; Become monstrous.</t>
  </si>
  <si>
    <t>Three Pillars</t>
  </si>
  <si>
    <t>Shape = Hex1b x 3</t>
  </si>
  <si>
    <t>Beings may Climb for 3AP or jazzt.</t>
  </si>
  <si>
    <t>If a being falls of a pillar they take 8 damage.</t>
  </si>
  <si>
    <t>Fixed Arbalest</t>
  </si>
  <si>
    <t>&lt;i&gt;Ranged Attack - &lt;/i&gt;&lt;b&gt;Fire!:&lt;/b&gt; 3AP&lt;br&gt;The arbalest must be loaded. &lt;br&gt;Damage = 8. &lt;br&gt;Hits everyone in a line.</t>
  </si>
  <si>
    <t>&lt;b&gt;Reload&lt;/b&gt; - 3AP + flesht flesht: &lt;Br&gt;Reload the arbalest.</t>
  </si>
  <si>
    <t>Starts loaded.</t>
  </si>
  <si>
    <t>Campfire</t>
  </si>
  <si>
    <t>Ending your turn next to the campfire restores all composure.</t>
  </si>
  <si>
    <t>If a being steps on the campfire they take 6 Armour Piercing damage and suffer the burning status.</t>
  </si>
  <si>
    <t>&lt;b&gt;Rest:&lt;/b&gt;  4AP&lt;br&gt;Gain the well rested status effect.</t>
  </si>
  <si>
    <t>Mud Pit</t>
  </si>
  <si>
    <t>Shape = Hex1b</t>
  </si>
  <si>
    <r>
      <rPr>
        <sz val="11"/>
        <color rgb="FF000000"/>
        <rFont val="Aptos Narrow"/>
        <family val="2"/>
      </rPr>
      <t xml:space="preserve">Spend 1AP or </t>
    </r>
    <r>
      <rPr>
        <sz val="11"/>
        <color theme="1"/>
        <rFont val="Aptos Narrow"/>
        <family val="2"/>
      </rPr>
      <t>fleshT to move through 1 hex.</t>
    </r>
  </si>
  <si>
    <t>Quartz Sphere</t>
  </si>
  <si>
    <r>
      <rPr>
        <sz val="11"/>
        <color rgb="FF000000"/>
        <rFont val="Aptos Narrow"/>
        <family val="2"/>
      </rPr>
      <t>&lt;b&gt;Ponder:&lt;/b&gt;</t>
    </r>
    <r>
      <rPr>
        <sz val="11"/>
        <color theme="1"/>
        <rFont val="Aptos Narrow"/>
        <family val="2"/>
      </rPr>
      <t xml:space="preserve"> 1AP + weirdT weirdT&lt;br&gt;Gain the portent status.</t>
    </r>
  </si>
  <si>
    <t>Portal</t>
  </si>
  <si>
    <t>Shape = Hex1a x 2</t>
  </si>
  <si>
    <r>
      <rPr>
        <sz val="11"/>
        <color rgb="FF000000"/>
        <rFont val="Aptos Narrow"/>
        <family val="2"/>
      </rPr>
      <t>&lt;b&gt;Jump:&lt;/b&gt;</t>
    </r>
    <r>
      <rPr>
        <sz val="11"/>
        <color theme="1"/>
        <rFont val="Aptos Narrow"/>
        <family val="2"/>
      </rPr>
      <t xml:space="preserve"> weirdT&lt;br&gt;Teleport to any unoccupied portal hex.</t>
    </r>
  </si>
  <si>
    <t>Sculpting wheel</t>
  </si>
  <si>
    <t>Fountain of life</t>
  </si>
  <si>
    <t>&lt;b&gt;Drink:&lt;/b&gt; 3AP&lt;br&gt;Restore 2 wounds and empty the fountain. It cannot be used again.</t>
  </si>
  <si>
    <t>Weird Fossil</t>
  </si>
  <si>
    <t>Each hex may be &lt;br&gt;&lt;b&gt;Excavated:&lt;/b&gt; 3AP or weirdT + 1AP&lt;br&gt;Replenish a spent charge token on a card and destroy that hex.</t>
  </si>
  <si>
    <t>Stained Stalagmite</t>
  </si>
  <si>
    <r>
      <rPr>
        <sz val="11"/>
        <color rgb="FF000000"/>
        <rFont val="Aptos Narrow"/>
        <family val="2"/>
      </rPr>
      <t>&lt;b&gt;Sacrifice:&lt;/b&gt;</t>
    </r>
    <r>
      <rPr>
        <sz val="11"/>
        <color theme="1"/>
        <rFont val="Aptos Narrow"/>
        <family val="2"/>
      </rPr>
      <t xml:space="preserve"> 1AP + a wound to a stat of your choice&lt;br&gt;Draw an impression. You may equip it.</t>
    </r>
  </si>
  <si>
    <t>Pure Clay</t>
  </si>
  <si>
    <r>
      <rPr>
        <sz val="11"/>
        <color rgb="FF000000"/>
        <rFont val="Aptos Narrow"/>
        <family val="2"/>
      </rPr>
      <t>&lt;b&gt;Imbibe:&lt;/b&gt;</t>
    </r>
    <r>
      <rPr>
        <sz val="11"/>
        <color theme="1"/>
        <rFont val="Aptos Narrow"/>
        <family val="2"/>
      </rPr>
      <t xml:space="preserve"> 2AP + 1 weirdT&lt;br&gt;Destroy this and gain the Imbued status.</t>
    </r>
  </si>
  <si>
    <t>Cave Paintings</t>
  </si>
  <si>
    <t>Shape = 3 x Hex1a paintings that are at least 3 hexes apart from each other.&lt;br&gt;Cavepaint1</t>
  </si>
  <si>
    <r>
      <rPr>
        <sz val="11"/>
        <color rgb="FF000000"/>
        <rFont val="Aptos Narrow"/>
        <family val="2"/>
      </rPr>
      <t>&lt;b&gt;Study:&lt;/b&gt;</t>
    </r>
    <r>
      <rPr>
        <sz val="11"/>
        <color theme="1"/>
        <rFont val="Aptos Narrow"/>
        <family val="2"/>
      </rPr>
      <t xml:space="preserve"> 1AP&lt;br&gt;Permanently gain a +1 damage bonus against the boss .</t>
    </r>
  </si>
  <si>
    <t>Each player can only study each painting once.</t>
  </si>
  <si>
    <t>Jazzt</t>
  </si>
  <si>
    <t xml:space="preserve">, </t>
  </si>
  <si>
    <t>Cavepaint1</t>
  </si>
  <si>
    <t>Cavepaint2</t>
  </si>
  <si>
    <t>Gatehex</t>
  </si>
  <si>
    <t>Hex1a</t>
  </si>
  <si>
    <t>Hex1b</t>
  </si>
  <si>
    <t>Hex2</t>
  </si>
  <si>
    <t>Hex3</t>
  </si>
  <si>
    <t>HornsHex</t>
  </si>
  <si>
    <t>Whisky_Xplo</t>
  </si>
  <si>
    <t>Bane</t>
  </si>
  <si>
    <t>Boon</t>
  </si>
  <si>
    <t>Weird Stone</t>
  </si>
  <si>
    <t>Cracked Wall</t>
  </si>
  <si>
    <t>Shape = up to 7 x hex1a connected</t>
  </si>
  <si>
    <t>If you start your turn in the river, move 5 hexes in the flow.</t>
  </si>
  <si>
    <t>Shape = 5 x hex1a connected.</t>
  </si>
  <si>
    <t>&lt;b&gt;Throw Coal&lt;/b&gt;:&lt;/b&gt; 2AP + take 3 damage.&lt;br&gt;Make a ranged attack, on a hit set the target on fire, inflicting the &lt;b&gt;Burning&lt;/b&gt; status effect.</t>
  </si>
  <si>
    <t>Chasm</t>
  </si>
  <si>
    <t>Shape = 1 Hex wide, up to 8 long. &lt;br&gt;</t>
  </si>
  <si>
    <t>Costs 1 jazzT or 2 AP to jump across the chasm.</t>
  </si>
  <si>
    <t>Falling into the chasm causes 8 damage.</t>
  </si>
  <si>
    <t>Spend jazzT or 3 AP to climb into or out of chasm.</t>
  </si>
  <si>
    <t>Fortifications</t>
  </si>
  <si>
    <t>Shape = up to 5 hexes in a line</t>
  </si>
  <si>
    <t>Blocks movement but not line of sight</t>
  </si>
  <si>
    <t>Transpondermagig</t>
  </si>
  <si>
    <t>Shape = hex1a</t>
  </si>
  <si>
    <t>&lt;b&gt;Transponderify: 1 AP + WeirdT&lt;br&gt;&lt;/b&gt;Swap locations with target being.</t>
  </si>
  <si>
    <t>Pleasant Aura-stone</t>
  </si>
  <si>
    <t>Any being that ends their turn within 2 hexes of the aura-stone gains up to 2 temporary composure.</t>
  </si>
  <si>
    <t>&lt;b&gt;Destructible&lt;/b&gt;</t>
  </si>
  <si>
    <t>You may reveal portal when it is time to place it, and instead place it after all banes have been placed.</t>
  </si>
  <si>
    <t>&lt;b&gt;Flammable, Destructible&lt;/b&gt;</t>
  </si>
  <si>
    <t>Leyline Nexus</t>
  </si>
  <si>
    <t>&lt;b&gt;Channel Power:&lt;/b&gt; 3 AP&lt;br&gt;Refresh two spent stats tokens and destroy Leyline Nexus.</t>
  </si>
  <si>
    <t>Writhing greatworm</t>
  </si>
  <si>
    <t>&lt;b&gt;Wrangle: &lt;/b&gt;2 AP + fleshT&lt;br&gt;Pick up the worm, it counts as an equipped limb.</t>
  </si>
  <si>
    <t>&lt;b&gt;Unleash:&lt;/b&gt; 2 AP&lt;br&gt; Damage = 6, close range. Drop the worm onto an adjacent hex if you hit.</t>
  </si>
  <si>
    <r>
      <t>&lt;b&gt;Rummage:&lt;/b&gt;</t>
    </r>
    <r>
      <rPr>
        <sz val="11"/>
        <color theme="1"/>
        <rFont val="Aptos Narrow"/>
        <family val="2"/>
      </rPr>
      <t xml:space="preserve"> fleshT fleshT&lt;br&gt;Gain 1 limb. This can only be done once.</t>
    </r>
  </si>
  <si>
    <t>Any being that ends their turn within 2 hexes of the aura-stone take 2 damage and become &lt;b&gt;Exhausted&lt;/b&gt;.</t>
  </si>
  <si>
    <t>&lt;b&gt;Locked:&lt;/b&gt; This can be opened using the imbued status effect to look at 2 limbs or impressions and equip any number of them. Then destroy this</t>
  </si>
  <si>
    <t>Archer's Roost</t>
  </si>
  <si>
    <t>Shape = hex2wide</t>
  </si>
  <si>
    <t>One hex is stairs, the other is high ground. Stairs can be climbed for no extra movement cost.</t>
  </si>
  <si>
    <t>JazzT or 3 AP to climb to high ground directly.</t>
  </si>
  <si>
    <t>Take 8 fall damage from high ground fall.</t>
  </si>
  <si>
    <t>Shape = up to 6 x hex1a connected.</t>
  </si>
  <si>
    <t>Create a tunnel through any existing map terrain, up to 6 hexes long.</t>
  </si>
  <si>
    <t>Boons remain intact inside the tunnel.</t>
  </si>
  <si>
    <t>Shape = Hex1a&lt;br&gt;</t>
  </si>
  <si>
    <t>While this exists, if any being spends weirdT, they take 2 damage. This damage cannot be reduced.</t>
  </si>
  <si>
    <t>Pillars block line of sight.</t>
  </si>
  <si>
    <t>Walls cannot be climbed and block line of sight.</t>
  </si>
  <si>
    <t>&lt;b&gt;Flammable&lt;/b&gt;</t>
  </si>
  <si>
    <t>Horrid Aura-stone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</si>
</sst>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6D6D"/>
        <bgColor rgb="FFFF6600"/>
      </patternFill>
    </fill>
    <fill>
      <patternFill patternType="solid">
        <fgColor theme="4" tint="0.79989013336588644"/>
        <bgColor rgb="FFCCFFFF"/>
      </patternFill>
    </fill>
    <fill>
      <patternFill patternType="solid">
        <fgColor rgb="FFAFD095"/>
        <bgColor rgb="FFC6E0B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theme="4" tint="0.39988402966399123"/>
      </top>
      <bottom style="thin">
        <color theme="4" tint="0.3998840296639912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 readingOrder="1"/>
    </xf>
    <xf numFmtId="0" fontId="0" fillId="3" borderId="1" xfId="0" applyFill="1" applyBorder="1" applyAlignment="1">
      <alignment horizontal="left" vertical="top" wrapText="1" readingOrder="1"/>
    </xf>
    <xf numFmtId="0" fontId="0" fillId="4" borderId="3" xfId="0" applyFill="1" applyBorder="1" applyAlignment="1">
      <alignment horizontal="left" vertical="top" wrapText="1" readingOrder="1"/>
    </xf>
    <xf numFmtId="0" fontId="0" fillId="5" borderId="1" xfId="0" applyFill="1" applyBorder="1" applyAlignment="1">
      <alignment horizontal="left" vertical="top" wrapText="1" readingOrder="1"/>
    </xf>
    <xf numFmtId="0" fontId="3" fillId="0" borderId="1" xfId="0" applyFont="1" applyBorder="1" applyAlignment="1">
      <alignment horizontal="left" vertical="top" wrapText="1" readingOrder="1"/>
    </xf>
  </cellXfs>
  <cellStyles count="1">
    <cellStyle name="Normal" xfId="0" builtinId="0"/>
  </cellStyles>
  <dxfs count="5">
    <dxf>
      <font>
        <sz val="11"/>
        <color rgb="FF000000"/>
        <name val="Aptos Narrow"/>
        <family val="2"/>
      </font>
      <fill>
        <patternFill>
          <bgColor rgb="FFB4C6E7"/>
        </patternFill>
      </fill>
    </dxf>
    <dxf>
      <font>
        <sz val="11"/>
        <color rgb="FF000000"/>
        <name val="Aptos Narrow"/>
        <family val="2"/>
      </font>
      <fill>
        <patternFill>
          <bgColor rgb="FFC6E0B4"/>
        </patternFill>
      </fill>
    </dxf>
    <dxf>
      <font>
        <sz val="11"/>
        <color rgb="FF000000"/>
        <name val="Aptos Narrow"/>
        <family val="2"/>
      </font>
      <fill>
        <patternFill>
          <bgColor rgb="FFF8CBAD"/>
        </patternFill>
      </fill>
    </dxf>
    <dxf>
      <font>
        <sz val="11"/>
        <color rgb="FF000000"/>
        <name val="Aptos Narrow"/>
        <family val="2"/>
      </font>
      <fill>
        <patternFill>
          <bgColor rgb="FFFFE699"/>
        </patternFill>
      </fill>
    </dxf>
    <dxf>
      <font>
        <sz val="11"/>
        <color rgb="FF000000"/>
        <name val="Aptos Narrow"/>
        <family val="2"/>
      </font>
      <fill>
        <patternFill>
          <bgColor rgb="FFF6B0DD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729FCF"/>
      <rgbColor rgb="FF993366"/>
      <rgbColor rgb="FFFFFFCC"/>
      <rgbColor rgb="FFCCFFFF"/>
      <rgbColor rgb="FF660066"/>
      <rgbColor rgb="FFFF6D6D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AFD095"/>
      <rgbColor rgb="FFF6B0DD"/>
      <rgbColor rgb="FFCC99FF"/>
      <rgbColor rgb="FFF8CBAD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3" displayName="Table3" ref="A1:J39" totalsRowShown="0">
  <autoFilter ref="A1:J39" xr:uid="{00000000-0009-0000-0100-000001000000}"/>
  <sortState xmlns:xlrd2="http://schemas.microsoft.com/office/spreadsheetml/2017/richdata2" ref="A2:J39">
    <sortCondition ref="B1:B39"/>
  </sortState>
  <tableColumns count="10">
    <tableColumn id="1" xr3:uid="{00000000-0010-0000-0000-000001000000}" name="Name"/>
    <tableColumn id="2" xr3:uid="{00000000-0010-0000-0000-000002000000}" name="Type"/>
    <tableColumn id="3" xr3:uid="{00000000-0010-0000-0000-000003000000}" name="SmallTextTag"/>
    <tableColumn id="4" xr3:uid="{00000000-0010-0000-0000-000004000000}" name="TopRightText"/>
    <tableColumn id="5" xr3:uid="{00000000-0010-0000-0000-000005000000}" name="Effect 1"/>
    <tableColumn id="6" xr3:uid="{00000000-0010-0000-0000-000006000000}" name="Effect 2"/>
    <tableColumn id="7" xr3:uid="{00000000-0010-0000-0000-000007000000}" name="Effect 3"/>
    <tableColumn id="8" xr3:uid="{00000000-0010-0000-0000-000008000000}" name="Effect 4"/>
    <tableColumn id="9" xr3:uid="{00000000-0010-0000-0000-000009000000}" name="Flavour Text"/>
    <tableColumn id="10" xr3:uid="{00000000-0010-0000-0000-00000A000000}" name="Body HTM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9"/>
  <sheetViews>
    <sheetView tabSelected="1" topLeftCell="A16" zoomScaleNormal="100" workbookViewId="0">
      <selection activeCell="E17" sqref="E17"/>
    </sheetView>
  </sheetViews>
  <sheetFormatPr defaultColWidth="8.5703125" defaultRowHeight="15" customHeight="1" x14ac:dyDescent="0.25"/>
  <cols>
    <col min="1" max="3" width="11" style="1" customWidth="1"/>
    <col min="4" max="4" width="25.7109375" style="1" customWidth="1"/>
    <col min="5" max="5" width="28.140625" style="1" customWidth="1"/>
    <col min="6" max="6" width="25.42578125" style="1" customWidth="1"/>
    <col min="7" max="7" width="19.85546875" style="1" customWidth="1"/>
    <col min="8" max="8" width="11" style="1" customWidth="1"/>
    <col min="9" max="9" width="11.140625" style="1" customWidth="1"/>
    <col min="10" max="10" width="54.7109375" customWidth="1"/>
    <col min="11" max="11" width="23.85546875" customWidth="1"/>
  </cols>
  <sheetData>
    <row r="1" spans="1:13" ht="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 t="s">
        <v>9</v>
      </c>
      <c r="K1" t="s">
        <v>10</v>
      </c>
      <c r="M1" t="s">
        <v>11</v>
      </c>
    </row>
    <row r="2" spans="1:13" ht="75" x14ac:dyDescent="0.25">
      <c r="A2" s="5" t="s">
        <v>102</v>
      </c>
      <c r="B2" s="6" t="s">
        <v>94</v>
      </c>
      <c r="C2" s="5"/>
      <c r="D2" s="5"/>
      <c r="E2" s="5" t="s">
        <v>103</v>
      </c>
      <c r="F2" s="5" t="s">
        <v>104</v>
      </c>
      <c r="G2" s="5" t="s">
        <v>105</v>
      </c>
      <c r="H2" s="5" t="s">
        <v>106</v>
      </c>
      <c r="I2" s="5"/>
      <c r="J2" s="7" t="str">
        <f>_xlfn.CONCAT($K$2,E2,IF(F2="","","&lt;Br&gt;lineBrk&lt;Br&gt;"),F2,IF(G2="","","&lt;Br&gt;lineBrk&lt;Br&gt;"),G2,IF(H2="","","&lt;Br&gt;lineBrk&lt;Br&gt;"),H2,)</f>
        <v>&lt;p style="font-size:14px;"&gt;&lt;br&gt;Shape = 1 Hex wide, up to 8 long. &lt;br&gt;&lt;Br&gt;lineBrk&lt;Br&gt;Costs 1 jazzT or 2 AP to jump across the chasm.&lt;Br&gt;lineBrk&lt;Br&gt;Falling into the chasm causes 8 damage.&lt;Br&gt;lineBrk&lt;Br&gt;Spend jazzT or 3 AP to climb into or out of chasm.</v>
      </c>
      <c r="K2" t="str">
        <f t="shared" ref="K2" si="0">IF(C2="yes",$M$3,$M$2)</f>
        <v>&lt;p style="font-size:14px;"&gt;&lt;br&gt;</v>
      </c>
      <c r="M2" t="s">
        <v>16</v>
      </c>
    </row>
    <row r="3" spans="1:13" ht="120" x14ac:dyDescent="0.25">
      <c r="A3" s="5" t="s">
        <v>42</v>
      </c>
      <c r="B3" s="6" t="s">
        <v>94</v>
      </c>
      <c r="C3" s="5"/>
      <c r="D3" s="5" t="s">
        <v>13</v>
      </c>
      <c r="E3" s="5" t="s">
        <v>43</v>
      </c>
      <c r="F3" s="5" t="s">
        <v>44</v>
      </c>
      <c r="G3" s="5" t="s">
        <v>45</v>
      </c>
      <c r="H3" s="5" t="s">
        <v>46</v>
      </c>
      <c r="I3" s="5"/>
      <c r="J3" s="7" t="str">
        <f>_xlfn.CONCAT($K$2,E3,IF(F3="","","&lt;Br&gt;lineBrk&lt;Br&gt;"),F3,IF(G3="","","&lt;Br&gt;lineBrk&lt;Br&gt;"),G3,IF(H3="","","&lt;Br&gt;lineBrk&lt;Br&gt;"),H3,)</f>
        <v>&lt;p style="font-size:14px;"&gt;&lt;br&gt;Shape = A continuous line between two walls, with a high side and a low side.&lt;Br&gt;lineBrk&lt;Br&gt;Beings may Climb for 3AP or jazzt .&lt;Br&gt;lineBrk&lt;Br&gt;If a being falls of the cliff they take 8 damage.&lt;Br&gt;lineBrk&lt;Br&gt;The cliff blocks line of sight for anyone on the low side except on the cliff edge.</v>
      </c>
      <c r="K3" t="str">
        <f>IF(C4="yes",$M$3,$M$2)</f>
        <v>&lt;p style="font-size:14px;"&gt;&lt;br&gt;</v>
      </c>
      <c r="M3" t="s">
        <v>21</v>
      </c>
    </row>
    <row r="4" spans="1:13" ht="120" x14ac:dyDescent="0.25">
      <c r="A4" s="5" t="s">
        <v>42</v>
      </c>
      <c r="B4" s="6" t="s">
        <v>94</v>
      </c>
      <c r="C4" s="5"/>
      <c r="D4" s="5" t="s">
        <v>13</v>
      </c>
      <c r="E4" s="5" t="s">
        <v>43</v>
      </c>
      <c r="F4" s="5" t="s">
        <v>44</v>
      </c>
      <c r="G4" s="5" t="s">
        <v>45</v>
      </c>
      <c r="H4" s="5" t="s">
        <v>46</v>
      </c>
      <c r="I4" s="5"/>
      <c r="J4" s="7" t="str">
        <f>_xlfn.CONCAT($K$2,E4,IF(F4="","","&lt;Br&gt;lineBrk&lt;Br&gt;"),F4,IF(G4="","","&lt;Br&gt;lineBrk&lt;Br&gt;"),G4,IF(H4="","","&lt;Br&gt;lineBrk&lt;Br&gt;"),H4,)</f>
        <v>&lt;p style="font-size:14px;"&gt;&lt;br&gt;Shape = A continuous line between two walls, with a high side and a low side.&lt;Br&gt;lineBrk&lt;Br&gt;Beings may Climb for 3AP or jazzt .&lt;Br&gt;lineBrk&lt;Br&gt;If a being falls of the cliff they take 8 damage.&lt;Br&gt;lineBrk&lt;Br&gt;The cliff blocks line of sight for anyone on the low side except on the cliff edge.</v>
      </c>
      <c r="K4" t="str">
        <f>IF(C5="yes",$M$3,$M$2)</f>
        <v>&lt;p style="font-size:14px;"&gt;&lt;br&gt;</v>
      </c>
      <c r="M4" t="s">
        <v>23</v>
      </c>
    </row>
    <row r="5" spans="1:13" ht="45" x14ac:dyDescent="0.25">
      <c r="A5" s="5" t="s">
        <v>97</v>
      </c>
      <c r="B5" s="6" t="s">
        <v>94</v>
      </c>
      <c r="C5" s="5"/>
      <c r="D5" s="5"/>
      <c r="E5" s="5" t="s">
        <v>98</v>
      </c>
      <c r="F5" s="5" t="s">
        <v>15</v>
      </c>
      <c r="G5" s="5" t="s">
        <v>115</v>
      </c>
      <c r="H5" s="5"/>
      <c r="I5" s="5"/>
      <c r="J5" s="7" t="str">
        <f>_xlfn.CONCAT($K$2,E5,IF(F5="","","&lt;Br&gt;lineBrk&lt;Br&gt;"),F5,IF(G5="","","&lt;Br&gt;lineBrk&lt;Br&gt;"),G5,IF(H5="","","&lt;Br&gt;lineBrk&lt;Br&gt;"),H5,)</f>
        <v>&lt;p style="font-size:14px;"&gt;&lt;br&gt;Shape = up to 7 x hex1a connected&lt;Br&gt;lineBrk&lt;Br&gt;Walls cannot be climbed.&lt;Br&gt;lineBrk&lt;Br&gt;&lt;b&gt;Destructible&lt;/b&gt;</v>
      </c>
      <c r="K5" t="str">
        <f>IF(C6="yes",$M$3,$M$2)</f>
        <v>&lt;p style="font-size:14px;"&gt;&lt;br&gt;</v>
      </c>
      <c r="M5" t="s">
        <v>28</v>
      </c>
    </row>
    <row r="6" spans="1:13" ht="30" x14ac:dyDescent="0.25">
      <c r="A6" s="5" t="s">
        <v>107</v>
      </c>
      <c r="B6" s="6" t="s">
        <v>94</v>
      </c>
      <c r="C6" s="5"/>
      <c r="D6" s="5"/>
      <c r="E6" s="5" t="s">
        <v>108</v>
      </c>
      <c r="F6" s="5" t="s">
        <v>109</v>
      </c>
      <c r="G6" s="5"/>
      <c r="H6" s="5"/>
      <c r="I6" s="5"/>
      <c r="J6" s="7" t="str">
        <f>_xlfn.CONCAT($K$2,E6,IF(F6="","","&lt;Br&gt;lineBrk&lt;Br&gt;"),F6,IF(G6="","","&lt;Br&gt;lineBrk&lt;Br&gt;"),G6,IF(H6="","","&lt;Br&gt;lineBrk&lt;Br&gt;"),H6,)</f>
        <v>&lt;p style="font-size:14px;"&gt;&lt;br&gt;Shape = up to 5 hexes in a line&lt;Br&gt;lineBrk&lt;Br&gt;Blocks movement but not line of sight</v>
      </c>
      <c r="K6" t="str">
        <f>IF(C7="yes",$M$3,$M$2)</f>
        <v>&lt;p style="font-size:14px;"&gt;&lt;br&gt;</v>
      </c>
      <c r="M6" t="s">
        <v>32</v>
      </c>
    </row>
    <row r="7" spans="1:13" ht="90" x14ac:dyDescent="0.25">
      <c r="A7" s="5" t="s">
        <v>24</v>
      </c>
      <c r="B7" s="6" t="s">
        <v>94</v>
      </c>
      <c r="C7" s="5"/>
      <c r="D7" s="5" t="s">
        <v>13</v>
      </c>
      <c r="E7" s="5" t="s">
        <v>25</v>
      </c>
      <c r="F7" s="5" t="s">
        <v>26</v>
      </c>
      <c r="G7" s="5" t="s">
        <v>27</v>
      </c>
      <c r="H7" s="5"/>
      <c r="I7" s="5"/>
      <c r="J7" s="7" t="str">
        <f>_xlfn.CONCAT($K$2,E7,IF(F7="","","&lt;Br&gt;lineBrk&lt;Br&gt;"),F7,IF(G7="","","&lt;Br&gt;lineBrk&lt;Br&gt;"),G7,IF(H7="","","&lt;Br&gt;lineBrk&lt;Br&gt;"),H7,)</f>
        <v>&lt;p style="font-size:14px;"&gt;&lt;br&gt;Shape = 1 Gate hex, then up to 2 Wall hexes adjacent to the gate.&lt;br&gt;GateHex&lt;Br&gt;lineBrk&lt;Br&gt;&lt;b&gt;Locked:&lt;/b&gt; The Gate can be opened using the Imbued status effect.&lt;Br&gt;lineBrk&lt;Br&gt;Walls block movement and line of sight, and cannot be climbed.</v>
      </c>
      <c r="K7" t="str">
        <f>IF(C8="yes",$M$3,$M$2)</f>
        <v>&lt;p style="font-size:14px;"&gt;&lt;br&gt;</v>
      </c>
    </row>
    <row r="8" spans="1:13" ht="120" x14ac:dyDescent="0.25">
      <c r="A8" s="5" t="s">
        <v>33</v>
      </c>
      <c r="B8" s="6" t="s">
        <v>94</v>
      </c>
      <c r="C8" s="5"/>
      <c r="D8" s="5" t="s">
        <v>13</v>
      </c>
      <c r="E8" s="5" t="s">
        <v>30</v>
      </c>
      <c r="F8" s="5" t="s">
        <v>34</v>
      </c>
      <c r="G8" s="5" t="s">
        <v>35</v>
      </c>
      <c r="H8" s="5" t="s">
        <v>36</v>
      </c>
      <c r="I8" s="5"/>
      <c r="J8" s="7" t="str">
        <f>_xlfn.CONCAT($K$2,E8,IF(F8="","","&lt;Br&gt;lineBrk&lt;Br&gt;"),F8,IF(G8="","","&lt;Br&gt;lineBrk&lt;Br&gt;"),G8,IF(H8="","","&lt;Br&gt;lineBrk&lt;Br&gt;"),H8,)</f>
        <v>&lt;p style="font-size:14px;"&gt;&lt;br&gt;Shape = Hex3&lt;Br&gt;lineBrk&lt;Br&gt;Lichen blocks line of sight.&lt;Br&gt;lineBrk&lt;Br&gt;Fire will burn all connected lichen hexes, dealing 2 Armour Piercing damage and inflicting the Burning status to anyone any being in the lichen.&lt;Br&gt;lineBrk&lt;Br&gt;Burning lichen is destroyed at the end of the bosses turn.</v>
      </c>
      <c r="K8" t="str">
        <f>IF(C9="yes",$M$3,$M$2)</f>
        <v>&lt;p style="font-size:14px;"&gt;&lt;br&gt;</v>
      </c>
    </row>
    <row r="9" spans="1:13" ht="135" x14ac:dyDescent="0.25">
      <c r="A9" s="5" t="s">
        <v>40</v>
      </c>
      <c r="B9" s="6" t="s">
        <v>94</v>
      </c>
      <c r="C9" s="5"/>
      <c r="D9" s="5"/>
      <c r="E9" s="5" t="s">
        <v>100</v>
      </c>
      <c r="F9" s="5" t="s">
        <v>41</v>
      </c>
      <c r="G9" s="5" t="s">
        <v>101</v>
      </c>
      <c r="H9" s="5"/>
      <c r="I9" s="5"/>
      <c r="J9" s="7" t="str">
        <f>_xlfn.CONCAT($K$2,E9,IF(F9="","","&lt;Br&gt;lineBrk&lt;Br&gt;"),F9,IF(G9="","","&lt;Br&gt;lineBrk&lt;Br&gt;"),G9,IF(H9="","","&lt;Br&gt;lineBrk&lt;Br&gt;"),H9,)</f>
        <v>&lt;p style="font-size:14px;"&gt;&lt;br&gt;Shape = 5 x hex1a connected.&lt;Br&gt;lineBrk&lt;Br&gt;If a creature starts their turn on hot coals, they take 3 damage.&lt;Br&gt;lineBrk&lt;Br&gt;&lt;b&gt;Throw Coal&lt;/b&gt;:&lt;/b&gt; 2AP + take 3 damage.&lt;br&gt;Make a ranged attack, on a hit set the target on fire, inflicting the &lt;b&gt;Burning&lt;/b&gt; status effect.</v>
      </c>
      <c r="K9" t="str">
        <f>IF(C10="yes",$M$3,$M$2)</f>
        <v>&lt;p style="font-size:14px;"&gt;&lt;br&gt;</v>
      </c>
    </row>
    <row r="10" spans="1:13" ht="75" x14ac:dyDescent="0.25">
      <c r="A10" s="5" t="s">
        <v>139</v>
      </c>
      <c r="B10" s="6" t="s">
        <v>94</v>
      </c>
      <c r="C10" s="5"/>
      <c r="D10" s="5"/>
      <c r="E10" s="5" t="s">
        <v>111</v>
      </c>
      <c r="F10" s="5" t="s">
        <v>124</v>
      </c>
      <c r="G10" s="5" t="s">
        <v>115</v>
      </c>
      <c r="H10" s="5"/>
      <c r="I10" s="5"/>
      <c r="J10" s="7" t="str">
        <f>_xlfn.CONCAT($K$2,E10,IF(F10="","","&lt;Br&gt;lineBrk&lt;Br&gt;"),F10,IF(G10="","","&lt;Br&gt;lineBrk&lt;Br&gt;"),G10,IF(H10="","","&lt;Br&gt;lineBrk&lt;Br&gt;"),H10,)</f>
        <v>&lt;p style="font-size:14px;"&gt;&lt;br&gt;Shape = hex1a&lt;Br&gt;lineBrk&lt;Br&gt;Any being that ends their turn within 2 hexes of the aura-stone take 2 damage and become &lt;b&gt;Exhausted&lt;/b&gt;.&lt;Br&gt;lineBrk&lt;Br&gt;&lt;b&gt;Destructible&lt;/b&gt;</v>
      </c>
      <c r="K10" t="str">
        <f>IF(C11="yes",$M$3,$M$2)</f>
        <v>&lt;p style="font-size:14px;"&gt;&lt;br&gt;</v>
      </c>
    </row>
    <row r="11" spans="1:13" ht="105" x14ac:dyDescent="0.25">
      <c r="A11" s="5" t="s">
        <v>37</v>
      </c>
      <c r="B11" s="6" t="s">
        <v>94</v>
      </c>
      <c r="C11" s="5"/>
      <c r="D11" s="5"/>
      <c r="E11" s="5" t="s">
        <v>38</v>
      </c>
      <c r="F11" s="5" t="s">
        <v>39</v>
      </c>
      <c r="G11" s="5" t="s">
        <v>99</v>
      </c>
      <c r="H11" s="5"/>
      <c r="I11" s="5"/>
      <c r="J11" s="7" t="str">
        <f>_xlfn.CONCAT($K$2,E11,IF(F11="","","&lt;Br&gt;lineBrk&lt;Br&gt;"),F11,IF(G11="","","&lt;Br&gt;lineBrk&lt;Br&gt;"),G11,IF(H11="","","&lt;Br&gt;lineBrk&lt;Br&gt;"),H11,)</f>
        <v>&lt;p style="font-size:14px;"&gt;&lt;br&gt;Shape = A 2 hex wide river running from one wall to another, with a current direction, a source, and lethal waterfall at the end.&lt;br&gt;RiverHex&lt;Br&gt;lineBrk&lt;Br&gt;Moving in the river costs double movement unless it is in the flow direction which costs half.&lt;Br&gt;lineBrk&lt;Br&gt;If you start your turn in the river, move 5 hexes in the flow.</v>
      </c>
      <c r="K11" t="str">
        <f>IF(C12="yes",$M$3,$M$2)</f>
        <v>&lt;p style="font-size:14px;"&gt;&lt;br&gt;</v>
      </c>
    </row>
    <row r="12" spans="1:13" ht="75" x14ac:dyDescent="0.25">
      <c r="A12" s="5" t="s">
        <v>17</v>
      </c>
      <c r="B12" s="6" t="s">
        <v>94</v>
      </c>
      <c r="C12" s="5"/>
      <c r="D12" s="5" t="s">
        <v>13</v>
      </c>
      <c r="E12" s="5" t="s">
        <v>18</v>
      </c>
      <c r="F12" s="5" t="s">
        <v>19</v>
      </c>
      <c r="G12" s="5" t="s">
        <v>20</v>
      </c>
      <c r="H12" s="5" t="s">
        <v>138</v>
      </c>
      <c r="I12" s="5"/>
      <c r="J12" s="7" t="str">
        <f>_xlfn.CONCAT($K$2,E12,IF(F12="","","&lt;Br&gt;lineBrk&lt;Br&gt;"),F12,IF(G12="","","&lt;Br&gt;lineBrk&lt;Br&gt;"),G12,IF(H12="","","&lt;Br&gt;lineBrk&lt;Br&gt;"),H12,)</f>
        <v>&lt;p style="font-size:14px;"&gt;&lt;br&gt;Shape = 3 x Hex1a&lt;Br&gt;lineBrk&lt;Br&gt;Roots can be climbed for 1 AP or jazzT.&lt;Br&gt;lineBrk&lt;Br&gt;Roots block line of sight, but do not block movement.&lt;Br&gt;lineBrk&lt;Br&gt;&lt;b&gt;Flammable&lt;/b&gt;</v>
      </c>
      <c r="K12" t="str">
        <f>IF(C13="yes",$M$3,$M$2)</f>
        <v>&lt;p style="font-size:14px;"&gt;&lt;br&gt;</v>
      </c>
    </row>
    <row r="13" spans="1:13" ht="45" x14ac:dyDescent="0.25">
      <c r="A13" s="5" t="s">
        <v>29</v>
      </c>
      <c r="B13" s="6" t="s">
        <v>94</v>
      </c>
      <c r="C13" s="5"/>
      <c r="D13" s="5"/>
      <c r="E13" s="5" t="s">
        <v>98</v>
      </c>
      <c r="F13" s="5" t="s">
        <v>31</v>
      </c>
      <c r="G13" s="5"/>
      <c r="H13" s="5"/>
      <c r="I13" s="5"/>
      <c r="J13" s="7" t="str">
        <f>_xlfn.CONCAT($K$2,E13,IF(F13="","","&lt;Br&gt;lineBrk&lt;Br&gt;"),F13,IF(G13="","","&lt;Br&gt;lineBrk&lt;Br&gt;"),G13,IF(H13="","","&lt;Br&gt;lineBrk&lt;Br&gt;"),H13,)</f>
        <v>&lt;p style="font-size:14px;"&gt;&lt;br&gt;Shape = up to 7 x hex1a connected&lt;Br&gt;lineBrk&lt;Br&gt;Each rubble hex takes 2 hexes of movement to enter.</v>
      </c>
      <c r="K13" t="str">
        <f>IF(C14="yes",$M$3,$M$2)</f>
        <v>&lt;p style="font-size:14px;"&gt;&lt;br&gt;</v>
      </c>
    </row>
    <row r="14" spans="1:13" ht="75" x14ac:dyDescent="0.25">
      <c r="A14" s="5" t="s">
        <v>50</v>
      </c>
      <c r="B14" s="6" t="s">
        <v>94</v>
      </c>
      <c r="C14" s="5"/>
      <c r="D14" s="5" t="s">
        <v>13</v>
      </c>
      <c r="E14" s="5" t="s">
        <v>51</v>
      </c>
      <c r="F14" s="5" t="s">
        <v>52</v>
      </c>
      <c r="G14" s="5" t="s">
        <v>53</v>
      </c>
      <c r="H14" s="5" t="s">
        <v>136</v>
      </c>
      <c r="I14" s="5"/>
      <c r="J14" s="7" t="str">
        <f>_xlfn.CONCAT($K$2,E14,IF(F14="","","&lt;Br&gt;lineBrk&lt;Br&gt;"),F14,IF(G14="","","&lt;Br&gt;lineBrk&lt;Br&gt;"),G14,IF(H14="","","&lt;Br&gt;lineBrk&lt;Br&gt;"),H14,)</f>
        <v>&lt;p style="font-size:14px;"&gt;&lt;br&gt;Shape = Hex1b x 3&lt;Br&gt;lineBrk&lt;Br&gt;Beings may Climb for 3AP or jazzt.&lt;Br&gt;lineBrk&lt;Br&gt;If a being falls of a pillar they take 8 damage.&lt;Br&gt;lineBrk&lt;Br&gt;Pillars block line of sight.</v>
      </c>
      <c r="K14" t="e">
        <f>IF(#REF!="yes",$M$3,$M$2)</f>
        <v>#REF!</v>
      </c>
    </row>
    <row r="15" spans="1:13" ht="30" x14ac:dyDescent="0.25">
      <c r="A15" s="5" t="s">
        <v>12</v>
      </c>
      <c r="B15" s="6" t="s">
        <v>94</v>
      </c>
      <c r="C15" s="5"/>
      <c r="D15" s="5" t="s">
        <v>13</v>
      </c>
      <c r="E15" s="5" t="s">
        <v>14</v>
      </c>
      <c r="F15" s="5" t="s">
        <v>137</v>
      </c>
      <c r="G15" s="5"/>
      <c r="H15" s="5"/>
      <c r="I15" s="5"/>
      <c r="J15" s="7" t="str">
        <f>_xlfn.CONCAT($K$2,E15,IF(F15="","","&lt;Br&gt;lineBrk&lt;Br&gt;"),F15,IF(G15="","","&lt;Br&gt;lineBrk&lt;Br&gt;"),G15,IF(H15="","","&lt;Br&gt;lineBrk&lt;Br&gt;"),H15,)</f>
        <v>&lt;p style="font-size:14px;"&gt;&lt;br&gt;Shape = Up to 5 x Hex1a&lt;Br&gt;lineBrk&lt;Br&gt;Walls cannot be climbed and block line of sight.</v>
      </c>
      <c r="K15" t="str">
        <f>IF(C16="yes",$M$3,$M$2)</f>
        <v>&lt;p style="font-size:14px;"&gt;&lt;br&gt;</v>
      </c>
    </row>
    <row r="16" spans="1:13" ht="75" x14ac:dyDescent="0.25">
      <c r="A16" s="5" t="s">
        <v>96</v>
      </c>
      <c r="B16" s="6" t="s">
        <v>94</v>
      </c>
      <c r="C16" s="5"/>
      <c r="D16" s="5"/>
      <c r="E16" s="5" t="s">
        <v>134</v>
      </c>
      <c r="F16" s="5" t="s">
        <v>135</v>
      </c>
      <c r="G16" s="5" t="s">
        <v>115</v>
      </c>
      <c r="I16" s="5"/>
      <c r="J16" s="7" t="e">
        <f>_xlfn.CONCAT($K$2,E16,IF(G16="","","&lt;Br&gt;lineBrk&lt;Br&gt;"),G16,IF(#REF!="","","&lt;Br&gt;lineBrk&lt;Br&gt;"),#REF!,IF(F16="","","&lt;Br&gt;lineBrk&lt;Br&gt;"),F16,)</f>
        <v>#REF!</v>
      </c>
      <c r="K16" t="str">
        <f>IF(C17="yes",$M$3,$M$2)</f>
        <v>&lt;p style="font-size:14px;"&gt;&lt;br&gt;</v>
      </c>
    </row>
    <row r="17" spans="1:11" ht="90" x14ac:dyDescent="0.25">
      <c r="A17" s="5" t="s">
        <v>126</v>
      </c>
      <c r="B17" s="8" t="s">
        <v>95</v>
      </c>
      <c r="C17" s="5"/>
      <c r="D17" s="5"/>
      <c r="E17" s="5" t="s">
        <v>127</v>
      </c>
      <c r="F17" s="5" t="s">
        <v>128</v>
      </c>
      <c r="G17" s="5" t="s">
        <v>129</v>
      </c>
      <c r="H17" s="5" t="s">
        <v>130</v>
      </c>
      <c r="I17" s="5"/>
      <c r="J17" s="7" t="str">
        <f>_xlfn.CONCAT($K$2,E17,IF(F17="","","&lt;Br&gt;lineBrk&lt;Br&gt;"),F17,IF(G17="","","&lt;Br&gt;lineBrk&lt;Br&gt;"),G17,IF(H17="","","&lt;Br&gt;lineBrk&lt;Br&gt;"),H17,)</f>
        <v>&lt;p style="font-size:14px;"&gt;&lt;br&gt;Shape = hex2wide&lt;Br&gt;lineBrk&lt;Br&gt;One hex is stairs, the other is high ground. Stairs can be climbed for no extra movement cost.&lt;Br&gt;lineBrk&lt;Br&gt;JazzT or 3 AP to climb to high ground directly.&lt;Br&gt;lineBrk&lt;Br&gt;Take 8 fall damage from high ground fall.</v>
      </c>
      <c r="K17" t="str">
        <f>IF(C18="yes",$M$3,$M$2)</f>
        <v>&lt;p style="font-size:14px;"&gt;&lt;br&gt;</v>
      </c>
    </row>
    <row r="18" spans="1:11" ht="105" x14ac:dyDescent="0.25">
      <c r="A18" s="5" t="s">
        <v>58</v>
      </c>
      <c r="B18" s="8" t="s">
        <v>95</v>
      </c>
      <c r="C18" s="5"/>
      <c r="D18" s="5"/>
      <c r="E18" s="5" t="s">
        <v>48</v>
      </c>
      <c r="F18" s="5" t="s">
        <v>59</v>
      </c>
      <c r="G18" s="5" t="s">
        <v>60</v>
      </c>
      <c r="H18" s="5" t="s">
        <v>61</v>
      </c>
      <c r="I18" s="5"/>
      <c r="J18" s="7" t="str">
        <f>_xlfn.CONCAT($K$2,E18,IF(F18="","","&lt;Br&gt;lineBrk&lt;Br&gt;"),F18,IF(G18="","","&lt;Br&gt;lineBrk&lt;Br&gt;"),G18,IF(H18="","","&lt;Br&gt;lineBrk&lt;Br&gt;"),H18,)</f>
        <v>&lt;p style="font-size:14px;"&gt;&lt;br&gt;Shape = Hex1a&lt;Br&gt;lineBrk&lt;Br&gt;Ending your turn next to the campfire restores all composure.&lt;Br&gt;lineBrk&lt;Br&gt;If a being steps on the campfire they take 6 Armour Piercing damage and suffer the burning status.&lt;Br&gt;lineBrk&lt;Br&gt;&lt;b&gt;Rest:&lt;/b&gt;  4AP&lt;br&gt;Gain the well rested status effect.</v>
      </c>
      <c r="K18" t="str">
        <f>IF(C19="yes",$M$3,$M$2)</f>
        <v>&lt;p style="font-size:14px;"&gt;&lt;br&gt;</v>
      </c>
    </row>
    <row r="19" spans="1:11" ht="90" x14ac:dyDescent="0.25">
      <c r="A19" s="5" t="s">
        <v>79</v>
      </c>
      <c r="B19" s="8" t="s">
        <v>95</v>
      </c>
      <c r="C19" s="5"/>
      <c r="D19" s="5"/>
      <c r="E19" s="5" t="s">
        <v>80</v>
      </c>
      <c r="F19" s="9" t="s">
        <v>81</v>
      </c>
      <c r="G19" s="5" t="s">
        <v>82</v>
      </c>
      <c r="H19" s="5"/>
      <c r="I19" s="5"/>
      <c r="J19" s="7" t="str">
        <f>_xlfn.CONCAT($K$2,E19,IF(F19="","","&lt;Br&gt;lineBrk&lt;Br&gt;"),F19,IF(G19="","","&lt;Br&gt;lineBrk&lt;Br&gt;"),G19,IF(H19="","","&lt;Br&gt;lineBrk&lt;Br&gt;"),H19,)</f>
        <v>&lt;p style="font-size:14px;"&gt;&lt;br&gt;Shape = 3 x Hex1a paintings that are at least 3 hexes apart from each other.&lt;br&gt;Cavepaint1&lt;Br&gt;lineBrk&lt;Br&gt;&lt;b&gt;Study:&lt;/b&gt; 1AP&lt;br&gt;Permanently gain a +1 damage bonus against the boss .&lt;Br&gt;lineBrk&lt;Br&gt;Each player can only study each painting once.</v>
      </c>
      <c r="K19" t="str">
        <f>IF(C20="yes",$M$3,$M$2)</f>
        <v>&lt;p style="font-size:14px;"&gt;&lt;br&gt;</v>
      </c>
    </row>
    <row r="20" spans="1:11" ht="90" x14ac:dyDescent="0.25">
      <c r="A20" s="5" t="s">
        <v>54</v>
      </c>
      <c r="B20" s="8" t="s">
        <v>95</v>
      </c>
      <c r="C20" s="5"/>
      <c r="D20" s="5"/>
      <c r="E20" s="5" t="s">
        <v>48</v>
      </c>
      <c r="F20" s="5" t="s">
        <v>55</v>
      </c>
      <c r="G20" s="5" t="s">
        <v>56</v>
      </c>
      <c r="H20" s="5" t="s">
        <v>57</v>
      </c>
      <c r="I20" s="5"/>
      <c r="J20" s="7" t="str">
        <f>_xlfn.CONCAT($K$2,E20,IF(F20="","","&lt;Br&gt;lineBrk&lt;Br&gt;"),F20,IF(G20="","","&lt;Br&gt;lineBrk&lt;Br&gt;"),G20,IF(H20="","","&lt;Br&gt;lineBrk&lt;Br&gt;"),H20,)</f>
        <v>&lt;p style="font-size:14px;"&gt;&lt;br&gt;Shape = Hex1a&lt;Br&gt;lineBrk&lt;Br&gt;&lt;i&gt;Ranged Attack - &lt;/i&gt;&lt;b&gt;Fire!:&lt;/b&gt; 3AP&lt;br&gt;The arbalest must be loaded. &lt;br&gt;Damage = 8. &lt;br&gt;Hits everyone in a line.&lt;Br&gt;lineBrk&lt;Br&gt;&lt;b&gt;Reload&lt;/b&gt; - 3AP + flesht flesht: &lt;Br&gt;Reload the arbalest.&lt;Br&gt;lineBrk&lt;Br&gt;Starts loaded.</v>
      </c>
      <c r="K20" t="str">
        <f>IF(C21="yes",$M$3,$M$2)</f>
        <v>&lt;p style="font-size:14px;"&gt;&lt;br&gt;</v>
      </c>
    </row>
    <row r="21" spans="1:11" ht="60" x14ac:dyDescent="0.25">
      <c r="A21" s="5" t="s">
        <v>71</v>
      </c>
      <c r="B21" s="8" t="s">
        <v>95</v>
      </c>
      <c r="C21" s="5"/>
      <c r="D21" s="5"/>
      <c r="E21" s="5" t="s">
        <v>48</v>
      </c>
      <c r="F21" s="5" t="s">
        <v>72</v>
      </c>
      <c r="G21" s="5"/>
      <c r="H21" s="5"/>
      <c r="I21" s="5"/>
      <c r="J21" s="7" t="str">
        <f>_xlfn.CONCAT($K$2,E21,IF(F21="","","&lt;Br&gt;lineBrk&lt;Br&gt;"),F21,IF(G21="","","&lt;Br&gt;lineBrk&lt;Br&gt;"),G21,IF(H21="","","&lt;Br&gt;lineBrk&lt;Br&gt;"),H21,)</f>
        <v>&lt;p style="font-size:14px;"&gt;&lt;br&gt;Shape = Hex1a&lt;Br&gt;lineBrk&lt;Br&gt;&lt;b&gt;Drink:&lt;/b&gt; 3AP&lt;br&gt;Restore 2 wounds and empty the fountain. It cannot be used again.</v>
      </c>
      <c r="K21" t="str">
        <f>IF(C22="yes",$M$3,$M$2)</f>
        <v>&lt;p style="font-size:14px;"&gt;&lt;br&gt;</v>
      </c>
    </row>
    <row r="22" spans="1:11" ht="60" x14ac:dyDescent="0.25">
      <c r="A22" s="5" t="s">
        <v>118</v>
      </c>
      <c r="B22" s="8" t="s">
        <v>95</v>
      </c>
      <c r="C22" s="5"/>
      <c r="D22" s="5"/>
      <c r="E22" s="5" t="s">
        <v>111</v>
      </c>
      <c r="F22" s="5" t="s">
        <v>119</v>
      </c>
      <c r="G22" s="5" t="s">
        <v>115</v>
      </c>
      <c r="H22" s="5"/>
      <c r="I22" s="5"/>
      <c r="J22" s="7" t="str">
        <f>_xlfn.CONCAT($K$2,E22,IF(F22="","","&lt;Br&gt;lineBrk&lt;Br&gt;"),F22,IF(G22="","","&lt;Br&gt;lineBrk&lt;Br&gt;"),G22,IF(H22="","","&lt;Br&gt;lineBrk&lt;Br&gt;"),H22,)</f>
        <v>&lt;p style="font-size:14px;"&gt;&lt;br&gt;Shape = hex1a&lt;Br&gt;lineBrk&lt;Br&gt;&lt;b&gt;Channel Power:&lt;/b&gt; 3 AP&lt;br&gt;Refresh two spent stats tokens and destroy Leyline Nexus.&lt;Br&gt;lineBrk&lt;Br&gt;&lt;b&gt;Destructible&lt;/b&gt;</v>
      </c>
      <c r="K22" t="str">
        <f>IF(C23="yes",$M$3,$M$2)</f>
        <v>&lt;p style="font-size:14px;"&gt;&lt;br&gt;</v>
      </c>
    </row>
    <row r="23" spans="1:11" ht="75" x14ac:dyDescent="0.25">
      <c r="A23" s="5" t="s">
        <v>62</v>
      </c>
      <c r="B23" s="8" t="s">
        <v>95</v>
      </c>
      <c r="C23" s="5"/>
      <c r="D23" s="5"/>
      <c r="E23" s="5" t="s">
        <v>63</v>
      </c>
      <c r="F23" s="9" t="s">
        <v>64</v>
      </c>
      <c r="G23" s="9" t="s">
        <v>123</v>
      </c>
      <c r="H23" s="5"/>
      <c r="I23" s="5"/>
      <c r="J23" s="7" t="str">
        <f>_xlfn.CONCAT($K$2,E23,IF(F23="","","&lt;Br&gt;lineBrk&lt;Br&gt;"),F23,IF(G23="","","&lt;Br&gt;lineBrk&lt;Br&gt;"),G23,IF(H23="","","&lt;Br&gt;lineBrk&lt;Br&gt;"),H23,)</f>
        <v>&lt;p style="font-size:14px;"&gt;&lt;br&gt;Shape = Hex1b&lt;Br&gt;lineBrk&lt;Br&gt;Spend 1AP or fleshT to move through 1 hex.&lt;Br&gt;lineBrk&lt;Br&gt;&lt;b&gt;Rummage:&lt;/b&gt; fleshT fleshT&lt;br&gt;Gain 1 limb. This can only be done once.</v>
      </c>
      <c r="K23" t="str">
        <f>IF(C24="yes",$M$3,$M$2)</f>
        <v>&lt;p style="font-size:14px;"&gt;&lt;br&gt;</v>
      </c>
    </row>
    <row r="24" spans="1:11" ht="60" x14ac:dyDescent="0.25">
      <c r="A24" s="5" t="s">
        <v>113</v>
      </c>
      <c r="B24" s="8" t="s">
        <v>95</v>
      </c>
      <c r="C24" s="5"/>
      <c r="D24" s="5"/>
      <c r="E24" s="5" t="s">
        <v>111</v>
      </c>
      <c r="F24" s="5" t="s">
        <v>114</v>
      </c>
      <c r="G24" s="5" t="s">
        <v>115</v>
      </c>
      <c r="H24" s="5"/>
      <c r="I24" s="5"/>
      <c r="J24" s="7" t="str">
        <f>_xlfn.CONCAT($K$2,E24,IF(F24="","","&lt;Br&gt;lineBrk&lt;Br&gt;"),F24,IF(G24="","","&lt;Br&gt;lineBrk&lt;Br&gt;"),G24,IF(H24="","","&lt;Br&gt;lineBrk&lt;Br&gt;"),H24,)</f>
        <v>&lt;p style="font-size:14px;"&gt;&lt;br&gt;Shape = hex1a&lt;Br&gt;lineBrk&lt;Br&gt;Any being that ends their turn within 2 hexes of the aura-stone gains up to 2 temporary composure.&lt;Br&gt;lineBrk&lt;Br&gt;&lt;b&gt;Destructible&lt;/b&gt;</v>
      </c>
      <c r="K24" t="str">
        <f>IF(C25="yes",$M$3,$M$2)</f>
        <v>&lt;p style="font-size:14px;"&gt;&lt;br&gt;</v>
      </c>
    </row>
    <row r="25" spans="1:11" ht="90" x14ac:dyDescent="0.25">
      <c r="A25" s="5" t="s">
        <v>67</v>
      </c>
      <c r="B25" s="8" t="s">
        <v>95</v>
      </c>
      <c r="C25" s="5"/>
      <c r="D25" s="5"/>
      <c r="E25" s="5" t="s">
        <v>68</v>
      </c>
      <c r="F25" s="9" t="s">
        <v>69</v>
      </c>
      <c r="G25" s="5" t="s">
        <v>116</v>
      </c>
      <c r="H25" s="5"/>
      <c r="I25" s="5"/>
      <c r="J25" s="7" t="str">
        <f>_xlfn.CONCAT($K$2,E25,IF(F25="","","&lt;Br&gt;lineBrk&lt;Br&gt;"),F25,IF(G25="","","&lt;Br&gt;lineBrk&lt;Br&gt;"),G25,IF(H25="","","&lt;Br&gt;lineBrk&lt;Br&gt;"),H25,)</f>
        <v>&lt;p style="font-size:14px;"&gt;&lt;br&gt;Shape = Hex1a x 2&lt;Br&gt;lineBrk&lt;Br&gt;&lt;b&gt;Jump:&lt;/b&gt; weirdT&lt;br&gt;Teleport to any unoccupied portal hex.&lt;Br&gt;lineBrk&lt;Br&gt;You may reveal portal when it is time to place it, and instead place it after all banes have been placed.</v>
      </c>
      <c r="K25" t="str">
        <f>IF(C26="yes",$M$3,$M$2)</f>
        <v>&lt;p style="font-size:14px;"&gt;&lt;br&gt;</v>
      </c>
    </row>
    <row r="26" spans="1:11" ht="45" x14ac:dyDescent="0.25">
      <c r="A26" s="5" t="s">
        <v>77</v>
      </c>
      <c r="B26" s="8" t="s">
        <v>95</v>
      </c>
      <c r="C26" s="5"/>
      <c r="D26" s="5"/>
      <c r="E26" s="5" t="s">
        <v>48</v>
      </c>
      <c r="F26" s="9" t="s">
        <v>78</v>
      </c>
      <c r="G26" s="5"/>
      <c r="H26" s="5"/>
      <c r="I26" s="5"/>
      <c r="J26" s="7" t="str">
        <f>_xlfn.CONCAT($K$2,E26,IF(F26="","","&lt;Br&gt;lineBrk&lt;Br&gt;"),F26,IF(G26="","","&lt;Br&gt;lineBrk&lt;Br&gt;"),G26,IF(H26="","","&lt;Br&gt;lineBrk&lt;Br&gt;"),H26,)</f>
        <v>&lt;p style="font-size:14px;"&gt;&lt;br&gt;Shape = Hex1a&lt;Br&gt;lineBrk&lt;Br&gt;&lt;b&gt;Imbibe:&lt;/b&gt; 2AP + 1 weirdT&lt;br&gt;Destroy this and gain the Imbued status.</v>
      </c>
      <c r="K26" t="str">
        <f>IF(C27="yes",$M$3,$M$2)</f>
        <v>&lt;p style="font-size:14px;"&gt;&lt;br&gt;</v>
      </c>
    </row>
    <row r="27" spans="1:11" ht="45" x14ac:dyDescent="0.25">
      <c r="A27" s="5" t="s">
        <v>65</v>
      </c>
      <c r="B27" s="8" t="s">
        <v>95</v>
      </c>
      <c r="C27" s="5"/>
      <c r="D27" s="5"/>
      <c r="E27" s="5" t="s">
        <v>48</v>
      </c>
      <c r="F27" s="9" t="s">
        <v>66</v>
      </c>
      <c r="G27" s="5"/>
      <c r="H27" s="5"/>
      <c r="I27" s="5"/>
      <c r="J27" s="7" t="str">
        <f>_xlfn.CONCAT($K$2,E27,IF(F27="","","&lt;Br&gt;lineBrk&lt;Br&gt;"),F27,IF(G27="","","&lt;Br&gt;lineBrk&lt;Br&gt;"),G27,IF(H27="","","&lt;Br&gt;lineBrk&lt;Br&gt;"),H27,)</f>
        <v>&lt;p style="font-size:14px;"&gt;&lt;br&gt;Shape = Hex1a&lt;Br&gt;lineBrk&lt;Br&gt;&lt;b&gt;Ponder:&lt;/b&gt; 1AP + weirdT weirdT&lt;br&gt;Gain the portent status.</v>
      </c>
      <c r="K27" t="str">
        <f>IF(C28="yes",$M$3,$M$2)</f>
        <v>&lt;p style="font-size:14px;"&gt;&lt;br&gt;</v>
      </c>
    </row>
    <row r="28" spans="1:11" ht="105" x14ac:dyDescent="0.25">
      <c r="A28" s="5" t="s">
        <v>70</v>
      </c>
      <c r="B28" s="8" t="s">
        <v>95</v>
      </c>
      <c r="C28" s="5"/>
      <c r="D28" s="5"/>
      <c r="E28" s="5" t="s">
        <v>48</v>
      </c>
      <c r="F28" s="5" t="s">
        <v>125</v>
      </c>
      <c r="G28" s="5"/>
      <c r="H28" s="5"/>
      <c r="I28" s="5"/>
      <c r="J28" s="7" t="str">
        <f>_xlfn.CONCAT($K$2,E28,IF(F28="","","&lt;Br&gt;lineBrk&lt;Br&gt;"),F28,IF(G28="","","&lt;Br&gt;lineBrk&lt;Br&gt;"),G28,IF(H28="","","&lt;Br&gt;lineBrk&lt;Br&gt;"),H28,)</f>
        <v>&lt;p style="font-size:14px;"&gt;&lt;br&gt;Shape = Hex1a&lt;Br&gt;lineBrk&lt;Br&gt;&lt;b&gt;Locked:&lt;/b&gt; This can be opened using the imbued status effect to look at 2 limbs or impressions and equip any number of them. Then destroy this</v>
      </c>
      <c r="K28" t="str">
        <f>IF(C29="yes",$M$3,$M$2)</f>
        <v>&lt;p style="font-size:14px;"&gt;&lt;br&gt;</v>
      </c>
    </row>
    <row r="29" spans="1:11" ht="75" x14ac:dyDescent="0.25">
      <c r="A29" s="5" t="s">
        <v>75</v>
      </c>
      <c r="B29" s="8" t="s">
        <v>95</v>
      </c>
      <c r="C29" s="5"/>
      <c r="D29" s="5"/>
      <c r="E29" s="5" t="s">
        <v>48</v>
      </c>
      <c r="F29" s="9" t="s">
        <v>76</v>
      </c>
      <c r="G29" s="5"/>
      <c r="H29" s="5"/>
      <c r="I29" s="5"/>
      <c r="J29" s="7" t="str">
        <f>_xlfn.CONCAT($K$2,E29,IF(F29="","","&lt;Br&gt;lineBrk&lt;Br&gt;"),F29,IF(G29="","","&lt;Br&gt;lineBrk&lt;Br&gt;"),G29,IF(H29="","","&lt;Br&gt;lineBrk&lt;Br&gt;"),H29,)</f>
        <v>&lt;p style="font-size:14px;"&gt;&lt;br&gt;Shape = Hex1a&lt;Br&gt;lineBrk&lt;Br&gt;&lt;b&gt;Sacrifice:&lt;/b&gt; 1AP + a wound to a stat of your choice&lt;br&gt;Draw an impression. You may equip it.</v>
      </c>
      <c r="K29" t="str">
        <f>IF(C30="yes",$M$3,$M$2)</f>
        <v>&lt;p style="font-size:14px;"&gt;&lt;br&gt;</v>
      </c>
    </row>
    <row r="30" spans="1:11" ht="45" x14ac:dyDescent="0.25">
      <c r="A30" s="5" t="s">
        <v>110</v>
      </c>
      <c r="B30" s="8" t="s">
        <v>95</v>
      </c>
      <c r="C30" s="5"/>
      <c r="D30" s="5"/>
      <c r="E30" s="5" t="s">
        <v>111</v>
      </c>
      <c r="F30" s="5" t="s">
        <v>112</v>
      </c>
      <c r="G30" s="5"/>
      <c r="H30" s="5"/>
      <c r="I30" s="5"/>
      <c r="J30" s="7" t="str">
        <f>_xlfn.CONCAT($K$2,E30,IF(F30="","","&lt;Br&gt;lineBrk&lt;Br&gt;"),F30,IF(G30="","","&lt;Br&gt;lineBrk&lt;Br&gt;"),G30,IF(H30="","","&lt;Br&gt;lineBrk&lt;Br&gt;"),H30,)</f>
        <v>&lt;p style="font-size:14px;"&gt;&lt;br&gt;Shape = hex1a&lt;Br&gt;lineBrk&lt;Br&gt;&lt;b&gt;Transponderify: 1 AP + WeirdT&lt;br&gt;&lt;/b&gt;Swap locations with target being.</v>
      </c>
      <c r="K30" t="str">
        <f>IF(C31="yes",$M$3,$M$2)</f>
        <v>&lt;p style="font-size:14px;"&gt;&lt;br&gt;</v>
      </c>
    </row>
    <row r="31" spans="1:11" ht="60" x14ac:dyDescent="0.25">
      <c r="A31" s="5" t="s">
        <v>22</v>
      </c>
      <c r="B31" s="8" t="s">
        <v>95</v>
      </c>
      <c r="C31" s="5"/>
      <c r="D31" s="5"/>
      <c r="E31" s="5" t="s">
        <v>131</v>
      </c>
      <c r="F31" s="5" t="s">
        <v>132</v>
      </c>
      <c r="G31" s="5" t="s">
        <v>133</v>
      </c>
      <c r="H31" s="5"/>
      <c r="I31" s="5"/>
      <c r="J31" s="7" t="str">
        <f>_xlfn.CONCAT($K$2,E31,IF(F31="","","&lt;Br&gt;lineBrk&lt;Br&gt;"),F31,IF(G31="","","&lt;Br&gt;lineBrk&lt;Br&gt;"),G31,IF(H31="","","&lt;Br&gt;lineBrk&lt;Br&gt;"),H31,)</f>
        <v>&lt;p style="font-size:14px;"&gt;&lt;br&gt;Shape = up to 6 x hex1a connected.&lt;Br&gt;lineBrk&lt;Br&gt;Create a tunnel through any existing map terrain, up to 6 hexes long.&lt;Br&gt;lineBrk&lt;Br&gt;Boons remain intact inside the tunnel.</v>
      </c>
      <c r="K31" t="str">
        <f>IF(C32="yes",$M$3,$M$2)</f>
        <v>&lt;p style="font-size:14px;"&gt;&lt;br&gt;</v>
      </c>
    </row>
    <row r="32" spans="1:11" ht="90" x14ac:dyDescent="0.25">
      <c r="A32" s="5" t="s">
        <v>73</v>
      </c>
      <c r="B32" s="8" t="s">
        <v>95</v>
      </c>
      <c r="C32" s="5"/>
      <c r="D32" s="5"/>
      <c r="E32" s="5" t="s">
        <v>63</v>
      </c>
      <c r="F32" s="5" t="s">
        <v>74</v>
      </c>
      <c r="G32" s="5"/>
      <c r="H32" s="5"/>
      <c r="I32" s="5"/>
      <c r="J32" s="7" t="str">
        <f>_xlfn.CONCAT($K$2,E32,IF(F32="","","&lt;Br&gt;lineBrk&lt;Br&gt;"),F32,IF(G32="","","&lt;Br&gt;lineBrk&lt;Br&gt;"),G32,IF(H32="","","&lt;Br&gt;lineBrk&lt;Br&gt;"),H32,)</f>
        <v>&lt;p style="font-size:14px;"&gt;&lt;br&gt;Shape = Hex1b&lt;Br&gt;lineBrk&lt;Br&gt;Each hex may be &lt;br&gt;&lt;b&gt;Excavated:&lt;/b&gt; 3AP or weirdT + 1AP&lt;br&gt;Replenish a spent charge token on a card and destroy that hex.</v>
      </c>
      <c r="K32" t="str">
        <f>IF(C33="yes",$M$3,$M$2)</f>
        <v>&lt;p style="font-size:14px;"&gt;&lt;br&gt;</v>
      </c>
    </row>
    <row r="33" spans="1:11" ht="60" x14ac:dyDescent="0.25">
      <c r="A33" s="5" t="s">
        <v>47</v>
      </c>
      <c r="B33" s="8" t="s">
        <v>95</v>
      </c>
      <c r="C33" s="5"/>
      <c r="D33" s="5"/>
      <c r="E33" s="5" t="s">
        <v>48</v>
      </c>
      <c r="F33" s="5" t="s">
        <v>49</v>
      </c>
      <c r="G33" s="5" t="s">
        <v>117</v>
      </c>
      <c r="H33" s="5"/>
      <c r="I33" s="5"/>
      <c r="J33" s="7" t="str">
        <f>_xlfn.CONCAT($K$2,E33,IF(F33="","","&lt;Br&gt;lineBrk&lt;Br&gt;"),F33,IF(G33="","","&lt;Br&gt;lineBrk&lt;Br&gt;"),G33,IF(H33="","","&lt;Br&gt;lineBrk&lt;Br&gt;"),H33,)</f>
        <v>&lt;p style="font-size:14px;"&gt;&lt;br&gt;Shape = Hex1a&lt;Br&gt;lineBrk&lt;Br&gt;&lt;b&gt;Drink:&lt;/b&gt; 1AP&lt;br&gt; Become monstrous.&lt;Br&gt;lineBrk&lt;Br&gt;&lt;b&gt;Flammable, Destructible&lt;/b&gt;</v>
      </c>
      <c r="K33" t="str">
        <f>IF(C34="yes",$M$3,$M$2)</f>
        <v>&lt;p style="font-size:14px;"&gt;&lt;br&gt;</v>
      </c>
    </row>
    <row r="34" spans="1:11" ht="90" x14ac:dyDescent="0.25">
      <c r="A34" s="5" t="s">
        <v>120</v>
      </c>
      <c r="B34" s="8" t="s">
        <v>95</v>
      </c>
      <c r="C34" s="5"/>
      <c r="D34" s="5"/>
      <c r="E34" s="5" t="s">
        <v>111</v>
      </c>
      <c r="F34" s="5" t="s">
        <v>121</v>
      </c>
      <c r="G34" s="5" t="s">
        <v>122</v>
      </c>
      <c r="H34" s="5"/>
      <c r="I34" s="5"/>
      <c r="J34" s="7" t="str">
        <f>_xlfn.CONCAT($K$2,E34,IF(F34="","","&lt;Br&gt;lineBrk&lt;Br&gt;"),F34,IF(G34="","","&lt;Br&gt;lineBrk&lt;Br&gt;"),G34,IF(H34="","","&lt;Br&gt;lineBrk&lt;Br&gt;"),H34,)</f>
        <v>&lt;p style="font-size:14px;"&gt;&lt;br&gt;Shape = hex1a&lt;Br&gt;lineBrk&lt;Br&gt;&lt;b&gt;Wrangle: &lt;/b&gt;2 AP + fleshT&lt;br&gt;Pick up the worm, it counts as an equipped limb.&lt;Br&gt;lineBrk&lt;Br&gt;&lt;b&gt;Unleash:&lt;/b&gt; 2 AP&lt;br&gt; Damage = 6, close range. Drop the worm onto an adjacent hex if you hit.</v>
      </c>
      <c r="K34" t="str">
        <f>IF(C35="yes",$M$3,$M$2)</f>
        <v>&lt;p style="font-size:14px;"&gt;&lt;br&gt;</v>
      </c>
    </row>
    <row r="35" spans="1:11" x14ac:dyDescent="0.25">
      <c r="A35" s="5"/>
      <c r="B35" s="5"/>
      <c r="C35" s="5"/>
      <c r="D35" s="5"/>
      <c r="E35" s="5"/>
      <c r="F35" s="5"/>
      <c r="G35" s="5"/>
      <c r="H35" s="5"/>
      <c r="I35" s="5"/>
      <c r="J35" s="7" t="str">
        <f>_xlfn.CONCAT($K$2,E35,IF(F35="","","&lt;Br&gt;lineBrk&lt;Br&gt;"),F35,IF(G35="","","&lt;Br&gt;lineBrk&lt;Br&gt;"),G35,IF(H35="","","&lt;Br&gt;lineBrk&lt;Br&gt;"),H35,)</f>
        <v>&lt;p style="font-size:14px;"&gt;&lt;br&gt;</v>
      </c>
      <c r="K35" t="str">
        <f>IF(C36="yes",$M$3,$M$2)</f>
        <v>&lt;p style="font-size:14px;"&gt;&lt;br&gt;</v>
      </c>
    </row>
    <row r="36" spans="1:11" x14ac:dyDescent="0.25">
      <c r="A36" s="5"/>
      <c r="B36" s="5"/>
      <c r="C36" s="5"/>
      <c r="D36" s="5"/>
      <c r="E36" s="5"/>
      <c r="F36" s="5"/>
      <c r="G36" s="5"/>
      <c r="H36" s="5"/>
      <c r="I36" s="5"/>
      <c r="J36" s="7"/>
      <c r="K36" t="str">
        <f>IF(C37="yes",$M$3,$M$2)</f>
        <v>&lt;p style="font-size:14px;"&gt;&lt;br&gt;</v>
      </c>
    </row>
    <row r="37" spans="1:11" x14ac:dyDescent="0.25">
      <c r="A37" s="5"/>
      <c r="B37" s="5"/>
      <c r="C37" s="5"/>
      <c r="D37" s="5"/>
      <c r="E37" s="5"/>
      <c r="F37" s="5"/>
      <c r="G37" s="5"/>
      <c r="H37" s="5"/>
      <c r="I37" s="5"/>
      <c r="J37" s="7"/>
      <c r="K37" t="str">
        <f>IF(C38="yes",$M$3,$M$2)</f>
        <v>&lt;p style="font-size:14px;"&gt;&lt;br&gt;</v>
      </c>
    </row>
    <row r="38" spans="1:11" x14ac:dyDescent="0.25">
      <c r="A38" s="5"/>
      <c r="B38" s="5"/>
      <c r="C38" s="5"/>
      <c r="D38" s="5"/>
      <c r="E38" s="5"/>
      <c r="F38" s="5"/>
      <c r="G38" s="5"/>
      <c r="H38" s="5"/>
      <c r="I38" s="5"/>
      <c r="J38" s="7"/>
      <c r="K38" t="str">
        <f>IF(C39="yes",$M$3,$M$2)</f>
        <v>&lt;p style="font-size:14px;"&gt;&lt;br&gt;</v>
      </c>
    </row>
    <row r="39" spans="1:11" ht="15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7"/>
    </row>
  </sheetData>
  <conditionalFormatting sqref="B1:C39">
    <cfRule type="containsText" dxfId="4" priority="2" operator="containsText" text="Accessory">
      <formula>NOT(ISERROR(SEARCH("Accessory",B1)))</formula>
    </cfRule>
    <cfRule type="containsText" dxfId="3" priority="3" operator="containsText" text="Armour">
      <formula>NOT(ISERROR(SEARCH("Armour",B1)))</formula>
    </cfRule>
    <cfRule type="containsText" dxfId="2" priority="4" operator="containsText" text="Equipment">
      <formula>NOT(ISERROR(SEARCH("Equipment",B1)))</formula>
    </cfRule>
    <cfRule type="containsText" dxfId="1" priority="5" operator="containsText" text="Impression">
      <formula>NOT(ISERROR(SEARCH("Impression",B1)))</formula>
    </cfRule>
    <cfRule type="containsText" dxfId="0" priority="6" operator="containsText" text="Spell">
      <formula>NOT(ISERROR(SEARCH("Spell",B1)))</formula>
    </cfRule>
  </conditionalFormatting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0"/>
  <sheetViews>
    <sheetView zoomScaleNormal="100" workbookViewId="0">
      <selection activeCell="F11" sqref="F11"/>
    </sheetView>
  </sheetViews>
  <sheetFormatPr defaultColWidth="13.42578125" defaultRowHeight="12.75" customHeight="1" x14ac:dyDescent="0.25"/>
  <sheetData>
    <row r="1" spans="1:6" ht="15" x14ac:dyDescent="0.25">
      <c r="A1" t="s">
        <v>83</v>
      </c>
      <c r="C1">
        <v>160</v>
      </c>
      <c r="D1">
        <v>0.32</v>
      </c>
      <c r="E1" t="s">
        <v>84</v>
      </c>
    </row>
    <row r="2" spans="1:6" ht="15" x14ac:dyDescent="0.25"/>
    <row r="3" spans="1:6" ht="15" x14ac:dyDescent="0.25">
      <c r="A3" t="s">
        <v>85</v>
      </c>
      <c r="B3">
        <v>662</v>
      </c>
      <c r="C3">
        <v>614</v>
      </c>
      <c r="D3">
        <f t="shared" ref="D3:E10" si="0">$D$1/$C$1*B3</f>
        <v>1.3240000000000001</v>
      </c>
      <c r="E3">
        <f t="shared" si="0"/>
        <v>1.228</v>
      </c>
      <c r="F3" t="str">
        <f>_xlfn.CONCAT(" ",D3,$E$1,E3,$E$1,"PB")</f>
        <v xml:space="preserve"> 1.324, 1.228, PB</v>
      </c>
    </row>
    <row r="4" spans="1:6" ht="15" x14ac:dyDescent="0.25">
      <c r="A4" t="s">
        <v>86</v>
      </c>
      <c r="B4">
        <v>1186</v>
      </c>
      <c r="C4">
        <v>160</v>
      </c>
      <c r="D4">
        <f t="shared" si="0"/>
        <v>2.3719999999999999</v>
      </c>
      <c r="E4">
        <f t="shared" si="0"/>
        <v>0.32</v>
      </c>
      <c r="F4" t="str">
        <f t="shared" ref="F4:F12" si="1">_xlfn.CONCAT(D4,$E$1,E4,$E$1,"PB")</f>
        <v>2.372, 0.32, PB</v>
      </c>
    </row>
    <row r="5" spans="1:6" ht="15" x14ac:dyDescent="0.25">
      <c r="A5" t="s">
        <v>87</v>
      </c>
      <c r="B5">
        <v>400</v>
      </c>
      <c r="C5">
        <v>384</v>
      </c>
      <c r="D5">
        <f t="shared" si="0"/>
        <v>0.8</v>
      </c>
      <c r="E5">
        <f t="shared" si="0"/>
        <v>0.76800000000000002</v>
      </c>
      <c r="F5" t="str">
        <f t="shared" si="1"/>
        <v>0.8, 0.768, PB</v>
      </c>
    </row>
    <row r="6" spans="1:6" ht="15" x14ac:dyDescent="0.25">
      <c r="A6" t="s">
        <v>88</v>
      </c>
      <c r="B6">
        <v>138</v>
      </c>
      <c r="C6">
        <v>160</v>
      </c>
      <c r="D6">
        <f t="shared" si="0"/>
        <v>0.27600000000000002</v>
      </c>
      <c r="E6">
        <f t="shared" si="0"/>
        <v>0.32</v>
      </c>
      <c r="F6" t="str">
        <f t="shared" si="1"/>
        <v>0.276, 0.32, PB</v>
      </c>
    </row>
    <row r="7" spans="1:6" ht="15" x14ac:dyDescent="0.25">
      <c r="A7" t="s">
        <v>89</v>
      </c>
      <c r="B7">
        <v>269</v>
      </c>
      <c r="C7">
        <v>273</v>
      </c>
      <c r="D7">
        <f t="shared" si="0"/>
        <v>0.53800000000000003</v>
      </c>
      <c r="E7">
        <f t="shared" si="0"/>
        <v>0.54600000000000004</v>
      </c>
      <c r="F7" t="str">
        <f t="shared" si="1"/>
        <v>0.538, 0.546, PB</v>
      </c>
    </row>
    <row r="8" spans="1:6" ht="15" x14ac:dyDescent="0.25">
      <c r="A8" t="s">
        <v>90</v>
      </c>
      <c r="B8">
        <v>400</v>
      </c>
      <c r="C8">
        <v>387</v>
      </c>
      <c r="D8">
        <f t="shared" si="0"/>
        <v>0.8</v>
      </c>
      <c r="E8">
        <f t="shared" si="0"/>
        <v>0.77400000000000002</v>
      </c>
      <c r="F8" t="str">
        <f t="shared" si="1"/>
        <v>0.8, 0.774, PB</v>
      </c>
    </row>
    <row r="9" spans="1:6" ht="15" x14ac:dyDescent="0.25">
      <c r="A9" t="s">
        <v>91</v>
      </c>
      <c r="B9">
        <v>662</v>
      </c>
      <c r="C9">
        <v>613</v>
      </c>
      <c r="D9">
        <f t="shared" si="0"/>
        <v>1.3240000000000001</v>
      </c>
      <c r="E9">
        <f t="shared" si="0"/>
        <v>1.226</v>
      </c>
      <c r="F9" t="str">
        <f t="shared" si="1"/>
        <v>1.324, 1.226, PB</v>
      </c>
    </row>
    <row r="10" spans="1:6" ht="15" x14ac:dyDescent="0.25">
      <c r="A10" t="s">
        <v>92</v>
      </c>
      <c r="B10">
        <v>513</v>
      </c>
      <c r="C10">
        <v>387</v>
      </c>
      <c r="D10">
        <f t="shared" si="0"/>
        <v>1.026</v>
      </c>
      <c r="E10">
        <f t="shared" si="0"/>
        <v>0.77400000000000002</v>
      </c>
      <c r="F10" t="str">
        <f t="shared" si="1"/>
        <v>1.026, 0.774, PB</v>
      </c>
    </row>
    <row r="11" spans="1:6" ht="15" x14ac:dyDescent="0.25">
      <c r="A11" t="s">
        <v>13</v>
      </c>
      <c r="B11">
        <v>267</v>
      </c>
      <c r="C11">
        <v>141</v>
      </c>
      <c r="D11">
        <f>$D$1/$C$1*B11*2</f>
        <v>1.0680000000000001</v>
      </c>
      <c r="E11">
        <f>$D$1/$C$1*C11*2</f>
        <v>0.56400000000000006</v>
      </c>
      <c r="F11" t="str">
        <f t="shared" si="1"/>
        <v>1.068, 0.564, PB</v>
      </c>
    </row>
    <row r="12" spans="1:6" ht="15" x14ac:dyDescent="0.25">
      <c r="A12" t="s">
        <v>93</v>
      </c>
      <c r="B12">
        <v>662</v>
      </c>
      <c r="C12">
        <v>613</v>
      </c>
      <c r="D12">
        <f>$D$1/$C$1*B12</f>
        <v>1.3240000000000001</v>
      </c>
      <c r="E12">
        <f>$D$1/$C$1*C12</f>
        <v>1.226</v>
      </c>
      <c r="F12" t="str">
        <f t="shared" si="1"/>
        <v>1.324, 1.226, PB</v>
      </c>
    </row>
    <row r="13" spans="1:6" ht="15" x14ac:dyDescent="0.25"/>
    <row r="14" spans="1:6" ht="15" x14ac:dyDescent="0.25"/>
    <row r="15" spans="1:6" ht="15" x14ac:dyDescent="0.25"/>
    <row r="16" spans="1:6" ht="15" x14ac:dyDescent="0.25"/>
    <row r="17" ht="15" x14ac:dyDescent="0.25"/>
    <row r="18" ht="15" x14ac:dyDescent="0.25"/>
    <row r="19" ht="15" x14ac:dyDescent="0.25"/>
    <row r="20" ht="15" x14ac:dyDescent="0.25"/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/>
  <headerFooter>
    <oddHeader>&amp;C&amp;"Arial,Regular"&amp;10&amp;Kffffff&amp;A</oddHeader>
    <oddFooter>&amp;C&amp;"Arial,Regular"&amp;10&amp;KffffffPage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Sheet3</vt:lpstr>
      <vt:lpstr>Terrain token fuckery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NTK</dc:creator>
  <dc:description/>
  <cp:lastModifiedBy>NTK</cp:lastModifiedBy>
  <cp:revision>16</cp:revision>
  <dcterms:created xsi:type="dcterms:W3CDTF">2025-06-22T09:18:10Z</dcterms:created>
  <dcterms:modified xsi:type="dcterms:W3CDTF">2026-02-09T08:59:22Z</dcterms:modified>
  <dc:language>en-NZ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