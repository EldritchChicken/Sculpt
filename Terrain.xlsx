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Sheet3!$A$1:$AH$19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<sst xmlns="http://schemas.openxmlformats.org/spreadsheetml/2006/main" count="198" uniqueCount="150">
  <si>
    <t xml:space="preserve">Change state</t>
  </si>
  <si>
    <t xml:space="preserve">Name</t>
  </si>
  <si>
    <t xml:space="preserve">ShapeText</t>
  </si>
  <si>
    <t xml:space="preserve">ShapeIcon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</si>
  <si>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</si>
  <si>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</si>
  <si>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</si>
  <si>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</si>
  <si>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</si>
  <si>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</si>
  <si>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</si>
  <si>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</si>
  <si>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</si>
  <si>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</si>
  <si>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</si>
  <si>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</si>
  <si>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</si>
  <si>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</si>
  <si>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</si>
  <si>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</si>
  <si>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</si>
  <si>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</si>
  <si>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</si>
  <si>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</si>
  <si>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</si>
  <si>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</si>
  <si>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</si>
  <si>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</si>
  <si>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</si>
  <si>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</si>
  <si>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</si>
  <si>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</si>
  <si>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</si>
  <si>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</si>
  <si>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Archer's Roost</t>
  </si>
  <si>
    <t xml:space="preserve">Shape = 2 Adjacent Hexes</t>
  </si>
  <si>
    <t xml:space="preserve">RoostICON</t>
  </si>
  <si>
    <t xml:space="preserve">Active</t>
  </si>
  <si>
    <t xml:space="preserve">&lt;b&gt;One Hex is Stairs&lt;/b&gt;</t>
  </si>
  <si>
    <t xml:space="preserve">Climb the stairs to high ground for no extra movement cost.</t>
  </si>
  <si>
    <t xml:space="preserve">&lt;b&gt;One Hex is High Ground&lt;/b&gt;</t>
  </si>
  <si>
    <t xml:space="preserve">Ranged attacks always hit beings below.
&lt;br /&gt;JazzT or 3 AP to climb up or down. 
&lt;br /&gt;Take 8 damage if you fall.</t>
  </si>
  <si>
    <t xml:space="preserve">Campfire</t>
  </si>
  <si>
    <t xml:space="preserve">&lt;br /&gt;
Shape = 1 Hex</t>
  </si>
  <si>
    <t xml:space="preserve">CampfireICON</t>
  </si>
  <si>
    <t xml:space="preserve">&lt;b&gt;Rest:&lt;/b&gt; 3 AP</t>
  </si>
  <si>
    <t xml:space="preserve">Gain the well rested status effect.</t>
  </si>
  <si>
    <t xml:space="preserve">&lt;b&gt;Burning&lt;/b&gt;</t>
  </si>
  <si>
    <t xml:space="preserve">If a being steps on the campfire they take 4 Armour Piercing damage and suffer the burning status.</t>
  </si>
  <si>
    <t xml:space="preserve">Cave Paintings</t>
  </si>
  <si>
    <t xml:space="preserve">PaintICON</t>
  </si>
  <si>
    <t xml:space="preserve">&lt;b&gt;Study:&lt;/b&gt; 1 AP</t>
  </si>
  <si>
    <t xml:space="preserve">Permanently gain a +1 damage bonus against the boss.
&lt;br /&gt;Each player can only study each painting once.</t>
  </si>
  <si>
    <t xml:space="preserve">&lt;b&gt;Scattered Story&lt;/b&gt;</t>
  </si>
  <si>
    <t xml:space="preserve">Each painting must be at least 3 Hexes away from any other paintings</t>
  </si>
  <si>
    <t xml:space="preserve">&lt;span style="color:#e74c3c"&gt;&lt;b&gt;Flesh&lt;/b&gt;&lt;/span&gt;</t>
  </si>
  <si>
    <t xml:space="preserve">Fixed Arbalest</t>
  </si>
  <si>
    <t xml:space="preserve">ArbICON</t>
  </si>
  <si>
    <t xml:space="preserve">&lt;b&gt;Fire:&lt;/b&gt; 3 AP</t>
  </si>
  <si>
    <t xml:space="preserve">The arbalest must be loaded. 
&lt;br /&gt;Damage = 8, Ranged Attack 
&lt;br /&gt;Hits everyone in a line.</t>
  </si>
  <si>
    <t xml:space="preserve">&lt;b&gt;Reload:&lt;/b&gt; 3 AP + flesht flesht: </t>
  </si>
  <si>
    <t xml:space="preserve">Reload the arbalest. &lt;br /&gt; The Arbalest starts the combat loaded.</t>
  </si>
  <si>
    <t xml:space="preserve">&lt;span style="color:#3366cc"&gt;&lt;b&gt;Weird&lt;/b&gt;&lt;/span&gt;</t>
  </si>
  <si>
    <t xml:space="preserve">Fountain of life</t>
  </si>
  <si>
    <t xml:space="preserve">SpringICON</t>
  </si>
  <si>
    <t xml:space="preserve">&lt;b&gt;Drink:&lt;/b&gt; 3 AP</t>
  </si>
  <si>
    <t xml:space="preserve">Restore 2 wounds and empty the fountain. It cannot be used again.</t>
  </si>
  <si>
    <t xml:space="preserve">&lt;span style="color:#27ae60"&gt;&lt;b&gt;Jazz&lt;/b&gt;&lt;/span&gt;</t>
  </si>
  <si>
    <t xml:space="preserve">Leyline Nexus</t>
  </si>
  <si>
    <t xml:space="preserve">LeylineICON</t>
  </si>
  <si>
    <t xml:space="preserve">&lt;b&gt;Channel Power:&lt;/b&gt; 3 AP</t>
  </si>
  <si>
    <t xml:space="preserve">Refresh two spent stats tokens and destroy Leyline Nexus.</t>
  </si>
  <si>
    <t xml:space="preserve">Mud Pit</t>
  </si>
  <si>
    <t xml:space="preserve">&lt;br /&gt;
Shape = 3 Hexs</t>
  </si>
  <si>
    <t xml:space="preserve">MudICON</t>
  </si>
  <si>
    <t xml:space="preserve">&lt;b&gt;Thick Mud&lt;/b&gt;</t>
  </si>
  <si>
    <t xml:space="preserve">Spend 1 AP or fleshT to enter 1 hex.</t>
  </si>
  <si>
    <r>
      <rPr>
        <sz val="11"/>
        <color rgb="FF000000"/>
        <rFont val="Aptos Narrow"/>
        <family val="2"/>
        <charset val="1"/>
      </rPr>
      <t xml:space="preserve">&lt;b&gt;Rummage:&lt;/b&gt;</t>
    </r>
    <r>
      <rPr>
        <sz val="11"/>
        <color theme="1"/>
        <rFont val="Aptos Narrow"/>
        <family val="2"/>
        <charset val="1"/>
      </rPr>
      <t xml:space="preserve"> fleshT fleshT</t>
    </r>
  </si>
  <si>
    <t xml:space="preserve">Gain 1 limb. This can only be done once.</t>
  </si>
  <si>
    <t xml:space="preserve">Pleasant Aura-stone</t>
  </si>
  <si>
    <t xml:space="preserve">AuraICON</t>
  </si>
  <si>
    <t xml:space="preserve">&lt;b&gt;Reinforcing Aura&lt;/b&gt;</t>
  </si>
  <si>
    <t xml:space="preserve">Any being that ends their turn within the aura gains up to 2 temporary composure.</t>
  </si>
  <si>
    <t xml:space="preserve">Portal</t>
  </si>
  <si>
    <t xml:space="preserve">PortalICON</t>
  </si>
  <si>
    <t xml:space="preserve">&lt;b&gt;Many Doors&lt;/b&gt;</t>
  </si>
  <si>
    <t xml:space="preserve">Place 2 Portals on the map</t>
  </si>
  <si>
    <r>
      <rPr>
        <sz val="11"/>
        <color rgb="FF000000"/>
        <rFont val="Aptos Narrow"/>
        <family val="2"/>
        <charset val="1"/>
      </rPr>
      <t xml:space="preserve">&lt;b&gt;Jump:&lt;/b&gt;</t>
    </r>
    <r>
      <rPr>
        <sz val="11"/>
        <color theme="1"/>
        <rFont val="Aptos Narrow"/>
        <family val="2"/>
        <charset val="1"/>
      </rPr>
      <t xml:space="preserve"> weirdT</t>
    </r>
  </si>
  <si>
    <t xml:space="preserve">Teleport to any unoccupied portal hex.</t>
  </si>
  <si>
    <t xml:space="preserve">Pure Clay</t>
  </si>
  <si>
    <t xml:space="preserve">ClayICON</t>
  </si>
  <si>
    <r>
      <rPr>
        <sz val="11"/>
        <color rgb="FF000000"/>
        <rFont val="Aptos Narrow"/>
        <family val="2"/>
        <charset val="1"/>
      </rPr>
      <t xml:space="preserve">&lt;b&gt;Imbibe:&lt;/b&gt;</t>
    </r>
    <r>
      <rPr>
        <sz val="11"/>
        <color theme="1"/>
        <rFont val="Aptos Narrow"/>
        <family val="2"/>
        <charset val="1"/>
      </rPr>
      <t xml:space="preserve"> 2 AP + 1 weirdT</t>
    </r>
  </si>
  <si>
    <t xml:space="preserve">Destroy this and gain the Imbued status.</t>
  </si>
  <si>
    <t xml:space="preserve">Quartz Sphere</t>
  </si>
  <si>
    <t xml:space="preserve">SphereICON</t>
  </si>
  <si>
    <r>
      <rPr>
        <sz val="11"/>
        <color rgb="FF000000"/>
        <rFont val="Aptos Narrow"/>
        <family val="2"/>
        <charset val="1"/>
      </rPr>
      <t xml:space="preserve">&lt;b&gt;Ponder:&lt;/b&gt;</t>
    </r>
    <r>
      <rPr>
        <sz val="11"/>
        <color theme="1"/>
        <rFont val="Aptos Narrow"/>
        <family val="2"/>
        <charset val="1"/>
      </rPr>
      <t xml:space="preserve"> 1 AP + weirdT weirdT</t>
    </r>
  </si>
  <si>
    <t xml:space="preserve">Gain the portent status.</t>
  </si>
  <si>
    <t xml:space="preserve">Sculpting wheel</t>
  </si>
  <si>
    <t xml:space="preserve">WheelICON</t>
  </si>
  <si>
    <t xml:space="preserve">&lt;b&gt;Locked:&lt;/b&gt; Use &lt;b&gt;Imbued&lt;/b&gt;</t>
  </si>
  <si>
    <t xml:space="preserve">Look at 2 limbs or impressions and equip any number of them. Then destroy this</t>
  </si>
  <si>
    <t xml:space="preserve">Stained Stalagmite</t>
  </si>
  <si>
    <t xml:space="preserve">StalagmiteICON</t>
  </si>
  <si>
    <t xml:space="preserve">&lt;b&gt;Sacrifice:&lt;/b&gt; 1 AP</t>
  </si>
  <si>
    <t xml:space="preserve">Take a wound to a stat of your choice and draw an impression. You may equip it.</t>
  </si>
  <si>
    <t xml:space="preserve">Transpondermagig</t>
  </si>
  <si>
    <t xml:space="preserve">SwitchICON</t>
  </si>
  <si>
    <t xml:space="preserve">&lt;b&gt;Transponderify:&lt;/b&gt; 1 AP + WeirdT</t>
  </si>
  <si>
    <t xml:space="preserve">Swap locations with target being.</t>
  </si>
  <si>
    <t xml:space="preserve">Clearing</t>
  </si>
  <si>
    <r>
      <rPr>
        <sz val="11"/>
        <color theme="1"/>
        <rFont val="Aptos Narrow"/>
        <family val="2"/>
        <charset val="1"/>
      </rPr>
      <t xml:space="preserve">Shape = U</t>
    </r>
    <r>
      <rPr>
        <sz val="10"/>
        <color theme="1"/>
        <rFont val="Candara"/>
        <family val="2"/>
        <charset val="1"/>
      </rPr>
      <t xml:space="preserve">p to 6 adjacent hexes</t>
    </r>
  </si>
  <si>
    <t xml:space="preserve">TunnelICON</t>
  </si>
  <si>
    <t xml:space="preserve">&lt;b&gt;Clear The Way&lt;/b&gt;</t>
  </si>
  <si>
    <t xml:space="preserve">Create a Clearing through any map terrain, including walls. Clearing tiles are simple open space.</t>
  </si>
  <si>
    <t xml:space="preserve">&lt;b&gt;Keep What Matters&lt;/b&gt;</t>
  </si>
  <si>
    <t xml:space="preserve">Clearing can not remove other Boons</t>
  </si>
  <si>
    <t xml:space="preserve">Weird Fossil</t>
  </si>
  <si>
    <t xml:space="preserve">FossilICON</t>
  </si>
  <si>
    <t xml:space="preserve">&lt;b&gt;Excavated:&lt;/b&gt; 3 AP or weirdT + 1 AP</t>
  </si>
  <si>
    <t xml:space="preserve">Replenish a spent charge token on a card and destroy this hex.</t>
  </si>
  <si>
    <t xml:space="preserve">Whisky Barrel</t>
  </si>
  <si>
    <t xml:space="preserve">WhiskyICON</t>
  </si>
  <si>
    <t xml:space="preserve">&lt;b&gt;Drink:&lt;/b&gt; 1 AP</t>
  </si>
  <si>
    <t xml:space="preserve">Become monstrous.</t>
  </si>
  <si>
    <t xml:space="preserve">&lt;b&gt;Delicate&lt;/b&gt;</t>
  </si>
  <si>
    <t xml:space="preserve">&lt;b&gt;Flammable, Destructible&lt;/b&gt;</t>
  </si>
  <si>
    <t xml:space="preserve">Writhing greatworm</t>
  </si>
  <si>
    <t xml:space="preserve">WormICON</t>
  </si>
  <si>
    <t xml:space="preserve">&lt;b&gt;Wrangle:&lt;/b&gt; 2 AP + fleshT</t>
  </si>
  <si>
    <t xml:space="preserve">Pick up the worm, it counts as an equipped limb.</t>
  </si>
  <si>
    <t xml:space="preserve">&lt;b&gt;Unleash:&lt;/b&gt; 2 AP</t>
  </si>
  <si>
    <t xml:space="preserve">Damage = 6, close range.
&lt;br /&gt;Drop the worm onto an adjacent hex if you hit.</t>
  </si>
  <si>
    <t xml:space="preserve">Weird Stone</t>
  </si>
  <si>
    <t xml:space="preserve">&lt;br /&gt;
Shape = On the map</t>
  </si>
  <si>
    <t xml:space="preserve">WeirdICON</t>
  </si>
  <si>
    <t xml:space="preserve">&lt;b&gt;Weird Aura&lt;/b&gt;</t>
  </si>
  <si>
    <t xml:space="preserve">While the weirdstone is in play, any being that spends weirdt takes 2 damage.</t>
  </si>
  <si>
    <t xml:space="preserve">&lt;b&gt;Fragile&lt;/b&gt;</t>
  </si>
  <si>
    <t xml:space="preserve">The Weirdstone is &lt;b&gt;Destructable&lt;/b&gt; (it is destroyed by any amount of damage)</t>
  </si>
  <si>
    <t xml:space="preserve">Gate</t>
  </si>
  <si>
    <t xml:space="preserve">GateICON</t>
  </si>
  <si>
    <t xml:space="preserve">&lt;b&gt;Solid&lt;/b&gt;</t>
  </si>
  <si>
    <t xml:space="preserve">The gate blocks line of sight and movement</t>
  </si>
  <si>
    <t xml:space="preserve">Open the gate, removing this tile from the map</t>
  </si>
  <si>
    <t xml:space="preserve">Cliff</t>
  </si>
  <si>
    <t xml:space="preserve">CliffICON</t>
  </si>
  <si>
    <t xml:space="preserve">&lt;b&gt;Climb&lt;/b&gt;</t>
  </si>
  <si>
    <t xml:space="preserve">Ranged attacks always hit beings below.
&lt;br /&gt;JazzT or 3 AP to climb up or down. 
</t>
  </si>
  <si>
    <t xml:space="preserve">&lt;b&gt;Fall&lt;/b&gt;</t>
  </si>
  <si>
    <t xml:space="preserve">Take 8 damage if you fall.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</si>
</sst>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0"/>
      <color theme="1"/>
      <name val="Candara"/>
      <family val="2"/>
      <charset val="1"/>
    </font>
    <font>
      <sz val="11"/>
      <color rgb="FF000000"/>
      <name val="Aptos Narrow"/>
      <family val="2"/>
      <charset val="1"/>
    </font>
    <font>
      <sz val="10"/>
      <color rgb="FF000000"/>
      <name val="Candar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B3CAC7"/>
      </patternFill>
    </fill>
    <fill>
      <patternFill patternType="solid">
        <fgColor rgb="FF808080"/>
        <bgColor rgb="FF969696"/>
      </patternFill>
    </fill>
    <fill>
      <patternFill patternType="solid">
        <fgColor rgb="FFB3CAC7"/>
        <bgColor rgb="FFB4C7DC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B3CAC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7" fillId="0" borderId="2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B3CAC7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3" displayName="Table3" ref="B1:AH19" headerRowCount="1" totalsRowCount="0" totalsRowShown="0">
  <autoFilter ref="B1:AH19"/>
  <tableColumns count="33">
    <tableColumn id="1" name="Name"/>
    <tableColumn id="2" name="ShapeText"/>
    <tableColumn id="3" name="ShapeIcon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1" topLeftCell="J2" activePane="bottomRight" state="frozen"/>
      <selection pane="topLeft" activeCell="A1" activeCellId="0" sqref="A1"/>
      <selection pane="topRight" activeCell="J1" activeCellId="0" sqref="J1"/>
      <selection pane="bottomLeft" activeCell="A2" activeCellId="0" sqref="A2"/>
      <selection pane="bottomRight" activeCell="AE27" activeCellId="0" sqref="AE27"/>
    </sheetView>
  </sheetViews>
  <sheetFormatPr defaultColWidth="8.5625" defaultRowHeight="15" customHeight="false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17.1"/>
    <col collapsed="false" customWidth="true" hidden="false" outlineLevel="0" max="4" min="4" style="1" width="15.78"/>
    <col collapsed="false" customWidth="true" hidden="false" outlineLevel="0" max="5" min="5" style="1" width="1.44"/>
    <col collapsed="false" customWidth="true" hidden="false" outlineLevel="0" max="6" min="6" style="1" width="4.34"/>
    <col collapsed="false" customWidth="true" hidden="false" outlineLevel="0" max="7" min="7" style="1" width="8.34"/>
    <col collapsed="false" customWidth="true" hidden="false" outlineLevel="0" max="8" min="8" style="1" width="33"/>
    <col collapsed="false" customWidth="true" hidden="false" outlineLevel="0" max="9" min="9" style="1" width="33.93"/>
    <col collapsed="false" customWidth="true" hidden="false" outlineLevel="0" max="10" min="10" style="1" width="1.44"/>
    <col collapsed="false" customWidth="true" hidden="false" outlineLevel="0" max="11" min="11" style="1" width="6.89"/>
    <col collapsed="false" customWidth="true" hidden="false" outlineLevel="0" max="12" min="12" style="1" width="14.88"/>
    <col collapsed="false" customWidth="true" hidden="false" outlineLevel="0" max="13" min="13" style="1" width="31.66"/>
    <col collapsed="false" customWidth="true" hidden="false" outlineLevel="0" max="14" min="14" style="2" width="33.64"/>
    <col collapsed="false" customWidth="true" hidden="false" outlineLevel="0" max="15" min="15" style="1" width="1.44"/>
    <col collapsed="false" customWidth="true" hidden="false" outlineLevel="0" max="16" min="16" style="1" width="6.56"/>
    <col collapsed="false" customWidth="true" hidden="false" outlineLevel="0" max="17" min="17" style="1" width="8.44"/>
    <col collapsed="false" customWidth="true" hidden="false" outlineLevel="0" max="18" min="18" style="1" width="25.56"/>
    <col collapsed="false" customWidth="true" hidden="false" outlineLevel="0" max="19" min="19" style="3" width="33.64"/>
    <col collapsed="false" customWidth="true" hidden="false" outlineLevel="0" max="20" min="20" style="1" width="1.44"/>
    <col collapsed="false" customWidth="true" hidden="false" outlineLevel="0" max="21" min="21" style="1" width="10"/>
    <col collapsed="false" customWidth="true" hidden="false" outlineLevel="0" max="22" min="22" style="1" width="12.79"/>
    <col collapsed="false" customWidth="true" hidden="false" outlineLevel="0" max="32" min="25" style="1" width="10.56"/>
  </cols>
  <sheetData>
    <row r="1" customFormat="false" ht="35.25" hidden="false" customHeight="true" outlineLevel="0" collapsed="false">
      <c r="A1" s="4" t="s">
        <v>0</v>
      </c>
      <c r="B1" s="5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  <c r="N1" s="5" t="s">
        <v>13</v>
      </c>
      <c r="O1" s="8" t="s">
        <v>14</v>
      </c>
      <c r="P1" s="6" t="s">
        <v>15</v>
      </c>
      <c r="Q1" s="6" t="s">
        <v>16</v>
      </c>
      <c r="R1" s="6" t="s">
        <v>17</v>
      </c>
      <c r="S1" s="5" t="s">
        <v>18</v>
      </c>
      <c r="T1" s="7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</row>
    <row r="2" customFormat="false" ht="69.95" hidden="false" customHeight="true" outlineLevel="0" collapsed="false">
      <c r="B2" s="9" t="s">
        <v>34</v>
      </c>
      <c r="C2" s="10" t="s">
        <v>35</v>
      </c>
      <c r="D2" s="10" t="s">
        <v>36</v>
      </c>
      <c r="E2" s="11"/>
      <c r="F2" s="10" t="n">
        <v>1</v>
      </c>
      <c r="G2" s="10" t="s">
        <v>37</v>
      </c>
      <c r="H2" s="10" t="s">
        <v>38</v>
      </c>
      <c r="I2" s="12" t="s">
        <v>39</v>
      </c>
      <c r="J2" s="11"/>
      <c r="K2" s="10" t="n">
        <v>5</v>
      </c>
      <c r="L2" s="10" t="s">
        <v>37</v>
      </c>
      <c r="M2" s="10" t="s">
        <v>40</v>
      </c>
      <c r="N2" s="12" t="s">
        <v>41</v>
      </c>
      <c r="O2" s="13"/>
      <c r="P2" s="10"/>
      <c r="Q2" s="10"/>
      <c r="R2" s="10"/>
      <c r="S2" s="12"/>
      <c r="T2" s="11"/>
      <c r="U2" s="10" t="n">
        <v>34</v>
      </c>
      <c r="V2" s="10" t="n">
        <v>4.4</v>
      </c>
      <c r="W2" s="10" t="n">
        <v>3</v>
      </c>
      <c r="X2" s="10" t="n">
        <v>-1.1</v>
      </c>
      <c r="Y2" s="10" t="n">
        <v>-6</v>
      </c>
      <c r="Z2" s="14" t="n">
        <f aca="false">AB2+Y$2</f>
        <v>28</v>
      </c>
      <c r="AA2" s="14" t="n">
        <f aca="false">Z2+X$2</f>
        <v>26.9</v>
      </c>
      <c r="AB2" s="14" t="n">
        <f aca="false">U$2+V$2*(F2-1)</f>
        <v>34</v>
      </c>
      <c r="AC2" s="14" t="n">
        <f aca="false">AE2+Y$2</f>
        <v>48.6</v>
      </c>
      <c r="AD2" s="14" t="n">
        <f aca="false">AC2+X$2</f>
        <v>47.5</v>
      </c>
      <c r="AE2" s="14" t="n">
        <f aca="false">U$2+V$2*(K2-1)+W$2</f>
        <v>54.6</v>
      </c>
      <c r="AF2" s="14" t="n">
        <f aca="false">AH2+Y$2</f>
        <v>29.6</v>
      </c>
      <c r="AG2" s="14" t="n">
        <f aca="false">AF2+X$2</f>
        <v>28.5</v>
      </c>
      <c r="AH2" s="15" t="n">
        <f aca="false">U$2+V$2*(P2-1)+2*W$2</f>
        <v>35.6</v>
      </c>
    </row>
    <row r="3" customFormat="false" ht="31.45" hidden="false" customHeight="false" outlineLevel="0" collapsed="false">
      <c r="B3" s="9" t="s">
        <v>42</v>
      </c>
      <c r="C3" s="10" t="s">
        <v>43</v>
      </c>
      <c r="D3" s="10" t="s">
        <v>44</v>
      </c>
      <c r="E3" s="11"/>
      <c r="F3" s="10" t="n">
        <v>1</v>
      </c>
      <c r="G3" s="10" t="s">
        <v>37</v>
      </c>
      <c r="H3" s="10" t="s">
        <v>45</v>
      </c>
      <c r="I3" s="12" t="s">
        <v>46</v>
      </c>
      <c r="J3" s="11"/>
      <c r="K3" s="10" t="n">
        <v>4</v>
      </c>
      <c r="L3" s="10" t="s">
        <v>37</v>
      </c>
      <c r="M3" s="10" t="s">
        <v>47</v>
      </c>
      <c r="N3" s="12" t="s">
        <v>48</v>
      </c>
      <c r="O3" s="13"/>
      <c r="P3" s="10"/>
      <c r="Q3" s="10"/>
      <c r="R3" s="10"/>
      <c r="S3" s="12"/>
      <c r="T3" s="11"/>
      <c r="U3" s="10"/>
      <c r="V3" s="10"/>
      <c r="W3" s="10"/>
      <c r="X3" s="10"/>
      <c r="Y3" s="10"/>
      <c r="Z3" s="14" t="n">
        <f aca="false">AB3+Y$2</f>
        <v>28</v>
      </c>
      <c r="AA3" s="14" t="n">
        <f aca="false">Z3+X$2</f>
        <v>26.9</v>
      </c>
      <c r="AB3" s="14" t="n">
        <f aca="false">U$2+V$2*(F3-1)</f>
        <v>34</v>
      </c>
      <c r="AC3" s="14" t="n">
        <f aca="false">AE3+Y$2</f>
        <v>44.2</v>
      </c>
      <c r="AD3" s="14" t="n">
        <f aca="false">AC3+X$2</f>
        <v>43.1</v>
      </c>
      <c r="AE3" s="14" t="n">
        <f aca="false">U$2+V$2*(K3-1)+W$2</f>
        <v>50.2</v>
      </c>
      <c r="AF3" s="14" t="n">
        <f aca="false">AH3+Y$2</f>
        <v>29.6</v>
      </c>
      <c r="AG3" s="14" t="n">
        <f aca="false">AF3+X$2</f>
        <v>28.5</v>
      </c>
      <c r="AH3" s="15" t="n">
        <f aca="false">U$2+V$2*(P3-1)+2*W$2</f>
        <v>35.6</v>
      </c>
    </row>
    <row r="4" customFormat="false" ht="44.15" hidden="false" customHeight="false" outlineLevel="0" collapsed="false">
      <c r="B4" s="9" t="s">
        <v>49</v>
      </c>
      <c r="C4" s="10" t="s">
        <v>43</v>
      </c>
      <c r="D4" s="10" t="s">
        <v>50</v>
      </c>
      <c r="E4" s="11"/>
      <c r="F4" s="10" t="n">
        <v>1</v>
      </c>
      <c r="G4" s="10" t="s">
        <v>37</v>
      </c>
      <c r="H4" s="16" t="s">
        <v>51</v>
      </c>
      <c r="I4" s="12" t="s">
        <v>52</v>
      </c>
      <c r="J4" s="11"/>
      <c r="K4" s="10" t="n">
        <v>7</v>
      </c>
      <c r="L4" s="10" t="s">
        <v>37</v>
      </c>
      <c r="M4" s="10" t="s">
        <v>53</v>
      </c>
      <c r="N4" s="12" t="s">
        <v>54</v>
      </c>
      <c r="O4" s="13"/>
      <c r="P4" s="10"/>
      <c r="Q4" s="10"/>
      <c r="R4" s="10"/>
      <c r="S4" s="12"/>
      <c r="T4" s="11"/>
      <c r="U4" s="10"/>
      <c r="V4" s="17" t="s">
        <v>55</v>
      </c>
      <c r="W4" s="10"/>
      <c r="X4" s="10"/>
      <c r="Y4" s="10"/>
      <c r="Z4" s="14" t="n">
        <f aca="false">AB4+Y$2</f>
        <v>28</v>
      </c>
      <c r="AA4" s="14" t="n">
        <f aca="false">Z4+X$2</f>
        <v>26.9</v>
      </c>
      <c r="AB4" s="14" t="n">
        <f aca="false">U$2+V$2*(F4-1)</f>
        <v>34</v>
      </c>
      <c r="AC4" s="14" t="n">
        <f aca="false">AE4+Y$2</f>
        <v>57.4</v>
      </c>
      <c r="AD4" s="14" t="n">
        <f aca="false">AC4+X$2</f>
        <v>56.3</v>
      </c>
      <c r="AE4" s="14" t="n">
        <f aca="false">U$2+V$2*(K4-1)+W$2</f>
        <v>63.4</v>
      </c>
      <c r="AF4" s="14" t="n">
        <f aca="false">AH4+Y$2</f>
        <v>29.6</v>
      </c>
      <c r="AG4" s="14" t="n">
        <f aca="false">AF4+X$2</f>
        <v>28.5</v>
      </c>
      <c r="AH4" s="15" t="n">
        <f aca="false">U$2+V$2*(P4-1)+2*W$2</f>
        <v>35.6</v>
      </c>
    </row>
    <row r="5" customFormat="false" ht="44.15" hidden="false" customHeight="false" outlineLevel="0" collapsed="false">
      <c r="B5" s="9" t="s">
        <v>56</v>
      </c>
      <c r="C5" s="10" t="s">
        <v>43</v>
      </c>
      <c r="D5" s="10" t="s">
        <v>57</v>
      </c>
      <c r="E5" s="11"/>
      <c r="F5" s="10" t="n">
        <v>1</v>
      </c>
      <c r="G5" s="10" t="s">
        <v>37</v>
      </c>
      <c r="H5" s="10" t="s">
        <v>58</v>
      </c>
      <c r="I5" s="12" t="s">
        <v>59</v>
      </c>
      <c r="J5" s="11"/>
      <c r="K5" s="10" t="n">
        <v>6</v>
      </c>
      <c r="L5" s="10" t="s">
        <v>37</v>
      </c>
      <c r="M5" s="10" t="s">
        <v>60</v>
      </c>
      <c r="N5" s="12" t="s">
        <v>61</v>
      </c>
      <c r="O5" s="13"/>
      <c r="P5" s="10"/>
      <c r="Q5" s="10"/>
      <c r="R5" s="10"/>
      <c r="S5" s="12"/>
      <c r="T5" s="11"/>
      <c r="U5" s="10"/>
      <c r="V5" s="18" t="s">
        <v>62</v>
      </c>
      <c r="W5" s="10"/>
      <c r="X5" s="10"/>
      <c r="Y5" s="10"/>
      <c r="Z5" s="14" t="n">
        <f aca="false">AB5+Y$2</f>
        <v>28</v>
      </c>
      <c r="AA5" s="14" t="n">
        <f aca="false">Z5+X$2</f>
        <v>26.9</v>
      </c>
      <c r="AB5" s="14" t="n">
        <f aca="false">U$2+V$2*(F5-1)</f>
        <v>34</v>
      </c>
      <c r="AC5" s="14" t="n">
        <f aca="false">AE5+Y$2</f>
        <v>53</v>
      </c>
      <c r="AD5" s="14" t="n">
        <f aca="false">AC5+X$2</f>
        <v>51.9</v>
      </c>
      <c r="AE5" s="14" t="n">
        <f aca="false">U$2+V$2*(K5-1)+W$2</f>
        <v>59</v>
      </c>
      <c r="AF5" s="14" t="n">
        <f aca="false">AH5+Y$2</f>
        <v>29.6</v>
      </c>
      <c r="AG5" s="14" t="n">
        <f aca="false">AF5+X$2</f>
        <v>28.5</v>
      </c>
      <c r="AH5" s="15" t="n">
        <f aca="false">U$2+V$2*(P5-1)+2*W$2</f>
        <v>35.6</v>
      </c>
    </row>
    <row r="6" customFormat="false" ht="44.15" hidden="false" customHeight="false" outlineLevel="0" collapsed="false">
      <c r="B6" s="9" t="s">
        <v>63</v>
      </c>
      <c r="C6" s="10" t="s">
        <v>43</v>
      </c>
      <c r="D6" s="10" t="s">
        <v>64</v>
      </c>
      <c r="E6" s="11"/>
      <c r="F6" s="10" t="n">
        <v>1</v>
      </c>
      <c r="G6" s="10" t="s">
        <v>37</v>
      </c>
      <c r="H6" s="10" t="s">
        <v>65</v>
      </c>
      <c r="I6" s="12" t="s">
        <v>66</v>
      </c>
      <c r="J6" s="11"/>
      <c r="K6" s="10"/>
      <c r="L6" s="10"/>
      <c r="M6" s="10"/>
      <c r="N6" s="12"/>
      <c r="O6" s="13"/>
      <c r="P6" s="10"/>
      <c r="Q6" s="10"/>
      <c r="R6" s="10"/>
      <c r="S6" s="12"/>
      <c r="T6" s="11"/>
      <c r="U6" s="10"/>
      <c r="V6" s="19" t="s">
        <v>67</v>
      </c>
      <c r="W6" s="10"/>
      <c r="X6" s="10"/>
      <c r="Y6" s="10"/>
      <c r="Z6" s="14" t="n">
        <f aca="false">AB6+Y$2</f>
        <v>28</v>
      </c>
      <c r="AA6" s="14" t="n">
        <f aca="false">Z6+X$2</f>
        <v>26.9</v>
      </c>
      <c r="AB6" s="14" t="n">
        <f aca="false">U$2+V$2*(F6-1)</f>
        <v>34</v>
      </c>
      <c r="AC6" s="14" t="n">
        <f aca="false">AE6+Y$2</f>
        <v>26.6</v>
      </c>
      <c r="AD6" s="14" t="n">
        <f aca="false">AC6+X$2</f>
        <v>25.5</v>
      </c>
      <c r="AE6" s="14" t="n">
        <f aca="false">U$2+V$2*(K6-1)+W$2</f>
        <v>32.6</v>
      </c>
      <c r="AF6" s="14" t="n">
        <f aca="false">AH6+Y$2</f>
        <v>29.6</v>
      </c>
      <c r="AG6" s="14" t="n">
        <f aca="false">AF6+X$2</f>
        <v>28.5</v>
      </c>
      <c r="AH6" s="15" t="n">
        <f aca="false">U$2+V$2*(P6-1)+2*W$2</f>
        <v>35.6</v>
      </c>
    </row>
    <row r="7" customFormat="false" ht="22.75" hidden="false" customHeight="false" outlineLevel="0" collapsed="false">
      <c r="B7" s="9" t="s">
        <v>68</v>
      </c>
      <c r="C7" s="10" t="s">
        <v>43</v>
      </c>
      <c r="D7" s="10" t="s">
        <v>69</v>
      </c>
      <c r="E7" s="11"/>
      <c r="F7" s="10" t="n">
        <v>1</v>
      </c>
      <c r="G7" s="10" t="s">
        <v>37</v>
      </c>
      <c r="H7" s="10" t="s">
        <v>70</v>
      </c>
      <c r="I7" s="12" t="s">
        <v>71</v>
      </c>
      <c r="J7" s="11"/>
      <c r="K7" s="10"/>
      <c r="L7" s="10"/>
      <c r="M7" s="10"/>
      <c r="N7" s="12"/>
      <c r="O7" s="13"/>
      <c r="P7" s="10"/>
      <c r="Q7" s="10"/>
      <c r="R7" s="10"/>
      <c r="S7" s="12"/>
      <c r="T7" s="11"/>
      <c r="U7" s="10"/>
      <c r="V7" s="10"/>
      <c r="W7" s="10"/>
      <c r="X7" s="10"/>
      <c r="Y7" s="10"/>
      <c r="Z7" s="14" t="n">
        <f aca="false">AB7+Y$2</f>
        <v>28</v>
      </c>
      <c r="AA7" s="14" t="n">
        <f aca="false">Z7+X$2</f>
        <v>26.9</v>
      </c>
      <c r="AB7" s="14" t="n">
        <f aca="false">U$2+V$2*(F7-1)</f>
        <v>34</v>
      </c>
      <c r="AC7" s="14" t="n">
        <f aca="false">AE7+Y$2</f>
        <v>26.6</v>
      </c>
      <c r="AD7" s="14" t="n">
        <f aca="false">AC7+X$2</f>
        <v>25.5</v>
      </c>
      <c r="AE7" s="14" t="n">
        <f aca="false">U$2+V$2*(K7-1)+W$2</f>
        <v>32.6</v>
      </c>
      <c r="AF7" s="14" t="n">
        <f aca="false">AH7+Y$2</f>
        <v>29.6</v>
      </c>
      <c r="AG7" s="14" t="n">
        <f aca="false">AF7+X$2</f>
        <v>28.5</v>
      </c>
      <c r="AH7" s="15" t="n">
        <f aca="false">U$2+V$2*(P7-1)+2*W$2</f>
        <v>35.6</v>
      </c>
    </row>
    <row r="8" customFormat="false" ht="22.75" hidden="false" customHeight="false" outlineLevel="0" collapsed="false">
      <c r="B8" s="9" t="s">
        <v>72</v>
      </c>
      <c r="C8" s="10" t="s">
        <v>73</v>
      </c>
      <c r="D8" s="10" t="s">
        <v>74</v>
      </c>
      <c r="E8" s="20"/>
      <c r="F8" s="10" t="n">
        <v>1</v>
      </c>
      <c r="G8" s="10" t="s">
        <v>37</v>
      </c>
      <c r="H8" s="16" t="s">
        <v>75</v>
      </c>
      <c r="I8" s="12" t="s">
        <v>76</v>
      </c>
      <c r="J8" s="20"/>
      <c r="K8" s="10" t="n">
        <v>4</v>
      </c>
      <c r="L8" s="10" t="s">
        <v>37</v>
      </c>
      <c r="M8" s="16" t="s">
        <v>77</v>
      </c>
      <c r="N8" s="12" t="s">
        <v>78</v>
      </c>
      <c r="O8" s="21"/>
      <c r="P8" s="10"/>
      <c r="Q8" s="10"/>
      <c r="R8" s="10"/>
      <c r="S8" s="12"/>
      <c r="T8" s="11"/>
      <c r="U8" s="10"/>
      <c r="V8" s="10"/>
      <c r="W8" s="10"/>
      <c r="X8" s="10"/>
      <c r="Y8" s="10"/>
      <c r="Z8" s="14" t="n">
        <f aca="false">AB8+Y$2</f>
        <v>28</v>
      </c>
      <c r="AA8" s="14" t="n">
        <f aca="false">Z8+X$2</f>
        <v>26.9</v>
      </c>
      <c r="AB8" s="14" t="n">
        <f aca="false">U$2+V$2*(F8-1)</f>
        <v>34</v>
      </c>
      <c r="AC8" s="14" t="n">
        <f aca="false">AE8+Y$2</f>
        <v>44.2</v>
      </c>
      <c r="AD8" s="14" t="n">
        <f aca="false">AC8+X$2</f>
        <v>43.1</v>
      </c>
      <c r="AE8" s="14" t="n">
        <f aca="false">U$2+V$2*(K8-1)+W$2</f>
        <v>50.2</v>
      </c>
      <c r="AF8" s="14" t="n">
        <f aca="false">AH8+Y$2</f>
        <v>29.6</v>
      </c>
      <c r="AG8" s="14" t="n">
        <f aca="false">AF8+X$2</f>
        <v>28.5</v>
      </c>
      <c r="AH8" s="15" t="n">
        <f aca="false">U$2+V$2*(P8-1)+2*W$2</f>
        <v>35.6</v>
      </c>
    </row>
    <row r="9" customFormat="false" ht="31.45" hidden="false" customHeight="false" outlineLevel="0" collapsed="false">
      <c r="B9" s="9" t="s">
        <v>79</v>
      </c>
      <c r="C9" s="10" t="s">
        <v>43</v>
      </c>
      <c r="D9" s="10" t="s">
        <v>80</v>
      </c>
      <c r="E9" s="11"/>
      <c r="F9" s="10" t="n">
        <v>1</v>
      </c>
      <c r="G9" s="10" t="s">
        <v>37</v>
      </c>
      <c r="H9" s="10" t="s">
        <v>81</v>
      </c>
      <c r="I9" s="12" t="s">
        <v>82</v>
      </c>
      <c r="J9" s="11"/>
      <c r="K9" s="10"/>
      <c r="L9" s="10"/>
      <c r="M9" s="10"/>
      <c r="N9" s="12"/>
      <c r="O9" s="13"/>
      <c r="P9" s="15"/>
      <c r="Q9" s="10"/>
      <c r="R9" s="10"/>
      <c r="S9" s="12"/>
      <c r="T9" s="11"/>
      <c r="U9" s="10"/>
      <c r="V9" s="10"/>
      <c r="W9" s="10"/>
      <c r="X9" s="10"/>
      <c r="Y9" s="10"/>
      <c r="Z9" s="14" t="n">
        <f aca="false">AB9+Y$2</f>
        <v>28</v>
      </c>
      <c r="AA9" s="14" t="n">
        <f aca="false">Z9+X$2</f>
        <v>26.9</v>
      </c>
      <c r="AB9" s="14" t="n">
        <f aca="false">U$2+V$2*(F9-1)</f>
        <v>34</v>
      </c>
      <c r="AC9" s="14" t="n">
        <f aca="false">AE9+Y$2</f>
        <v>26.6</v>
      </c>
      <c r="AD9" s="14" t="n">
        <f aca="false">AC9+X$2</f>
        <v>25.5</v>
      </c>
      <c r="AE9" s="14" t="n">
        <f aca="false">U$2+V$2*(K9-1)+W$2</f>
        <v>32.6</v>
      </c>
      <c r="AF9" s="14" t="n">
        <f aca="false">AH9+Y$2</f>
        <v>29.6</v>
      </c>
      <c r="AG9" s="14" t="n">
        <f aca="false">AF9+X$2</f>
        <v>28.5</v>
      </c>
      <c r="AH9" s="15" t="n">
        <f aca="false">U$2+V$2*(P9-1)+2*W$2</f>
        <v>35.6</v>
      </c>
    </row>
    <row r="10" customFormat="false" ht="22.75" hidden="false" customHeight="false" outlineLevel="0" collapsed="false">
      <c r="B10" s="9" t="s">
        <v>83</v>
      </c>
      <c r="C10" s="10" t="s">
        <v>43</v>
      </c>
      <c r="D10" s="10" t="s">
        <v>84</v>
      </c>
      <c r="E10" s="11"/>
      <c r="F10" s="10" t="n">
        <v>1</v>
      </c>
      <c r="G10" s="10" t="s">
        <v>37</v>
      </c>
      <c r="H10" s="16" t="s">
        <v>85</v>
      </c>
      <c r="I10" s="12" t="s">
        <v>86</v>
      </c>
      <c r="J10" s="11"/>
      <c r="K10" s="10" t="n">
        <v>4</v>
      </c>
      <c r="L10" s="10" t="s">
        <v>37</v>
      </c>
      <c r="M10" s="16" t="s">
        <v>87</v>
      </c>
      <c r="N10" s="12" t="s">
        <v>88</v>
      </c>
      <c r="O10" s="13"/>
      <c r="P10" s="10"/>
      <c r="Q10" s="10"/>
      <c r="R10" s="10"/>
      <c r="S10" s="12"/>
      <c r="T10" s="11"/>
      <c r="U10" s="10"/>
      <c r="V10" s="10"/>
      <c r="W10" s="10"/>
      <c r="X10" s="10"/>
      <c r="Y10" s="10"/>
      <c r="Z10" s="14" t="n">
        <f aca="false">AB10+Y$2</f>
        <v>28</v>
      </c>
      <c r="AA10" s="14" t="n">
        <f aca="false">Z10+X$2</f>
        <v>26.9</v>
      </c>
      <c r="AB10" s="14" t="n">
        <f aca="false">U$2+V$2*(F10-1)</f>
        <v>34</v>
      </c>
      <c r="AC10" s="14" t="n">
        <f aca="false">AE10+Y$2</f>
        <v>44.2</v>
      </c>
      <c r="AD10" s="14" t="n">
        <f aca="false">AC10+X$2</f>
        <v>43.1</v>
      </c>
      <c r="AE10" s="14" t="n">
        <f aca="false">U$2+V$2*(K10-1)+W$2</f>
        <v>50.2</v>
      </c>
      <c r="AF10" s="14" t="n">
        <f aca="false">AH10+Y$2</f>
        <v>29.6</v>
      </c>
      <c r="AG10" s="14" t="n">
        <f aca="false">AF10+X$2</f>
        <v>28.5</v>
      </c>
      <c r="AH10" s="15" t="n">
        <f aca="false">U$2+V$2*(P10-1)+2*W$2</f>
        <v>35.6</v>
      </c>
    </row>
    <row r="11" customFormat="false" ht="22.75" hidden="false" customHeight="false" outlineLevel="0" collapsed="false">
      <c r="B11" s="9" t="s">
        <v>89</v>
      </c>
      <c r="C11" s="10" t="s">
        <v>43</v>
      </c>
      <c r="D11" s="10" t="s">
        <v>90</v>
      </c>
      <c r="E11" s="11"/>
      <c r="F11" s="10" t="n">
        <v>1</v>
      </c>
      <c r="G11" s="10" t="s">
        <v>37</v>
      </c>
      <c r="H11" s="16" t="s">
        <v>91</v>
      </c>
      <c r="I11" s="12" t="s">
        <v>92</v>
      </c>
      <c r="J11" s="11"/>
      <c r="K11" s="10"/>
      <c r="L11" s="15"/>
      <c r="M11" s="10"/>
      <c r="N11" s="12"/>
      <c r="O11" s="13"/>
      <c r="P11" s="10"/>
      <c r="Q11" s="10"/>
      <c r="R11" s="10"/>
      <c r="S11" s="12"/>
      <c r="T11" s="11"/>
      <c r="U11" s="10"/>
      <c r="V11" s="10"/>
      <c r="W11" s="10"/>
      <c r="X11" s="10"/>
      <c r="Y11" s="10"/>
      <c r="Z11" s="14" t="n">
        <f aca="false">AB11+Y$2</f>
        <v>28</v>
      </c>
      <c r="AA11" s="14" t="n">
        <f aca="false">Z11+X$2</f>
        <v>26.9</v>
      </c>
      <c r="AB11" s="14" t="n">
        <f aca="false">U$2+V$2*(F11-1)</f>
        <v>34</v>
      </c>
      <c r="AC11" s="14" t="n">
        <f aca="false">AE11+Y$2</f>
        <v>26.6</v>
      </c>
      <c r="AD11" s="14" t="n">
        <f aca="false">AC11+X$2</f>
        <v>25.5</v>
      </c>
      <c r="AE11" s="14" t="n">
        <f aca="false">U$2+V$2*(K11-1)+W$2</f>
        <v>32.6</v>
      </c>
      <c r="AF11" s="14" t="n">
        <f aca="false">AH11+Y$2</f>
        <v>29.6</v>
      </c>
      <c r="AG11" s="14" t="n">
        <f aca="false">AF11+X$2</f>
        <v>28.5</v>
      </c>
      <c r="AH11" s="15" t="n">
        <f aca="false">U$2+V$2*(P11-1)+2*W$2</f>
        <v>35.6</v>
      </c>
    </row>
    <row r="12" customFormat="false" ht="22.75" hidden="false" customHeight="false" outlineLevel="0" collapsed="false">
      <c r="B12" s="9" t="s">
        <v>93</v>
      </c>
      <c r="C12" s="10" t="s">
        <v>43</v>
      </c>
      <c r="D12" s="10" t="s">
        <v>94</v>
      </c>
      <c r="E12" s="11"/>
      <c r="F12" s="10" t="n">
        <v>1</v>
      </c>
      <c r="G12" s="10" t="s">
        <v>37</v>
      </c>
      <c r="H12" s="16" t="s">
        <v>95</v>
      </c>
      <c r="I12" s="12" t="s">
        <v>96</v>
      </c>
      <c r="J12" s="11"/>
      <c r="K12" s="10"/>
      <c r="L12" s="10"/>
      <c r="M12" s="10"/>
      <c r="N12" s="12"/>
      <c r="O12" s="13"/>
      <c r="P12" s="10"/>
      <c r="Q12" s="10"/>
      <c r="R12" s="10"/>
      <c r="S12" s="12"/>
      <c r="T12" s="11"/>
      <c r="U12" s="10"/>
      <c r="V12" s="10"/>
      <c r="W12" s="10"/>
      <c r="X12" s="10"/>
      <c r="Y12" s="10"/>
      <c r="Z12" s="14" t="n">
        <f aca="false">AB12+Y$2</f>
        <v>28</v>
      </c>
      <c r="AA12" s="14" t="n">
        <f aca="false">Z12+X$2</f>
        <v>26.9</v>
      </c>
      <c r="AB12" s="14" t="n">
        <f aca="false">U$2+V$2*(F12-1)</f>
        <v>34</v>
      </c>
      <c r="AC12" s="14" t="n">
        <f aca="false">AE12+Y$2</f>
        <v>26.6</v>
      </c>
      <c r="AD12" s="14" t="n">
        <f aca="false">AC12+X$2</f>
        <v>25.5</v>
      </c>
      <c r="AE12" s="14" t="n">
        <f aca="false">U$2+V$2*(K12-1)+W$2</f>
        <v>32.6</v>
      </c>
      <c r="AF12" s="14" t="n">
        <f aca="false">AH12+Y$2</f>
        <v>29.6</v>
      </c>
      <c r="AG12" s="14" t="n">
        <f aca="false">AF12+X$2</f>
        <v>28.5</v>
      </c>
      <c r="AH12" s="15" t="n">
        <f aca="false">U$2+V$2*(P12-1)+2*W$2</f>
        <v>35.6</v>
      </c>
    </row>
    <row r="13" customFormat="false" ht="31.45" hidden="false" customHeight="false" outlineLevel="0" collapsed="false">
      <c r="B13" s="9" t="s">
        <v>97</v>
      </c>
      <c r="C13" s="10" t="s">
        <v>43</v>
      </c>
      <c r="D13" s="10" t="s">
        <v>98</v>
      </c>
      <c r="E13" s="11"/>
      <c r="F13" s="10" t="n">
        <v>1</v>
      </c>
      <c r="G13" s="10" t="s">
        <v>37</v>
      </c>
      <c r="H13" s="16" t="s">
        <v>99</v>
      </c>
      <c r="I13" s="22" t="s">
        <v>100</v>
      </c>
      <c r="J13" s="11"/>
      <c r="K13" s="10"/>
      <c r="L13" s="10"/>
      <c r="M13" s="10"/>
      <c r="N13" s="12"/>
      <c r="O13" s="13"/>
      <c r="P13" s="10"/>
      <c r="Q13" s="10"/>
      <c r="R13" s="10"/>
      <c r="S13" s="12"/>
      <c r="T13" s="11"/>
      <c r="U13" s="10"/>
      <c r="V13" s="10"/>
      <c r="W13" s="10"/>
      <c r="X13" s="10"/>
      <c r="Y13" s="10"/>
      <c r="Z13" s="14" t="n">
        <f aca="false">AB13+Y$2</f>
        <v>28</v>
      </c>
      <c r="AA13" s="14" t="n">
        <f aca="false">Z13+X$2</f>
        <v>26.9</v>
      </c>
      <c r="AB13" s="14" t="n">
        <f aca="false">U$2+V$2*(F13-1)</f>
        <v>34</v>
      </c>
      <c r="AC13" s="14" t="n">
        <f aca="false">AE13+Y$2</f>
        <v>26.6</v>
      </c>
      <c r="AD13" s="14" t="n">
        <f aca="false">AC13+X$2</f>
        <v>25.5</v>
      </c>
      <c r="AE13" s="14" t="n">
        <f aca="false">U$2+V$2*(K13-1)+W$2</f>
        <v>32.6</v>
      </c>
      <c r="AF13" s="14" t="n">
        <f aca="false">AH13+Y$2</f>
        <v>29.6</v>
      </c>
      <c r="AG13" s="14" t="n">
        <f aca="false">AF13+X$2</f>
        <v>28.5</v>
      </c>
      <c r="AH13" s="15" t="n">
        <f aca="false">U$2+V$2*(P13-1)+2*W$2</f>
        <v>35.6</v>
      </c>
    </row>
    <row r="14" customFormat="false" ht="31.45" hidden="false" customHeight="false" outlineLevel="0" collapsed="false">
      <c r="B14" s="9" t="s">
        <v>101</v>
      </c>
      <c r="C14" s="10" t="s">
        <v>43</v>
      </c>
      <c r="D14" s="10" t="s">
        <v>102</v>
      </c>
      <c r="E14" s="11"/>
      <c r="F14" s="10" t="n">
        <v>1</v>
      </c>
      <c r="G14" s="10" t="s">
        <v>37</v>
      </c>
      <c r="H14" s="16" t="s">
        <v>103</v>
      </c>
      <c r="I14" s="12" t="s">
        <v>104</v>
      </c>
      <c r="J14" s="11"/>
      <c r="K14" s="10"/>
      <c r="L14" s="10"/>
      <c r="M14" s="10"/>
      <c r="N14" s="12"/>
      <c r="O14" s="13"/>
      <c r="P14" s="10"/>
      <c r="Q14" s="10"/>
      <c r="R14" s="10"/>
      <c r="S14" s="12"/>
      <c r="T14" s="11"/>
      <c r="U14" s="10"/>
      <c r="V14" s="10"/>
      <c r="W14" s="10"/>
      <c r="X14" s="10"/>
      <c r="Y14" s="10"/>
      <c r="Z14" s="14" t="n">
        <f aca="false">AB14+Y$2</f>
        <v>28</v>
      </c>
      <c r="AA14" s="14" t="n">
        <f aca="false">Z14+X$2</f>
        <v>26.9</v>
      </c>
      <c r="AB14" s="14" t="n">
        <f aca="false">U$2+V$2*(F14-1)</f>
        <v>34</v>
      </c>
      <c r="AC14" s="14" t="n">
        <f aca="false">AE14+Y$2</f>
        <v>26.6</v>
      </c>
      <c r="AD14" s="14" t="n">
        <f aca="false">AC14+X$2</f>
        <v>25.5</v>
      </c>
      <c r="AE14" s="14" t="n">
        <f aca="false">U$2+V$2*(K14-1)+W$2</f>
        <v>32.6</v>
      </c>
      <c r="AF14" s="14" t="n">
        <f aca="false">AH14+Y$2</f>
        <v>29.6</v>
      </c>
      <c r="AG14" s="14" t="n">
        <f aca="false">AF14+X$2</f>
        <v>28.5</v>
      </c>
      <c r="AH14" s="15" t="n">
        <f aca="false">U$2+V$2*(P14-1)+2*W$2</f>
        <v>35.6</v>
      </c>
    </row>
    <row r="15" customFormat="false" ht="22.75" hidden="false" customHeight="false" outlineLevel="0" collapsed="false">
      <c r="B15" s="9" t="s">
        <v>105</v>
      </c>
      <c r="C15" s="10" t="s">
        <v>43</v>
      </c>
      <c r="D15" s="10" t="s">
        <v>106</v>
      </c>
      <c r="E15" s="11"/>
      <c r="F15" s="10" t="n">
        <v>1</v>
      </c>
      <c r="G15" s="10" t="s">
        <v>37</v>
      </c>
      <c r="H15" s="16" t="s">
        <v>107</v>
      </c>
      <c r="I15" s="22" t="s">
        <v>108</v>
      </c>
      <c r="J15" s="11"/>
      <c r="K15" s="10"/>
      <c r="L15" s="10"/>
      <c r="M15" s="10"/>
      <c r="N15" s="12"/>
      <c r="O15" s="13"/>
      <c r="P15" s="10"/>
      <c r="Q15" s="10"/>
      <c r="R15" s="10"/>
      <c r="S15" s="12"/>
      <c r="T15" s="11"/>
      <c r="U15" s="10"/>
      <c r="V15" s="10"/>
      <c r="W15" s="10"/>
      <c r="X15" s="10"/>
      <c r="Y15" s="10"/>
      <c r="Z15" s="14" t="n">
        <f aca="false">AB15+Y$2</f>
        <v>28</v>
      </c>
      <c r="AA15" s="14" t="n">
        <f aca="false">Z15+X$2</f>
        <v>26.9</v>
      </c>
      <c r="AB15" s="14" t="n">
        <f aca="false">U$2+V$2*(F15-1)</f>
        <v>34</v>
      </c>
      <c r="AC15" s="14" t="n">
        <f aca="false">AE15+Y$2</f>
        <v>26.6</v>
      </c>
      <c r="AD15" s="14" t="n">
        <f aca="false">AC15+X$2</f>
        <v>25.5</v>
      </c>
      <c r="AE15" s="14" t="n">
        <f aca="false">U$2+V$2*(K15-1)+W$2</f>
        <v>32.6</v>
      </c>
      <c r="AF15" s="14" t="n">
        <f aca="false">AH15+Y$2</f>
        <v>29.6</v>
      </c>
      <c r="AG15" s="14" t="n">
        <f aca="false">AF15+X$2</f>
        <v>28.5</v>
      </c>
      <c r="AH15" s="15" t="n">
        <f aca="false">U$2+V$2*(P15-1)+2*W$2</f>
        <v>35.6</v>
      </c>
    </row>
    <row r="16" customFormat="false" ht="31.9" hidden="false" customHeight="false" outlineLevel="0" collapsed="false">
      <c r="B16" s="9" t="s">
        <v>109</v>
      </c>
      <c r="C16" s="10" t="s">
        <v>110</v>
      </c>
      <c r="D16" s="10" t="s">
        <v>111</v>
      </c>
      <c r="E16" s="11"/>
      <c r="F16" s="10" t="n">
        <v>1</v>
      </c>
      <c r="G16" s="10" t="s">
        <v>37</v>
      </c>
      <c r="H16" s="16" t="s">
        <v>112</v>
      </c>
      <c r="I16" s="22" t="s">
        <v>113</v>
      </c>
      <c r="J16" s="11"/>
      <c r="K16" s="10" t="n">
        <v>6</v>
      </c>
      <c r="L16" s="10" t="s">
        <v>37</v>
      </c>
      <c r="M16" s="10" t="s">
        <v>114</v>
      </c>
      <c r="N16" s="12" t="s">
        <v>115</v>
      </c>
      <c r="O16" s="13"/>
      <c r="P16" s="10"/>
      <c r="Q16" s="10"/>
      <c r="R16" s="10"/>
      <c r="S16" s="12"/>
      <c r="T16" s="11"/>
      <c r="U16" s="10"/>
      <c r="V16" s="10"/>
      <c r="W16" s="10"/>
      <c r="X16" s="10"/>
      <c r="Y16" s="10"/>
      <c r="Z16" s="14" t="n">
        <f aca="false">AB16+Y$2</f>
        <v>28</v>
      </c>
      <c r="AA16" s="14" t="n">
        <f aca="false">Z16+X$2</f>
        <v>26.9</v>
      </c>
      <c r="AB16" s="14" t="n">
        <f aca="false">U$2+V$2*(F16-1)</f>
        <v>34</v>
      </c>
      <c r="AC16" s="14" t="n">
        <f aca="false">AE16+Y$2</f>
        <v>53</v>
      </c>
      <c r="AD16" s="14" t="n">
        <f aca="false">AC16+X$2</f>
        <v>51.9</v>
      </c>
      <c r="AE16" s="14" t="n">
        <f aca="false">U$2+V$2*(K16-1)+W$2</f>
        <v>59</v>
      </c>
      <c r="AF16" s="14" t="n">
        <f aca="false">AH16+Y$2</f>
        <v>29.6</v>
      </c>
      <c r="AG16" s="14" t="n">
        <f aca="false">AF16+X$2</f>
        <v>28.5</v>
      </c>
      <c r="AH16" s="15" t="n">
        <f aca="false">U$2+V$2*(P16-1)+2*W$2</f>
        <v>35.6</v>
      </c>
    </row>
    <row r="17" customFormat="false" ht="22.75" hidden="false" customHeight="false" outlineLevel="0" collapsed="false">
      <c r="B17" s="9" t="s">
        <v>116</v>
      </c>
      <c r="C17" s="10" t="s">
        <v>43</v>
      </c>
      <c r="D17" s="10" t="s">
        <v>117</v>
      </c>
      <c r="E17" s="11"/>
      <c r="F17" s="10" t="n">
        <v>1</v>
      </c>
      <c r="G17" s="10" t="s">
        <v>37</v>
      </c>
      <c r="H17" s="16" t="s">
        <v>118</v>
      </c>
      <c r="I17" s="22" t="s">
        <v>119</v>
      </c>
      <c r="J17" s="11"/>
      <c r="K17" s="10"/>
      <c r="L17" s="10"/>
      <c r="M17" s="10"/>
      <c r="N17" s="12"/>
      <c r="O17" s="13"/>
      <c r="P17" s="10"/>
      <c r="Q17" s="10"/>
      <c r="R17" s="10"/>
      <c r="S17" s="12"/>
      <c r="T17" s="11"/>
      <c r="U17" s="10"/>
      <c r="V17" s="10"/>
      <c r="W17" s="10"/>
      <c r="X17" s="10"/>
      <c r="Y17" s="10"/>
      <c r="Z17" s="14" t="n">
        <f aca="false">AB17+Y$2</f>
        <v>28</v>
      </c>
      <c r="AA17" s="14" t="n">
        <f aca="false">Z17+X$2</f>
        <v>26.9</v>
      </c>
      <c r="AB17" s="14" t="n">
        <f aca="false">U$2+V$2*(F17-1)</f>
        <v>34</v>
      </c>
      <c r="AC17" s="14" t="n">
        <f aca="false">AE17+Y$2</f>
        <v>26.6</v>
      </c>
      <c r="AD17" s="14" t="n">
        <f aca="false">AC17+X$2</f>
        <v>25.5</v>
      </c>
      <c r="AE17" s="14" t="n">
        <f aca="false">U$2+V$2*(K17-1)+W$2</f>
        <v>32.6</v>
      </c>
      <c r="AF17" s="14" t="n">
        <f aca="false">AH17+Y$2</f>
        <v>29.6</v>
      </c>
      <c r="AG17" s="14" t="n">
        <f aca="false">AF17+X$2</f>
        <v>28.5</v>
      </c>
      <c r="AH17" s="15" t="n">
        <f aca="false">U$2+V$2*(P17-1)+2*W$2</f>
        <v>35.6</v>
      </c>
    </row>
    <row r="18" customFormat="false" ht="22.75" hidden="false" customHeight="false" outlineLevel="0" collapsed="false">
      <c r="B18" s="9" t="s">
        <v>120</v>
      </c>
      <c r="C18" s="10" t="s">
        <v>43</v>
      </c>
      <c r="D18" s="10" t="s">
        <v>121</v>
      </c>
      <c r="E18" s="11"/>
      <c r="F18" s="10" t="n">
        <v>1</v>
      </c>
      <c r="G18" s="10" t="s">
        <v>37</v>
      </c>
      <c r="H18" s="16" t="s">
        <v>122</v>
      </c>
      <c r="I18" s="22" t="s">
        <v>123</v>
      </c>
      <c r="J18" s="11"/>
      <c r="K18" s="10" t="n">
        <v>4</v>
      </c>
      <c r="L18" s="10" t="s">
        <v>37</v>
      </c>
      <c r="M18" s="10" t="s">
        <v>124</v>
      </c>
      <c r="N18" s="12" t="s">
        <v>125</v>
      </c>
      <c r="O18" s="13"/>
      <c r="P18" s="10"/>
      <c r="Q18" s="10"/>
      <c r="R18" s="10"/>
      <c r="S18" s="12"/>
      <c r="T18" s="11"/>
      <c r="U18" s="10"/>
      <c r="V18" s="10"/>
      <c r="W18" s="10"/>
      <c r="X18" s="10"/>
      <c r="Y18" s="10"/>
      <c r="Z18" s="14" t="n">
        <f aca="false">AB18+Y$2</f>
        <v>28</v>
      </c>
      <c r="AA18" s="14" t="n">
        <f aca="false">Z18+X$2</f>
        <v>26.9</v>
      </c>
      <c r="AB18" s="14" t="n">
        <f aca="false">U$2+V$2*(F18-1)</f>
        <v>34</v>
      </c>
      <c r="AC18" s="14" t="n">
        <f aca="false">AE18+Y$2</f>
        <v>44.2</v>
      </c>
      <c r="AD18" s="14" t="n">
        <f aca="false">AC18+X$2</f>
        <v>43.1</v>
      </c>
      <c r="AE18" s="14" t="n">
        <f aca="false">U$2+V$2*(K18-1)+W$2</f>
        <v>50.2</v>
      </c>
      <c r="AF18" s="14" t="n">
        <f aca="false">AH18+Y$2</f>
        <v>29.6</v>
      </c>
      <c r="AG18" s="14" t="n">
        <f aca="false">AF18+X$2</f>
        <v>28.5</v>
      </c>
      <c r="AH18" s="15" t="n">
        <f aca="false">U$2+V$2*(P18-1)+2*W$2</f>
        <v>35.6</v>
      </c>
    </row>
    <row r="19" customFormat="false" ht="31.45" hidden="false" customHeight="false" outlineLevel="0" collapsed="false">
      <c r="B19" s="9" t="s">
        <v>126</v>
      </c>
      <c r="C19" s="10" t="s">
        <v>43</v>
      </c>
      <c r="D19" s="10" t="s">
        <v>127</v>
      </c>
      <c r="E19" s="11"/>
      <c r="F19" s="10" t="n">
        <v>1</v>
      </c>
      <c r="G19" s="10" t="s">
        <v>37</v>
      </c>
      <c r="H19" s="16" t="s">
        <v>128</v>
      </c>
      <c r="I19" s="22" t="s">
        <v>129</v>
      </c>
      <c r="J19" s="11"/>
      <c r="K19" s="10" t="n">
        <v>5</v>
      </c>
      <c r="L19" s="10" t="s">
        <v>37</v>
      </c>
      <c r="M19" s="10" t="s">
        <v>130</v>
      </c>
      <c r="N19" s="12" t="s">
        <v>131</v>
      </c>
      <c r="O19" s="13"/>
      <c r="P19" s="10"/>
      <c r="Q19" s="10"/>
      <c r="R19" s="10"/>
      <c r="S19" s="12"/>
      <c r="T19" s="11"/>
      <c r="U19" s="10"/>
      <c r="V19" s="10"/>
      <c r="W19" s="10"/>
      <c r="X19" s="10"/>
      <c r="Y19" s="10"/>
      <c r="Z19" s="14" t="n">
        <f aca="false">AB19+Y$2</f>
        <v>28</v>
      </c>
      <c r="AA19" s="14" t="n">
        <f aca="false">Z19+X$2</f>
        <v>26.9</v>
      </c>
      <c r="AB19" s="14" t="n">
        <f aca="false">U$2+V$2*(F19-1)</f>
        <v>34</v>
      </c>
      <c r="AC19" s="14" t="n">
        <f aca="false">AE19+Y$2</f>
        <v>48.6</v>
      </c>
      <c r="AD19" s="14" t="n">
        <f aca="false">AC19+X$2</f>
        <v>47.5</v>
      </c>
      <c r="AE19" s="14" t="n">
        <f aca="false">U$2+V$2*(K19-1)+W$2</f>
        <v>54.6</v>
      </c>
      <c r="AF19" s="14" t="n">
        <f aca="false">AH19+Y$2</f>
        <v>29.6</v>
      </c>
      <c r="AG19" s="14" t="n">
        <f aca="false">AF19+X$2</f>
        <v>28.5</v>
      </c>
      <c r="AH19" s="15" t="n">
        <f aca="false">U$2+V$2*(P19-1)+2*W$2</f>
        <v>35.6</v>
      </c>
    </row>
    <row r="20" customFormat="false" ht="31.45" hidden="false" customHeight="false" outlineLevel="0" collapsed="false">
      <c r="B20" s="9" t="s">
        <v>132</v>
      </c>
      <c r="C20" s="10" t="s">
        <v>133</v>
      </c>
      <c r="D20" s="10" t="s">
        <v>134</v>
      </c>
      <c r="E20" s="11"/>
      <c r="F20" s="10" t="n">
        <v>1</v>
      </c>
      <c r="G20" s="10" t="s">
        <v>37</v>
      </c>
      <c r="H20" s="16" t="s">
        <v>135</v>
      </c>
      <c r="I20" s="22" t="s">
        <v>136</v>
      </c>
      <c r="J20" s="11"/>
      <c r="K20" s="10" t="n">
        <v>6</v>
      </c>
      <c r="L20" s="10" t="s">
        <v>37</v>
      </c>
      <c r="M20" s="16" t="s">
        <v>137</v>
      </c>
      <c r="N20" s="12" t="s">
        <v>138</v>
      </c>
      <c r="O20" s="13"/>
      <c r="P20" s="10"/>
      <c r="Q20" s="10"/>
      <c r="R20" s="10"/>
      <c r="S20" s="12"/>
      <c r="T20" s="11"/>
      <c r="U20" s="10"/>
      <c r="V20" s="10"/>
      <c r="W20" s="10"/>
      <c r="X20" s="10"/>
      <c r="Y20" s="10"/>
      <c r="Z20" s="14" t="n">
        <f aca="false">AB20+Y$2</f>
        <v>28</v>
      </c>
      <c r="AA20" s="14" t="n">
        <f aca="false">Z20+X$2</f>
        <v>26.9</v>
      </c>
      <c r="AB20" s="14" t="n">
        <f aca="false">U$2+V$2*(F20-1)</f>
        <v>34</v>
      </c>
      <c r="AC20" s="14" t="n">
        <f aca="false">AE20+Y$2</f>
        <v>53</v>
      </c>
      <c r="AD20" s="14" t="n">
        <f aca="false">AC20+X$2</f>
        <v>51.9</v>
      </c>
      <c r="AE20" s="14" t="n">
        <f aca="false">U$2+V$2*(K20-1)+W$2</f>
        <v>59</v>
      </c>
      <c r="AF20" s="14" t="n">
        <f aca="false">AH20+Y$2</f>
        <v>29.6</v>
      </c>
      <c r="AG20" s="14" t="n">
        <f aca="false">AF20+X$2</f>
        <v>28.5</v>
      </c>
      <c r="AH20" s="15" t="n">
        <f aca="false">U$2+V$2*(P20-1)+2*W$2</f>
        <v>35.6</v>
      </c>
    </row>
    <row r="21" customFormat="false" ht="22.75" hidden="false" customHeight="false" outlineLevel="0" collapsed="false">
      <c r="B21" s="9" t="s">
        <v>139</v>
      </c>
      <c r="C21" s="10" t="s">
        <v>133</v>
      </c>
      <c r="D21" s="10" t="s">
        <v>140</v>
      </c>
      <c r="E21" s="11"/>
      <c r="F21" s="10" t="n">
        <v>1</v>
      </c>
      <c r="G21" s="10" t="s">
        <v>37</v>
      </c>
      <c r="H21" s="16" t="s">
        <v>141</v>
      </c>
      <c r="I21" s="22" t="s">
        <v>142</v>
      </c>
      <c r="J21" s="11"/>
      <c r="K21" s="10" t="n">
        <v>1</v>
      </c>
      <c r="L21" s="10" t="s">
        <v>37</v>
      </c>
      <c r="M21" s="16" t="s">
        <v>99</v>
      </c>
      <c r="N21" s="22" t="s">
        <v>143</v>
      </c>
      <c r="O21" s="13"/>
      <c r="P21" s="10"/>
      <c r="Q21" s="10"/>
      <c r="R21" s="10"/>
      <c r="S21" s="12"/>
      <c r="T21" s="11"/>
      <c r="U21" s="10"/>
      <c r="V21" s="10"/>
      <c r="W21" s="10"/>
      <c r="X21" s="10"/>
      <c r="Y21" s="10"/>
      <c r="Z21" s="14" t="n">
        <f aca="false">AB21+Y$2</f>
        <v>28</v>
      </c>
      <c r="AA21" s="14" t="n">
        <f aca="false">Z21+X$2</f>
        <v>26.9</v>
      </c>
      <c r="AB21" s="14" t="n">
        <f aca="false">U$2+V$2*(F21-1)</f>
        <v>34</v>
      </c>
      <c r="AC21" s="14" t="n">
        <f aca="false">AE21+Y$2</f>
        <v>31</v>
      </c>
      <c r="AD21" s="14" t="n">
        <f aca="false">AC21+X$2</f>
        <v>29.9</v>
      </c>
      <c r="AE21" s="14" t="n">
        <f aca="false">U$2+V$2*(K21-1)+W$2</f>
        <v>37</v>
      </c>
      <c r="AF21" s="14" t="n">
        <f aca="false">AH21+Y$2</f>
        <v>29.6</v>
      </c>
      <c r="AG21" s="14" t="n">
        <f aca="false">AF21+X$2</f>
        <v>28.5</v>
      </c>
      <c r="AH21" s="15" t="n">
        <f aca="false">U$2+V$2*(P21-1)+2*W$2</f>
        <v>35.6</v>
      </c>
    </row>
    <row r="22" customFormat="false" ht="52.4" hidden="false" customHeight="false" outlineLevel="0" collapsed="false">
      <c r="B22" s="9" t="s">
        <v>144</v>
      </c>
      <c r="C22" s="10" t="s">
        <v>133</v>
      </c>
      <c r="D22" s="10" t="s">
        <v>145</v>
      </c>
      <c r="E22" s="11"/>
      <c r="F22" s="10" t="n">
        <v>1</v>
      </c>
      <c r="G22" s="10" t="s">
        <v>37</v>
      </c>
      <c r="H22" s="10" t="s">
        <v>146</v>
      </c>
      <c r="I22" s="12" t="s">
        <v>147</v>
      </c>
      <c r="J22" s="11"/>
      <c r="K22" s="10"/>
      <c r="L22" s="10"/>
      <c r="M22" s="10" t="s">
        <v>148</v>
      </c>
      <c r="N22" s="12" t="s">
        <v>149</v>
      </c>
      <c r="O22" s="13"/>
      <c r="P22" s="10"/>
      <c r="Q22" s="10"/>
      <c r="R22" s="10"/>
      <c r="S22" s="12"/>
      <c r="T22" s="11"/>
      <c r="U22" s="10"/>
      <c r="V22" s="10"/>
      <c r="W22" s="10"/>
      <c r="X22" s="10"/>
      <c r="Y22" s="10"/>
      <c r="Z22" s="14" t="n">
        <f aca="false">AB22+Y$2</f>
        <v>28</v>
      </c>
      <c r="AA22" s="14" t="n">
        <f aca="false">Z22+X$2</f>
        <v>26.9</v>
      </c>
      <c r="AB22" s="14" t="n">
        <f aca="false">U$2+V$2*(F22-1)</f>
        <v>34</v>
      </c>
      <c r="AC22" s="14" t="n">
        <f aca="false">AE22+Y$2</f>
        <v>26.6</v>
      </c>
      <c r="AD22" s="14" t="n">
        <f aca="false">AC22+X$2</f>
        <v>25.5</v>
      </c>
      <c r="AE22" s="14" t="n">
        <f aca="false">U$2+V$2*(K22-1)+W$2</f>
        <v>32.6</v>
      </c>
      <c r="AF22" s="14" t="n">
        <f aca="false">AH22+Y$2</f>
        <v>29.6</v>
      </c>
      <c r="AG22" s="14" t="n">
        <f aca="false">AF22+X$2</f>
        <v>28.5</v>
      </c>
      <c r="AH22" s="15" t="n">
        <f aca="false">U$2+V$2*(P22-1)+2*W$2</f>
        <v>35.6</v>
      </c>
    </row>
  </sheetData>
  <autoFilter ref="A1:AH1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1107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2026-05-29T14:17:32Z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