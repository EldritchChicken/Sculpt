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Terrain token fuckery" sheetId="2" state="visible" r:id="rId4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<sst xmlns="http://schemas.openxmlformats.org/spreadsheetml/2006/main" count="141" uniqueCount="106">
  <si>
    <t xml:space="preserve">Name</t>
  </si>
  <si>
    <t xml:space="preserve">Type</t>
  </si>
  <si>
    <t xml:space="preserve">SmallTextTag</t>
  </si>
  <si>
    <t xml:space="preserve">TopRightText</t>
  </si>
  <si>
    <t xml:space="preserve">Effect 1</t>
  </si>
  <si>
    <t xml:space="preserve">Effect 2</t>
  </si>
  <si>
    <t xml:space="preserve">Effect 3</t>
  </si>
  <si>
    <t xml:space="preserve">Effect 4</t>
  </si>
  <si>
    <t xml:space="preserve">Flavour Text</t>
  </si>
  <si>
    <t xml:space="preserve">Body HTML</t>
  </si>
  <si>
    <t xml:space="preserve">Big text extra step</t>
  </si>
  <si>
    <t xml:space="preserve">Templates</t>
  </si>
  <si>
    <t xml:space="preserve">Walls</t>
  </si>
  <si>
    <t xml:space="preserve">Terrain – Bane</t>
  </si>
  <si>
    <t xml:space="preserve">LOSicon</t>
  </si>
  <si>
    <t xml:space="preserve">Shape = Up to 5 x Hex1a</t>
  </si>
  <si>
    <t xml:space="preserve">Walls cannot be climbed.</t>
  </si>
  <si>
    <t xml:space="preserve">&lt;p style="font-size:14px;"&gt;&lt;br&gt;</t>
  </si>
  <si>
    <t xml:space="preserve">Roots</t>
  </si>
  <si>
    <t xml:space="preserve">Shape = 3 x Hex1a</t>
  </si>
  <si>
    <t xml:space="preserve">Roots can be climbed for 1 AP or jazzT.</t>
  </si>
  <si>
    <t xml:space="preserve">Roots block line of sight, but do not block movement.</t>
  </si>
  <si>
    <t xml:space="preserve">Roots are flammable.</t>
  </si>
  <si>
    <t xml:space="preserve">&lt;p style="font-size:12px;"&gt;&lt;br&gt;</t>
  </si>
  <si>
    <t xml:space="preserve">Tunnel</t>
  </si>
  <si>
    <t xml:space="preserve">Shape = Up to 5 connected hexes, always 1 hex wide.</t>
  </si>
  <si>
    <t xml:space="preserve">The tunnel allows for normal movement.</t>
  </si>
  <si>
    <t xml:space="preserve">This can be placed through any solid structure, including map walls.</t>
  </si>
  <si>
    <t xml:space="preserve"> &lt;span style="color:#27ae60"&gt;&lt;strong&gt;Jazz&lt;/strong&gt;&lt;/span&gt;</t>
  </si>
  <si>
    <t xml:space="preserve">Fortified Gate</t>
  </si>
  <si>
    <t xml:space="preserve">Shape = 1 Gate hex, then up to 2 Wall hexes adjacent to the gate.&lt;br&gt;GateHex</t>
  </si>
  <si>
    <t xml:space="preserve">&lt;b&gt;Locked:&lt;/b&gt; The Gate can be opened using the Imbued status effect.</t>
  </si>
  <si>
    <t xml:space="preserve">Walls block movement and line of sight, and cannot be climbed.</t>
  </si>
  <si>
    <t xml:space="preserve">&lt;span style="color:#e74c3c"&gt;&lt;strong&gt;Flesh&lt;/strong&gt;&lt;/span&gt;</t>
  </si>
  <si>
    <t xml:space="preserve">Rubble</t>
  </si>
  <si>
    <t xml:space="preserve">Shape = Hex3</t>
  </si>
  <si>
    <t xml:space="preserve">Each rubble hex takes 2 hexes of movement to enter.</t>
  </si>
  <si>
    <t xml:space="preserve">&lt;span style="color:#3366cc"&gt;&lt;strong&gt;Weird&lt;/strong&gt;&lt;/span&gt;</t>
  </si>
  <si>
    <t xml:space="preserve">Giant Lichen</t>
  </si>
  <si>
    <t xml:space="preserve">Lichen blocks line of sight.</t>
  </si>
  <si>
    <t xml:space="preserve">Fire will burn all connected lichen hexes, dealing 2 Armour Piercing damage and inflicting the Burning status to anyone any being in the lichen.</t>
  </si>
  <si>
    <t xml:space="preserve">Burning lichen is destroyed at the end of the bosses turn.</t>
  </si>
  <si>
    <t xml:space="preserve">River</t>
  </si>
  <si>
    <t xml:space="preserve">Shape = A 2 hex wide river running from one wall to another, with a current direction, a source, and lethal waterfall at the end.&lt;br&gt;RiverHex</t>
  </si>
  <si>
    <t xml:space="preserve">Moving in the river costs double movement unless it is in the flow direction which costs half.</t>
  </si>
  <si>
    <t xml:space="preserve">If you end your turn in the river, move 5 hexes in the flow.</t>
  </si>
  <si>
    <t xml:space="preserve">Hot Coals</t>
  </si>
  <si>
    <t xml:space="preserve">Shape = 5 Connected hexes</t>
  </si>
  <si>
    <t xml:space="preserve">If a creature starts their turn on hot coals, they take 3 damage.</t>
  </si>
  <si>
    <t xml:space="preserve">Cliff</t>
  </si>
  <si>
    <t xml:space="preserve">Shape = A continuous line between two walls, with a high side and a low side.</t>
  </si>
  <si>
    <t xml:space="preserve">Beings may Climb for 3AP or jazzt .</t>
  </si>
  <si>
    <t xml:space="preserve">If a being falls of the cliff they take 8 damage.</t>
  </si>
  <si>
    <t xml:space="preserve">The cliff blocks line of sight for anyone on the low side except on the cliff edge.</t>
  </si>
  <si>
    <t xml:space="preserve">Whisky Barrel</t>
  </si>
  <si>
    <t xml:space="preserve">Shape = Hex1a</t>
  </si>
  <si>
    <t xml:space="preserve">&lt;b&gt;Drink:&lt;/b&gt; 1AP&lt;br&gt; Become monstrous.</t>
  </si>
  <si>
    <t xml:space="preserve">Fire will cause the barrel to explode, dealing 8 damage to everything in a 2 hex radius. &lt;br&gt; whiskey_Xplo</t>
  </si>
  <si>
    <t xml:space="preserve">Three Pillars</t>
  </si>
  <si>
    <t xml:space="preserve">Shape = Hex1b x 3</t>
  </si>
  <si>
    <t xml:space="preserve">Beings may Climb for 3AP or jazzt.</t>
  </si>
  <si>
    <t xml:space="preserve">If a being falls of a pillar they take 8 damage.</t>
  </si>
  <si>
    <t xml:space="preserve">Pillars block line of sight for anyone on the low side.</t>
  </si>
  <si>
    <t xml:space="preserve">Fixed Arbalest</t>
  </si>
  <si>
    <t xml:space="preserve">Terrain – Boon</t>
  </si>
  <si>
    <t xml:space="preserve">&lt;i&gt;Ranged Attack - &lt;/i&gt;&lt;b&gt;Fire!:&lt;/b&gt; 3AP&lt;br&gt;The arbalest must be loaded. &lt;br&gt;Damage = 8. &lt;br&gt;Hits everyone in a line.</t>
  </si>
  <si>
    <t xml:space="preserve">&lt;b&gt;Reload&lt;/b&gt; - 3AP + flesht flesht: &lt;Br&gt;Reload the arbalest.</t>
  </si>
  <si>
    <t xml:space="preserve">Starts loaded.</t>
  </si>
  <si>
    <t xml:space="preserve">Campfire</t>
  </si>
  <si>
    <t xml:space="preserve">Ending your turn next to the campfire restores all composure.</t>
  </si>
  <si>
    <t xml:space="preserve">If a being steps on the campfire they take 6 Armour Piercing damage and suffer the burning status.</t>
  </si>
  <si>
    <t xml:space="preserve">&lt;b&gt;Rest:&lt;/b&gt;  4AP&lt;br&gt;Gain the well rested status effect.</t>
  </si>
  <si>
    <t xml:space="preserve">Mud Pit</t>
  </si>
  <si>
    <t xml:space="preserve">Shape = Hex1b</t>
  </si>
  <si>
    <r>
      <rPr>
        <sz val="11"/>
        <color rgb="FF000000"/>
        <rFont val="Aptos Narrow"/>
        <family val="2"/>
      </rPr>
      <t xml:space="preserve">Spend 1AP or </t>
    </r>
    <r>
      <rPr>
        <sz val="11"/>
        <color theme="1"/>
        <rFont val="Aptos Narrow"/>
        <family val="2"/>
      </rPr>
      <t xml:space="preserve">fleshT to move through 1 hex.</t>
    </r>
  </si>
  <si>
    <r>
      <rPr>
        <sz val="11"/>
        <color rgb="FF000000"/>
        <rFont val="Aptos Narrow"/>
        <family val="2"/>
      </rPr>
      <t xml:space="preserve">&lt;b&gt;Rummage:&lt;/b&gt;</t>
    </r>
    <r>
      <rPr>
        <sz val="11"/>
        <color theme="1"/>
        <rFont val="Aptos Narrow"/>
        <family val="2"/>
      </rPr>
      <t xml:space="preserve"> 1AP + fleshT fleshT&lt;br&gt;Gain 1 limb or impression. This can only be done once.</t>
    </r>
  </si>
  <si>
    <t xml:space="preserve">Quartz Sphere</t>
  </si>
  <si>
    <r>
      <rPr>
        <sz val="11"/>
        <color rgb="FF000000"/>
        <rFont val="Aptos Narrow"/>
        <family val="2"/>
      </rPr>
      <t xml:space="preserve">&lt;b&gt;Ponder:&lt;/b&gt;</t>
    </r>
    <r>
      <rPr>
        <sz val="11"/>
        <color theme="1"/>
        <rFont val="Aptos Narrow"/>
        <family val="2"/>
      </rPr>
      <t xml:space="preserve"> 1AP + weirdT weirdT&lt;br&gt;Gain the portent status.</t>
    </r>
  </si>
  <si>
    <t xml:space="preserve">Portal</t>
  </si>
  <si>
    <t xml:space="preserve">Shape = Hex1a x 2</t>
  </si>
  <si>
    <r>
      <rPr>
        <sz val="11"/>
        <color rgb="FF000000"/>
        <rFont val="Aptos Narrow"/>
        <family val="2"/>
      </rPr>
      <t xml:space="preserve">&lt;b&gt;Jump:&lt;/b&gt;</t>
    </r>
    <r>
      <rPr>
        <sz val="11"/>
        <color theme="1"/>
        <rFont val="Aptos Narrow"/>
        <family val="2"/>
      </rPr>
      <t xml:space="preserve"> weirdT&lt;br&gt;Teleport to any unoccupied portal hex.</t>
    </r>
  </si>
  <si>
    <t xml:space="preserve">Sculpting wheel</t>
  </si>
  <si>
    <t xml:space="preserve">&lt;b&gt;Locked:&lt;/b&gt; This can be opened using the imbued status effect to look at 3 limbs or impressions and equip any number of them. Then destroy this</t>
  </si>
  <si>
    <t xml:space="preserve">Fountain of life</t>
  </si>
  <si>
    <t xml:space="preserve">&lt;b&gt;Drink:&lt;/b&gt; 3AP&lt;br&gt;Restore 2 wounds and empty the fountain. It cannot be used again.</t>
  </si>
  <si>
    <t xml:space="preserve">Weird Fossil</t>
  </si>
  <si>
    <t xml:space="preserve">Each hex may be &lt;br&gt;&lt;b&gt;Excavated:&lt;/b&gt; 3AP or weirdT + 1AP&lt;br&gt;Replenish a spent charge token on a card and destroy that hex.</t>
  </si>
  <si>
    <t xml:space="preserve">Stained Stalagmite</t>
  </si>
  <si>
    <r>
      <rPr>
        <sz val="11"/>
        <color rgb="FF000000"/>
        <rFont val="Aptos Narrow"/>
        <family val="2"/>
      </rPr>
      <t xml:space="preserve">&lt;b&gt;Sacrifice:&lt;/b&gt;</t>
    </r>
    <r>
      <rPr>
        <sz val="11"/>
        <color theme="1"/>
        <rFont val="Aptos Narrow"/>
        <family val="2"/>
      </rPr>
      <t xml:space="preserve"> 1AP + a wound to a stat of your choice&lt;br&gt;Draw an impression. You may equip it.</t>
    </r>
  </si>
  <si>
    <t xml:space="preserve">Pure Clay</t>
  </si>
  <si>
    <r>
      <rPr>
        <sz val="11"/>
        <color rgb="FF000000"/>
        <rFont val="Aptos Narrow"/>
        <family val="2"/>
      </rPr>
      <t xml:space="preserve">&lt;b&gt;Imbibe:&lt;/b&gt;</t>
    </r>
    <r>
      <rPr>
        <sz val="11"/>
        <color theme="1"/>
        <rFont val="Aptos Narrow"/>
        <family val="2"/>
      </rPr>
      <t xml:space="preserve"> 2AP + 1 weirdT&lt;br&gt;Destroy this and gain the Imbued status.</t>
    </r>
  </si>
  <si>
    <t xml:space="preserve">Cave Paintings</t>
  </si>
  <si>
    <t xml:space="preserve">Shape = 3 x Hex1a paintings that are at least 3 hexes apart from each other.&lt;br&gt;Cavepaint1</t>
  </si>
  <si>
    <r>
      <rPr>
        <sz val="11"/>
        <color rgb="FF000000"/>
        <rFont val="Aptos Narrow"/>
        <family val="2"/>
      </rPr>
      <t xml:space="preserve">&lt;b&gt;Study:&lt;/b&gt;</t>
    </r>
    <r>
      <rPr>
        <sz val="11"/>
        <color theme="1"/>
        <rFont val="Aptos Narrow"/>
        <family val="2"/>
      </rPr>
      <t xml:space="preserve"> 1AP&lt;br&gt;Permanently gain a +1 damage bonus against the boss .</t>
    </r>
  </si>
  <si>
    <t xml:space="preserve">Each player can only study each painting once.</t>
  </si>
  <si>
    <t xml:space="preserve">Jazzt</t>
  </si>
  <si>
    <t xml:space="preserve">, </t>
  </si>
  <si>
    <t xml:space="preserve">Cavepaint1</t>
  </si>
  <si>
    <t xml:space="preserve">Cavepaint2</t>
  </si>
  <si>
    <t xml:space="preserve">Gatehex</t>
  </si>
  <si>
    <t xml:space="preserve">Hex1a</t>
  </si>
  <si>
    <t xml:space="preserve">Hex1b</t>
  </si>
  <si>
    <t xml:space="preserve">Hex2</t>
  </si>
  <si>
    <t xml:space="preserve">Hex3</t>
  </si>
  <si>
    <t xml:space="preserve">HornsHex</t>
  </si>
  <si>
    <t xml:space="preserve">Whisky_Xplo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</si>
</sst>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FF6D6D"/>
        <bgColor rgb="FFFF6600"/>
      </patternFill>
    </fill>
    <fill>
      <patternFill patternType="solid">
        <fgColor theme="4" tint="0.7999"/>
        <bgColor rgb="FFCCFFFF"/>
      </patternFill>
    </fill>
    <fill>
      <patternFill patternType="solid">
        <fgColor rgb="FFAFD095"/>
        <bgColor rgb="FFC6E0B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4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729FC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FF6D6D"/>
          <bgColor rgb="FF000000"/>
        </patternFill>
      </fill>
    </dxf>
    <dxf>
      <fill>
        <patternFill patternType="solid">
          <fgColor rgb="FFC1E5F5"/>
          <bgColor rgb="FF000000"/>
        </patternFill>
      </fill>
    </dxf>
    <dxf>
      <font>
        <name val="Aptos Narrow"/>
        <family val="2"/>
        <color rgb="FF000000"/>
        <sz val="11"/>
      </font>
      <fill>
        <patternFill>
          <bgColor rgb="FFF6B0DD"/>
        </patternFill>
      </fill>
    </dxf>
    <dxf>
      <font>
        <name val="Aptos Narrow"/>
        <family val="2"/>
        <color rgb="FF000000"/>
        <sz val="11"/>
      </font>
      <fill>
        <patternFill>
          <bgColor rgb="FFFFE699"/>
        </patternFill>
      </fill>
    </dxf>
    <dxf>
      <font>
        <name val="Aptos Narrow"/>
        <family val="2"/>
        <color rgb="FF000000"/>
        <sz val="11"/>
      </font>
      <fill>
        <patternFill>
          <bgColor rgb="FFF8CBAD"/>
        </patternFill>
      </fill>
    </dxf>
    <dxf>
      <font>
        <name val="Aptos Narrow"/>
        <family val="2"/>
        <color rgb="FF000000"/>
        <sz val="11"/>
      </font>
      <fill>
        <patternFill>
          <bgColor rgb="FFC6E0B4"/>
        </patternFill>
      </fill>
    </dxf>
    <dxf>
      <font>
        <name val="Aptos Narrow"/>
        <family val="2"/>
        <color rgb="FF000000"/>
        <sz val="11"/>
      </font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729FCF"/>
      <rgbColor rgb="FF993366"/>
      <rgbColor rgb="FFFFFFCC"/>
      <rgbColor rgb="FFCCFFFF"/>
      <rgbColor rgb="FF660066"/>
      <rgbColor rgb="FFFF6D6D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AFD095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J39" headerRowCount="1" totalsRowCount="0" totalsRowShown="0">
  <autoFilter ref="A1:J39"/>
  <tableColumns count="10">
    <tableColumn id="1" name="Name"/>
    <tableColumn id="2" name="Type"/>
    <tableColumn id="3" name="SmallTextTag"/>
    <tableColumn id="4" name="TopRightText"/>
    <tableColumn id="5" name="Effect 1"/>
    <tableColumn id="6" name="Effect 2"/>
    <tableColumn id="7" name="Effect 3"/>
    <tableColumn id="8" name="Effect 4"/>
    <tableColumn id="9" name="Flavour Text"/>
    <tableColumn id="10" name="Body HTM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F19" activeCellId="0" sqref="F19"/>
    </sheetView>
  </sheetViews>
  <sheetFormatPr defaultColWidth="8.63671875" defaultRowHeight="15" customHeight="true" zeroHeight="false" outlineLevelRow="0" outlineLevelCol="0"/>
  <cols>
    <col collapsed="false" customWidth="true" hidden="false" outlineLevel="0" max="3" min="1" style="1" width="11"/>
    <col collapsed="false" customWidth="true" hidden="false" outlineLevel="0" max="4" min="4" style="1" width="25.7"/>
    <col collapsed="false" customWidth="true" hidden="false" outlineLevel="0" max="5" min="5" style="1" width="28.14"/>
    <col collapsed="false" customWidth="true" hidden="false" outlineLevel="0" max="6" min="6" style="1" width="25.42"/>
    <col collapsed="false" customWidth="true" hidden="false" outlineLevel="0" max="7" min="7" style="1" width="19.85"/>
    <col collapsed="false" customWidth="true" hidden="false" outlineLevel="0" max="8" min="8" style="1" width="11"/>
    <col collapsed="false" customWidth="true" hidden="false" outlineLevel="0" max="9" min="9" style="1" width="11.14"/>
    <col collapsed="false" customWidth="true" hidden="false" outlineLevel="0" max="10" min="10" style="2" width="54.72"/>
    <col collapsed="false" customWidth="true" hidden="false" outlineLevel="0" max="11" min="11" style="2" width="23.86"/>
  </cols>
  <sheetData>
    <row r="1" customFormat="false" ht="24.0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  <c r="K1" s="2" t="s">
        <v>10</v>
      </c>
      <c r="M1" s="0" t="s">
        <v>11</v>
      </c>
    </row>
    <row r="2" customFormat="false" ht="22.85" hidden="false" customHeight="false" outlineLevel="0" collapsed="false">
      <c r="A2" s="6" t="s">
        <v>12</v>
      </c>
      <c r="B2" s="7" t="s">
        <v>13</v>
      </c>
      <c r="C2" s="8"/>
      <c r="D2" s="6" t="s">
        <v>14</v>
      </c>
      <c r="E2" s="6" t="s">
        <v>15</v>
      </c>
      <c r="F2" s="6" t="s">
        <v>16</v>
      </c>
      <c r="G2" s="6"/>
      <c r="H2" s="6"/>
      <c r="I2" s="6"/>
      <c r="J2" s="9" t="str">
        <f aca="false">_xlfn.CONCAT($K$2,E2,IF(F2="","","&lt;Br&gt;lineBrk&lt;Br&gt;"),F2,IF(G2="","","&lt;Br&gt;lineBrk&lt;Br&gt;"),G2,IF(H2="","","&lt;Br&gt;lineBrk&lt;Br&gt;"),H2,)</f>
        <v>&lt;p style="font-size:14px;"&gt;&lt;br&gt;Shape = Up to 5 x Hex1a&lt;Br&gt;lineBrk&lt;Br&gt;Walls cannot be climbed.</v>
      </c>
      <c r="K2" s="2" t="str">
        <f aca="false">IF(C2="yes",$M$3,$M$2)</f>
        <v>&lt;p style="font-size:14px;"&gt;&lt;br&gt;</v>
      </c>
      <c r="M2" s="2" t="s">
        <v>17</v>
      </c>
    </row>
    <row r="3" customFormat="false" ht="33.7" hidden="false" customHeight="false" outlineLevel="0" collapsed="false">
      <c r="A3" s="6" t="s">
        <v>18</v>
      </c>
      <c r="B3" s="7" t="s">
        <v>13</v>
      </c>
      <c r="C3" s="8"/>
      <c r="D3" s="6" t="s">
        <v>14</v>
      </c>
      <c r="E3" s="6" t="s">
        <v>19</v>
      </c>
      <c r="F3" s="6" t="s">
        <v>20</v>
      </c>
      <c r="G3" s="6" t="s">
        <v>21</v>
      </c>
      <c r="H3" s="6" t="s">
        <v>22</v>
      </c>
      <c r="I3" s="6"/>
      <c r="J3" s="9" t="str">
        <f aca="false">_xlfn.CONCAT($K$2,E3,IF(F3="","","&lt;Br&gt;lineBrk&lt;Br&gt;"),F3,IF(G3="","","&lt;Br&gt;lineBrk&lt;Br&gt;"),G3,IF(H3="","","&lt;Br&gt;lineBrk&lt;Br&gt;"),H3,)</f>
        <v>&lt;p style="font-size:14px;"&gt;&lt;br&gt;Shape = 3 x Hex1a&lt;Br&gt;lineBrk&lt;Br&gt;Roots can be climbed for 1 AP or jazzT.&lt;Br&gt;lineBrk&lt;Br&gt;Roots block line of sight, but do not block movement.&lt;Br&gt;lineBrk&lt;Br&gt;Roots are flammable.</v>
      </c>
      <c r="K3" s="2" t="str">
        <f aca="false">IF(C3="yes",$M$3,$M$2)</f>
        <v>&lt;p style="font-size:14px;"&gt;&lt;br&gt;</v>
      </c>
      <c r="M3" s="2" t="s">
        <v>23</v>
      </c>
    </row>
    <row r="4" customFormat="false" ht="44.55" hidden="false" customHeight="false" outlineLevel="0" collapsed="false">
      <c r="A4" s="6" t="s">
        <v>24</v>
      </c>
      <c r="B4" s="7" t="s">
        <v>13</v>
      </c>
      <c r="C4" s="8"/>
      <c r="D4" s="6"/>
      <c r="E4" s="6" t="s">
        <v>25</v>
      </c>
      <c r="F4" s="6" t="s">
        <v>26</v>
      </c>
      <c r="G4" s="6" t="s">
        <v>27</v>
      </c>
      <c r="H4" s="6"/>
      <c r="I4" s="6"/>
      <c r="J4" s="9" t="str">
        <f aca="false">_xlfn.CONCAT($K$2,E4,IF(F4="","","&lt;Br&gt;lineBrk&lt;Br&gt;"),F4,IF(G4="","","&lt;Br&gt;lineBrk&lt;Br&gt;"),G4,IF(H4="","","&lt;Br&gt;lineBrk&lt;Br&gt;"),H4,)</f>
        <v>&lt;p style="font-size:14px;"&gt;&lt;br&gt;Shape = Up to 5 connected hexes, always 1 hex wide.&lt;Br&gt;lineBrk&lt;Br&gt;The tunnel allows for normal movement.&lt;Br&gt;lineBrk&lt;Br&gt;This can be placed through any solid structure, including map walls.</v>
      </c>
      <c r="K4" s="2" t="str">
        <f aca="false">IF(C4="yes",$M$3,$M$2)</f>
        <v>&lt;p style="font-size:14px;"&gt;&lt;br&gt;</v>
      </c>
      <c r="M4" s="2" t="s">
        <v>28</v>
      </c>
    </row>
    <row r="5" customFormat="false" ht="55.4" hidden="false" customHeight="false" outlineLevel="0" collapsed="false">
      <c r="A5" s="6" t="s">
        <v>29</v>
      </c>
      <c r="B5" s="7" t="s">
        <v>13</v>
      </c>
      <c r="C5" s="8"/>
      <c r="D5" s="6" t="s">
        <v>14</v>
      </c>
      <c r="E5" s="6" t="s">
        <v>30</v>
      </c>
      <c r="F5" s="6" t="s">
        <v>31</v>
      </c>
      <c r="G5" s="6" t="s">
        <v>32</v>
      </c>
      <c r="H5" s="6"/>
      <c r="I5" s="6"/>
      <c r="J5" s="9" t="str">
        <f aca="false">_xlfn.CONCAT($K$2,E5,IF(F5="","","&lt;Br&gt;lineBrk&lt;Br&gt;"),F5,IF(G5="","","&lt;Br&gt;lineBrk&lt;Br&gt;"),G5,IF(H5="","","&lt;Br&gt;lineBrk&lt;Br&gt;"),H5,)</f>
        <v>&lt;p style="font-size:14px;"&gt;&lt;br&gt;Shape = 1 Gate hex, then up to 2 Wall hexes adjacent to the gate.&lt;br&gt;GateHex&lt;Br&gt;lineBrk&lt;Br&gt;&lt;b&gt;Locked:&lt;/b&gt; The Gate can be opened using the Imbued status effect.&lt;Br&gt;lineBrk&lt;Br&gt;Walls block movement and line of sight, and cannot be climbed.</v>
      </c>
      <c r="K5" s="2" t="str">
        <f aca="false">IF(C5="yes",$M$3,$M$2)</f>
        <v>&lt;p style="font-size:14px;"&gt;&lt;br&gt;</v>
      </c>
      <c r="M5" s="2" t="s">
        <v>33</v>
      </c>
    </row>
    <row r="6" customFormat="false" ht="22.85" hidden="false" customHeight="false" outlineLevel="0" collapsed="false">
      <c r="A6" s="6" t="s">
        <v>34</v>
      </c>
      <c r="B6" s="7" t="s">
        <v>13</v>
      </c>
      <c r="C6" s="8"/>
      <c r="D6" s="6"/>
      <c r="E6" s="6" t="s">
        <v>35</v>
      </c>
      <c r="F6" s="6" t="s">
        <v>36</v>
      </c>
      <c r="G6" s="6"/>
      <c r="H6" s="6"/>
      <c r="I6" s="6"/>
      <c r="J6" s="9" t="str">
        <f aca="false">_xlfn.CONCAT($K$2,E6,IF(F6="","","&lt;Br&gt;lineBrk&lt;Br&gt;"),F6,IF(G6="","","&lt;Br&gt;lineBrk&lt;Br&gt;"),G6,IF(H6="","","&lt;Br&gt;lineBrk&lt;Br&gt;"),H6,)</f>
        <v>&lt;p style="font-size:14px;"&gt;&lt;br&gt;Shape = Hex3&lt;Br&gt;lineBrk&lt;Br&gt;Each rubble hex takes 2 hexes of movement to enter.</v>
      </c>
      <c r="K6" s="2" t="str">
        <f aca="false">IF(C6="yes",$M$3,$M$2)</f>
        <v>&lt;p style="font-size:14px;"&gt;&lt;br&gt;</v>
      </c>
      <c r="M6" s="2" t="s">
        <v>37</v>
      </c>
    </row>
    <row r="7" customFormat="false" ht="77.1" hidden="false" customHeight="false" outlineLevel="0" collapsed="false">
      <c r="A7" s="6" t="s">
        <v>38</v>
      </c>
      <c r="B7" s="7" t="s">
        <v>13</v>
      </c>
      <c r="C7" s="8"/>
      <c r="D7" s="6" t="s">
        <v>14</v>
      </c>
      <c r="E7" s="6" t="s">
        <v>35</v>
      </c>
      <c r="F7" s="6" t="s">
        <v>39</v>
      </c>
      <c r="G7" s="6" t="s">
        <v>40</v>
      </c>
      <c r="H7" s="6" t="s">
        <v>41</v>
      </c>
      <c r="I7" s="6"/>
      <c r="J7" s="9" t="str">
        <f aca="false">_xlfn.CONCAT($K$2,E7,IF(F7="","","&lt;Br&gt;lineBrk&lt;Br&gt;"),F7,IF(G7="","","&lt;Br&gt;lineBrk&lt;Br&gt;"),G7,IF(H7="","","&lt;Br&gt;lineBrk&lt;Br&gt;"),H7,)</f>
        <v>&lt;p style="font-size:14px;"&gt;&lt;br&gt;Shape = Hex3&lt;Br&gt;lineBrk&lt;Br&gt;Lichen blocks line of sight.&lt;Br&gt;lineBrk&lt;Br&gt;Fire will burn all connected lichen hexes, dealing 2 Armour Piercing damage and inflicting the Burning status to anyone any being in the lichen.&lt;Br&gt;lineBrk&lt;Br&gt;Burning lichen is destroyed at the end of the bosses turn.</v>
      </c>
      <c r="K7" s="2" t="str">
        <f aca="false">IF(C7="yes",$M$3,$M$2)</f>
        <v>&lt;p style="font-size:14px;"&gt;&lt;br&gt;</v>
      </c>
    </row>
    <row r="8" customFormat="false" ht="66.25" hidden="false" customHeight="false" outlineLevel="0" collapsed="false">
      <c r="A8" s="6" t="s">
        <v>42</v>
      </c>
      <c r="B8" s="7" t="s">
        <v>13</v>
      </c>
      <c r="C8" s="8"/>
      <c r="D8" s="6"/>
      <c r="E8" s="6" t="s">
        <v>43</v>
      </c>
      <c r="F8" s="6" t="s">
        <v>44</v>
      </c>
      <c r="G8" s="6" t="s">
        <v>45</v>
      </c>
      <c r="H8" s="6"/>
      <c r="I8" s="6"/>
      <c r="J8" s="9" t="str">
        <f aca="false">_xlfn.CONCAT($K$2,E8,IF(F8="","","&lt;Br&gt;lineBrk&lt;Br&gt;"),F8,IF(G8="","","&lt;Br&gt;lineBrk&lt;Br&gt;"),G8,IF(H8="","","&lt;Br&gt;lineBrk&lt;Br&gt;"),H8,)</f>
        <v>&lt;p style="font-size:14px;"&gt;&lt;br&gt;Shape = A 2 hex wide river running from one wall to another, with a current direction, a source, and lethal waterfall at the end.&lt;br&gt;RiverHex&lt;Br&gt;lineBrk&lt;Br&gt;Moving in the river costs double movement unless it is in the flow direction which costs half.&lt;Br&gt;lineBrk&lt;Br&gt;If you end your turn in the river, move 5 hexes in the flow.</v>
      </c>
      <c r="K8" s="2" t="str">
        <f aca="false">IF(C8="yes",$M$3,$M$2)</f>
        <v>&lt;p style="font-size:14px;"&gt;&lt;br&gt;</v>
      </c>
    </row>
    <row r="9" customFormat="false" ht="33.7" hidden="false" customHeight="false" outlineLevel="0" collapsed="false">
      <c r="A9" s="6" t="s">
        <v>46</v>
      </c>
      <c r="B9" s="7" t="s">
        <v>13</v>
      </c>
      <c r="C9" s="8"/>
      <c r="D9" s="6"/>
      <c r="E9" s="6" t="s">
        <v>47</v>
      </c>
      <c r="F9" s="6" t="s">
        <v>48</v>
      </c>
      <c r="G9" s="6"/>
      <c r="H9" s="6"/>
      <c r="I9" s="6"/>
      <c r="J9" s="9" t="str">
        <f aca="false">_xlfn.CONCAT($K$2,E9,IF(F9="","","&lt;Br&gt;lineBrk&lt;Br&gt;"),F9,IF(G9="","","&lt;Br&gt;lineBrk&lt;Br&gt;"),G9,IF(H9="","","&lt;Br&gt;lineBrk&lt;Br&gt;"),H9,)</f>
        <v>&lt;p style="font-size:14px;"&gt;&lt;br&gt;Shape = 5 Connected hexes&lt;Br&gt;lineBrk&lt;Br&gt;If a creature starts their turn on hot coals, they take 3 damage.</v>
      </c>
      <c r="K9" s="2" t="str">
        <f aca="false">IF(C9="yes",$M$3,$M$2)</f>
        <v>&lt;p style="font-size:14px;"&gt;&lt;br&gt;</v>
      </c>
    </row>
    <row r="10" customFormat="false" ht="77.1" hidden="false" customHeight="false" outlineLevel="0" collapsed="false">
      <c r="A10" s="6" t="s">
        <v>49</v>
      </c>
      <c r="B10" s="7" t="s">
        <v>13</v>
      </c>
      <c r="C10" s="8"/>
      <c r="D10" s="6" t="s">
        <v>14</v>
      </c>
      <c r="E10" s="6" t="s">
        <v>50</v>
      </c>
      <c r="F10" s="6" t="s">
        <v>51</v>
      </c>
      <c r="G10" s="6" t="s">
        <v>52</v>
      </c>
      <c r="H10" s="6" t="s">
        <v>53</v>
      </c>
      <c r="I10" s="6"/>
      <c r="J10" s="9" t="str">
        <f aca="false">_xlfn.CONCAT($K$2,E10,IF(F10="","","&lt;Br&gt;lineBrk&lt;Br&gt;"),F10,IF(G10="","","&lt;Br&gt;lineBrk&lt;Br&gt;"),G10,IF(H10="","","&lt;Br&gt;lineBrk&lt;Br&gt;"),H10,)</f>
        <v>&lt;p style="font-size:14px;"&gt;&lt;br&gt;Shape = A continuous line between two walls, with a high side and a low side.&lt;Br&gt;lineBrk&lt;Br&gt;Beings may Climb for 3AP or jazzt .&lt;Br&gt;lineBrk&lt;Br&gt;If a being falls of the cliff they take 8 damage.&lt;Br&gt;lineBrk&lt;Br&gt;The cliff blocks line of sight for anyone on the low side except on the cliff edge.</v>
      </c>
      <c r="K10" s="2" t="str">
        <f aca="false">IF(C10="yes",$M$3,$M$2)</f>
        <v>&lt;p style="font-size:14px;"&gt;&lt;br&gt;</v>
      </c>
    </row>
    <row r="11" customFormat="false" ht="55.4" hidden="false" customHeight="false" outlineLevel="0" collapsed="false">
      <c r="A11" s="6" t="s">
        <v>54</v>
      </c>
      <c r="B11" s="7" t="s">
        <v>13</v>
      </c>
      <c r="C11" s="8"/>
      <c r="D11" s="6"/>
      <c r="E11" s="6" t="s">
        <v>55</v>
      </c>
      <c r="F11" s="6" t="s">
        <v>56</v>
      </c>
      <c r="G11" s="6" t="s">
        <v>57</v>
      </c>
      <c r="H11" s="6"/>
      <c r="I11" s="6"/>
      <c r="J11" s="9" t="str">
        <f aca="false">_xlfn.CONCAT($K$2,E11,IF(F11="","","&lt;Br&gt;lineBrk&lt;Br&gt;"),F11,IF(G11="","","&lt;Br&gt;lineBrk&lt;Br&gt;"),G11,IF(H11="","","&lt;Br&gt;lineBrk&lt;Br&gt;"),H11,)</f>
        <v>&lt;p style="font-size:14px;"&gt;&lt;br&gt;Shape = Hex1a&lt;Br&gt;lineBrk&lt;Br&gt;&lt;b&gt;Drink:&lt;/b&gt; 1AP&lt;br&gt; Become monstrous.&lt;Br&gt;lineBrk&lt;Br&gt;Fire will cause the barrel to explode, dealing 8 damage to everything in a 2 hex radius. &lt;br&gt; whiskey_Xplo</v>
      </c>
      <c r="K11" s="2" t="str">
        <f aca="false">IF(C11="yes",$M$3,$M$2)</f>
        <v>&lt;p style="font-size:14px;"&gt;&lt;br&gt;</v>
      </c>
    </row>
    <row r="12" customFormat="false" ht="44.55" hidden="false" customHeight="false" outlineLevel="0" collapsed="false">
      <c r="A12" s="6" t="s">
        <v>58</v>
      </c>
      <c r="B12" s="7" t="s">
        <v>13</v>
      </c>
      <c r="C12" s="8"/>
      <c r="D12" s="6" t="s">
        <v>14</v>
      </c>
      <c r="E12" s="6" t="s">
        <v>59</v>
      </c>
      <c r="F12" s="6" t="s">
        <v>60</v>
      </c>
      <c r="G12" s="6" t="s">
        <v>61</v>
      </c>
      <c r="H12" s="6" t="s">
        <v>62</v>
      </c>
      <c r="I12" s="6"/>
      <c r="J12" s="9" t="str">
        <f aca="false">_xlfn.CONCAT($K$2,E12,IF(F12="","","&lt;Br&gt;lineBrk&lt;Br&gt;"),F12,IF(G12="","","&lt;Br&gt;lineBrk&lt;Br&gt;"),G12,IF(H12="","","&lt;Br&gt;lineBrk&lt;Br&gt;"),H12,)</f>
        <v>&lt;p style="font-size:14px;"&gt;&lt;br&gt;Shape = Hex1b x 3&lt;Br&gt;lineBrk&lt;Br&gt;Beings may Climb for 3AP or jazzt.&lt;Br&gt;lineBrk&lt;Br&gt;If a being falls of a pillar they take 8 damage.&lt;Br&gt;lineBrk&lt;Br&gt;Pillars block line of sight for anyone on the low side.</v>
      </c>
      <c r="K12" s="2" t="str">
        <f aca="false">IF(C12="yes",$M$3,$M$2)</f>
        <v>&lt;p style="font-size:14px;"&gt;&lt;br&gt;</v>
      </c>
    </row>
    <row r="13" customFormat="false" ht="55.4" hidden="false" customHeight="false" outlineLevel="0" collapsed="false">
      <c r="A13" s="6" t="s">
        <v>63</v>
      </c>
      <c r="B13" s="10" t="s">
        <v>64</v>
      </c>
      <c r="C13" s="8"/>
      <c r="D13" s="6"/>
      <c r="E13" s="6" t="s">
        <v>55</v>
      </c>
      <c r="F13" s="6" t="s">
        <v>65</v>
      </c>
      <c r="G13" s="6" t="s">
        <v>66</v>
      </c>
      <c r="H13" s="6" t="s">
        <v>67</v>
      </c>
      <c r="I13" s="6"/>
      <c r="J13" s="9" t="str">
        <f aca="false">_xlfn.CONCAT($K$2,E13,IF(F13="","","&lt;Br&gt;lineBrk&lt;Br&gt;"),F13,IF(G13="","","&lt;Br&gt;lineBrk&lt;Br&gt;"),G13,IF(H13="","","&lt;Br&gt;lineBrk&lt;Br&gt;"),H13,)</f>
        <v>&lt;p style="font-size:14px;"&gt;&lt;br&gt;Shape = Hex1a&lt;Br&gt;lineBrk&lt;Br&gt;&lt;i&gt;Ranged Attack - &lt;/i&gt;&lt;b&gt;Fire!:&lt;/b&gt; 3AP&lt;br&gt;The arbalest must be loaded. &lt;br&gt;Damage = 8. &lt;br&gt;Hits everyone in a line.&lt;Br&gt;lineBrk&lt;Br&gt;&lt;b&gt;Reload&lt;/b&gt; - 3AP + flesht flesht: &lt;Br&gt;Reload the arbalest.&lt;Br&gt;lineBrk&lt;Br&gt;Starts loaded.</v>
      </c>
      <c r="K13" s="2" t="str">
        <f aca="false">IF(C13="yes",$M$3,$M$2)</f>
        <v>&lt;p style="font-size:14px;"&gt;&lt;br&gt;</v>
      </c>
    </row>
    <row r="14" customFormat="false" ht="55.4" hidden="false" customHeight="false" outlineLevel="0" collapsed="false">
      <c r="A14" s="6" t="s">
        <v>68</v>
      </c>
      <c r="B14" s="10" t="s">
        <v>64</v>
      </c>
      <c r="C14" s="8"/>
      <c r="D14" s="6"/>
      <c r="E14" s="6" t="s">
        <v>55</v>
      </c>
      <c r="F14" s="6" t="s">
        <v>69</v>
      </c>
      <c r="G14" s="6" t="s">
        <v>70</v>
      </c>
      <c r="H14" s="6" t="s">
        <v>71</v>
      </c>
      <c r="I14" s="6"/>
      <c r="J14" s="9" t="str">
        <f aca="false">_xlfn.CONCAT($K$2,E14,IF(F14="","","&lt;Br&gt;lineBrk&lt;Br&gt;"),F14,IF(G14="","","&lt;Br&gt;lineBrk&lt;Br&gt;"),G14,IF(H14="","","&lt;Br&gt;lineBrk&lt;Br&gt;"),H14,)</f>
        <v>&lt;p style="font-size:14px;"&gt;&lt;br&gt;Shape = Hex1a&lt;Br&gt;lineBrk&lt;Br&gt;Ending your turn next to the campfire restores all composure.&lt;Br&gt;lineBrk&lt;Br&gt;If a being steps on the campfire they take 6 Armour Piercing damage and suffer the burning status.&lt;Br&gt;lineBrk&lt;Br&gt;&lt;b&gt;Rest:&lt;/b&gt;  4AP&lt;br&gt;Gain the well rested status effect.</v>
      </c>
      <c r="K14" s="2" t="str">
        <f aca="false">IF(C14="yes",$M$3,$M$2)</f>
        <v>&lt;p style="font-size:14px;"&gt;&lt;br&gt;</v>
      </c>
    </row>
    <row r="15" customFormat="false" ht="44.55" hidden="false" customHeight="false" outlineLevel="0" collapsed="false">
      <c r="A15" s="6" t="s">
        <v>72</v>
      </c>
      <c r="B15" s="10" t="s">
        <v>64</v>
      </c>
      <c r="C15" s="8"/>
      <c r="D15" s="6"/>
      <c r="E15" s="6" t="s">
        <v>73</v>
      </c>
      <c r="F15" s="11" t="s">
        <v>74</v>
      </c>
      <c r="G15" s="11" t="s">
        <v>75</v>
      </c>
      <c r="H15" s="6"/>
      <c r="I15" s="6"/>
      <c r="J15" s="9" t="str">
        <f aca="false">_xlfn.CONCAT($K$2,E15,IF(F15="","","&lt;Br&gt;lineBrk&lt;Br&gt;"),F15,IF(G15="","","&lt;Br&gt;lineBrk&lt;Br&gt;"),G15,IF(H15="","","&lt;Br&gt;lineBrk&lt;Br&gt;"),H15,)</f>
        <v>&lt;p style="font-size:14px;"&gt;&lt;br&gt;Shape = Hex1b&lt;Br&gt;lineBrk&lt;Br&gt;Spend 1AP or fleshT to move through 1 hex.&lt;Br&gt;lineBrk&lt;Br&gt;&lt;b&gt;Rummage:&lt;/b&gt; 1AP + fleshT fleshT&lt;br&gt;Gain 1 limb or impression. This can only be done once.</v>
      </c>
      <c r="K15" s="2" t="str">
        <f aca="false">IF(C15="yes",$M$3,$M$2)</f>
        <v>&lt;p style="font-size:14px;"&gt;&lt;br&gt;</v>
      </c>
    </row>
    <row r="16" customFormat="false" ht="33.7" hidden="false" customHeight="false" outlineLevel="0" collapsed="false">
      <c r="A16" s="6" t="s">
        <v>76</v>
      </c>
      <c r="B16" s="10" t="s">
        <v>64</v>
      </c>
      <c r="C16" s="8"/>
      <c r="D16" s="6"/>
      <c r="E16" s="6" t="s">
        <v>55</v>
      </c>
      <c r="F16" s="11" t="s">
        <v>77</v>
      </c>
      <c r="G16" s="6"/>
      <c r="H16" s="6"/>
      <c r="I16" s="6"/>
      <c r="J16" s="9" t="str">
        <f aca="false">_xlfn.CONCAT($K$2,E16,IF(F16="","","&lt;Br&gt;lineBrk&lt;Br&gt;"),F16,IF(G16="","","&lt;Br&gt;lineBrk&lt;Br&gt;"),G16,IF(H16="","","&lt;Br&gt;lineBrk&lt;Br&gt;"),H16,)</f>
        <v>&lt;p style="font-size:14px;"&gt;&lt;br&gt;Shape = Hex1a&lt;Br&gt;lineBrk&lt;Br&gt;&lt;b&gt;Ponder:&lt;/b&gt; 1AP + weirdT weirdT&lt;br&gt;Gain the portent status.</v>
      </c>
      <c r="K16" s="2" t="str">
        <f aca="false">IF(C16="yes",$M$3,$M$2)</f>
        <v>&lt;p style="font-size:14px;"&gt;&lt;br&gt;</v>
      </c>
    </row>
    <row r="17" customFormat="false" ht="33.7" hidden="false" customHeight="false" outlineLevel="0" collapsed="false">
      <c r="A17" s="6" t="s">
        <v>78</v>
      </c>
      <c r="B17" s="10" t="s">
        <v>64</v>
      </c>
      <c r="C17" s="8"/>
      <c r="D17" s="6"/>
      <c r="E17" s="6" t="s">
        <v>79</v>
      </c>
      <c r="F17" s="11" t="s">
        <v>80</v>
      </c>
      <c r="G17" s="6"/>
      <c r="H17" s="6"/>
      <c r="I17" s="6"/>
      <c r="J17" s="9" t="str">
        <f aca="false">_xlfn.CONCAT($K$2,E17,IF(F17="","","&lt;Br&gt;lineBrk&lt;Br&gt;"),F17,IF(G17="","","&lt;Br&gt;lineBrk&lt;Br&gt;"),G17,IF(H17="","","&lt;Br&gt;lineBrk&lt;Br&gt;"),H17,)</f>
        <v>&lt;p style="font-size:14px;"&gt;&lt;br&gt;Shape = Hex1a x 2&lt;Br&gt;lineBrk&lt;Br&gt;&lt;b&gt;Jump:&lt;/b&gt; weirdT&lt;br&gt;Teleport to any unoccupied portal hex.</v>
      </c>
      <c r="K17" s="2" t="str">
        <f aca="false">IF(C17="yes",$M$3,$M$2)</f>
        <v>&lt;p style="font-size:14px;"&gt;&lt;br&gt;</v>
      </c>
    </row>
    <row r="18" customFormat="false" ht="66.25" hidden="false" customHeight="false" outlineLevel="0" collapsed="false">
      <c r="A18" s="6" t="s">
        <v>81</v>
      </c>
      <c r="B18" s="10" t="s">
        <v>64</v>
      </c>
      <c r="C18" s="8"/>
      <c r="D18" s="6"/>
      <c r="E18" s="6" t="s">
        <v>55</v>
      </c>
      <c r="F18" s="6" t="s">
        <v>82</v>
      </c>
      <c r="G18" s="6"/>
      <c r="H18" s="6"/>
      <c r="I18" s="6"/>
      <c r="J18" s="9" t="str">
        <f aca="false">_xlfn.CONCAT($K$2,E18,IF(F18="","","&lt;Br&gt;lineBrk&lt;Br&gt;"),F18,IF(G18="","","&lt;Br&gt;lineBrk&lt;Br&gt;"),G18,IF(H18="","","&lt;Br&gt;lineBrk&lt;Br&gt;"),H18,)</f>
        <v>&lt;p style="font-size:14px;"&gt;&lt;br&gt;Shape = Hex1a&lt;Br&gt;lineBrk&lt;Br&gt;&lt;b&gt;Locked:&lt;/b&gt; This can be opened using the imbued status effect to look at 3 limbs or impressions and equip any number of them. Then destroy this</v>
      </c>
      <c r="K18" s="2" t="str">
        <f aca="false">IF(C18="yes",$M$3,$M$2)</f>
        <v>&lt;p style="font-size:14px;"&gt;&lt;br&gt;</v>
      </c>
    </row>
    <row r="19" customFormat="false" ht="33.7" hidden="false" customHeight="false" outlineLevel="0" collapsed="false">
      <c r="A19" s="6" t="s">
        <v>83</v>
      </c>
      <c r="B19" s="10" t="s">
        <v>64</v>
      </c>
      <c r="C19" s="8"/>
      <c r="D19" s="6"/>
      <c r="E19" s="6" t="s">
        <v>55</v>
      </c>
      <c r="F19" s="6" t="s">
        <v>84</v>
      </c>
      <c r="G19" s="6"/>
      <c r="H19" s="6"/>
      <c r="I19" s="6"/>
      <c r="J19" s="9" t="str">
        <f aca="false">_xlfn.CONCAT($K$2,E19,IF(F19="","","&lt;Br&gt;lineBrk&lt;Br&gt;"),F19,IF(G19="","","&lt;Br&gt;lineBrk&lt;Br&gt;"),G19,IF(H19="","","&lt;Br&gt;lineBrk&lt;Br&gt;"),H19,)</f>
        <v>&lt;p style="font-size:14px;"&gt;&lt;br&gt;Shape = Hex1a&lt;Br&gt;lineBrk&lt;Br&gt;&lt;b&gt;Drink:&lt;/b&gt; 3AP&lt;br&gt;Restore 2 wounds and empty the fountain. It cannot be used again.</v>
      </c>
      <c r="K19" s="2" t="str">
        <f aca="false">IF(C19="yes",$M$3,$M$2)</f>
        <v>&lt;p style="font-size:14px;"&gt;&lt;br&gt;</v>
      </c>
    </row>
    <row r="20" customFormat="false" ht="55.4" hidden="false" customHeight="false" outlineLevel="0" collapsed="false">
      <c r="A20" s="6" t="s">
        <v>85</v>
      </c>
      <c r="B20" s="10" t="s">
        <v>64</v>
      </c>
      <c r="C20" s="8"/>
      <c r="D20" s="6"/>
      <c r="E20" s="6" t="s">
        <v>73</v>
      </c>
      <c r="F20" s="6" t="s">
        <v>86</v>
      </c>
      <c r="G20" s="6"/>
      <c r="H20" s="6"/>
      <c r="I20" s="6"/>
      <c r="J20" s="9" t="str">
        <f aca="false">_xlfn.CONCAT($K$2,E20,IF(F20="","","&lt;Br&gt;lineBrk&lt;Br&gt;"),F20,IF(G20="","","&lt;Br&gt;lineBrk&lt;Br&gt;"),G20,IF(H20="","","&lt;Br&gt;lineBrk&lt;Br&gt;"),H20,)</f>
        <v>&lt;p style="font-size:14px;"&gt;&lt;br&gt;Shape = Hex1b&lt;Br&gt;lineBrk&lt;Br&gt;Each hex may be &lt;br&gt;&lt;b&gt;Excavated:&lt;/b&gt; 3AP or weirdT + 1AP&lt;br&gt;Replenish a spent charge token on a card and destroy that hex.</v>
      </c>
      <c r="K20" s="2" t="str">
        <f aca="false">IF(C20="yes",$M$3,$M$2)</f>
        <v>&lt;p style="font-size:14px;"&gt;&lt;br&gt;</v>
      </c>
    </row>
    <row r="21" customFormat="false" ht="33.7" hidden="false" customHeight="false" outlineLevel="0" collapsed="false">
      <c r="A21" s="6" t="s">
        <v>87</v>
      </c>
      <c r="B21" s="10" t="s">
        <v>64</v>
      </c>
      <c r="C21" s="8"/>
      <c r="D21" s="6"/>
      <c r="E21" s="6" t="s">
        <v>55</v>
      </c>
      <c r="F21" s="11" t="s">
        <v>88</v>
      </c>
      <c r="G21" s="6"/>
      <c r="H21" s="6"/>
      <c r="I21" s="6"/>
      <c r="J21" s="9" t="str">
        <f aca="false">_xlfn.CONCAT($K$2,E21,IF(F21="","","&lt;Br&gt;lineBrk&lt;Br&gt;"),F21,IF(G21="","","&lt;Br&gt;lineBrk&lt;Br&gt;"),G21,IF(H21="","","&lt;Br&gt;lineBrk&lt;Br&gt;"),H21,)</f>
        <v>&lt;p style="font-size:14px;"&gt;&lt;br&gt;Shape = Hex1a&lt;Br&gt;lineBrk&lt;Br&gt;&lt;b&gt;Sacrifice:&lt;/b&gt; 1AP + a wound to a stat of your choice&lt;br&gt;Draw an impression. You may equip it.</v>
      </c>
      <c r="K21" s="2" t="str">
        <f aca="false">IF(C21="yes",$M$3,$M$2)</f>
        <v>&lt;p style="font-size:14px;"&gt;&lt;br&gt;</v>
      </c>
    </row>
    <row r="22" customFormat="false" ht="33.7" hidden="false" customHeight="false" outlineLevel="0" collapsed="false">
      <c r="A22" s="6" t="s">
        <v>89</v>
      </c>
      <c r="B22" s="10" t="s">
        <v>64</v>
      </c>
      <c r="C22" s="8"/>
      <c r="D22" s="6"/>
      <c r="E22" s="6" t="s">
        <v>55</v>
      </c>
      <c r="F22" s="11" t="s">
        <v>90</v>
      </c>
      <c r="G22" s="6"/>
      <c r="H22" s="6"/>
      <c r="I22" s="6"/>
      <c r="J22" s="9" t="str">
        <f aca="false">_xlfn.CONCAT($K$2,E22,IF(F22="","","&lt;Br&gt;lineBrk&lt;Br&gt;"),F22,IF(G22="","","&lt;Br&gt;lineBrk&lt;Br&gt;"),G22,IF(H22="","","&lt;Br&gt;lineBrk&lt;Br&gt;"),H22,)</f>
        <v>&lt;p style="font-size:14px;"&gt;&lt;br&gt;Shape = Hex1a&lt;Br&gt;lineBrk&lt;Br&gt;&lt;b&gt;Imbibe:&lt;/b&gt; 2AP + 1 weirdT&lt;br&gt;Destroy this and gain the Imbued status.</v>
      </c>
      <c r="K22" s="2" t="str">
        <f aca="false">IF(C22="yes",$M$3,$M$2)</f>
        <v>&lt;p style="font-size:14px;"&gt;&lt;br&gt;</v>
      </c>
    </row>
    <row r="23" customFormat="false" ht="55.4" hidden="false" customHeight="false" outlineLevel="0" collapsed="false">
      <c r="A23" s="6" t="s">
        <v>91</v>
      </c>
      <c r="B23" s="10" t="s">
        <v>64</v>
      </c>
      <c r="C23" s="8"/>
      <c r="D23" s="6"/>
      <c r="E23" s="6" t="s">
        <v>92</v>
      </c>
      <c r="F23" s="11" t="s">
        <v>93</v>
      </c>
      <c r="G23" s="6" t="s">
        <v>94</v>
      </c>
      <c r="H23" s="6"/>
      <c r="I23" s="6"/>
      <c r="J23" s="9" t="str">
        <f aca="false">_xlfn.CONCAT($K$2,E23,IF(F23="","","&lt;Br&gt;lineBrk&lt;Br&gt;"),F23,IF(G23="","","&lt;Br&gt;lineBrk&lt;Br&gt;"),G23,IF(H23="","","&lt;Br&gt;lineBrk&lt;Br&gt;"),H23,)</f>
        <v>&lt;p style="font-size:14px;"&gt;&lt;br&gt;Shape = 3 x Hex1a paintings that are at least 3 hexes apart from each other.&lt;br&gt;Cavepaint1&lt;Br&gt;lineBrk&lt;Br&gt;&lt;b&gt;Study:&lt;/b&gt; 1AP&lt;br&gt;Permanently gain a +1 damage bonus against the boss .&lt;Br&gt;lineBrk&lt;Br&gt;Each player can only study each painting once.</v>
      </c>
      <c r="K23" s="2" t="str">
        <f aca="false">IF(C23="yes",$M$3,$M$2)</f>
        <v>&lt;p style="font-size:14px;"&gt;&lt;br&gt;</v>
      </c>
    </row>
    <row r="24" customFormat="false" ht="13.8" hidden="false" customHeight="false" outlineLevel="0" collapsed="false">
      <c r="A24" s="6"/>
      <c r="B24" s="8"/>
      <c r="C24" s="8"/>
      <c r="D24" s="6"/>
      <c r="E24" s="6"/>
      <c r="F24" s="6"/>
      <c r="G24" s="6"/>
      <c r="H24" s="6"/>
      <c r="I24" s="6"/>
      <c r="J24" s="9"/>
      <c r="K24" s="2" t="str">
        <f aca="false">IF(C24="yes",$M$3,$M$2)</f>
        <v>&lt;p style="font-size:14px;"&gt;&lt;br&gt;</v>
      </c>
    </row>
    <row r="25" customFormat="false" ht="13.8" hidden="false" customHeight="false" outlineLevel="0" collapsed="false">
      <c r="A25" s="6"/>
      <c r="B25" s="8"/>
      <c r="C25" s="8"/>
      <c r="D25" s="6"/>
      <c r="E25" s="6"/>
      <c r="F25" s="6"/>
      <c r="G25" s="6"/>
      <c r="H25" s="6"/>
      <c r="I25" s="6"/>
      <c r="J25" s="9"/>
      <c r="K25" s="2" t="str">
        <f aca="false">IF(C25="yes",$M$3,$M$2)</f>
        <v>&lt;p style="font-size:14px;"&gt;&lt;br&gt;</v>
      </c>
    </row>
    <row r="26" customFormat="false" ht="13.8" hidden="false" customHeight="false" outlineLevel="0" collapsed="false">
      <c r="A26" s="6"/>
      <c r="B26" s="8"/>
      <c r="C26" s="8"/>
      <c r="D26" s="6"/>
      <c r="E26" s="6"/>
      <c r="F26" s="6"/>
      <c r="G26" s="6"/>
      <c r="H26" s="6"/>
      <c r="I26" s="6"/>
      <c r="J26" s="9"/>
      <c r="K26" s="2" t="str">
        <f aca="false">IF(C26="yes",$M$3,$M$2)</f>
        <v>&lt;p style="font-size:14px;"&gt;&lt;br&gt;</v>
      </c>
    </row>
    <row r="27" customFormat="false" ht="13.8" hidden="false" customHeight="false" outlineLevel="0" collapsed="false">
      <c r="A27" s="6"/>
      <c r="B27" s="8"/>
      <c r="C27" s="8"/>
      <c r="D27" s="6"/>
      <c r="E27" s="6"/>
      <c r="F27" s="6"/>
      <c r="G27" s="6"/>
      <c r="H27" s="6"/>
      <c r="I27" s="6"/>
      <c r="J27" s="9"/>
      <c r="K27" s="2" t="str">
        <f aca="false">IF(C27="yes",$M$3,$M$2)</f>
        <v>&lt;p style="font-size:14px;"&gt;&lt;br&gt;</v>
      </c>
    </row>
    <row r="28" customFormat="false" ht="13.8" hidden="false" customHeight="false" outlineLevel="0" collapsed="false">
      <c r="A28" s="6"/>
      <c r="B28" s="8"/>
      <c r="C28" s="8"/>
      <c r="D28" s="6"/>
      <c r="E28" s="6"/>
      <c r="F28" s="6"/>
      <c r="G28" s="6"/>
      <c r="H28" s="6"/>
      <c r="I28" s="6"/>
      <c r="J28" s="9"/>
      <c r="K28" s="2" t="str">
        <f aca="false">IF(C28="yes",$M$3,$M$2)</f>
        <v>&lt;p style="font-size:14px;"&gt;&lt;br&gt;</v>
      </c>
    </row>
    <row r="29" customFormat="false" ht="13.8" hidden="false" customHeight="false" outlineLevel="0" collapsed="false">
      <c r="A29" s="6"/>
      <c r="B29" s="8"/>
      <c r="C29" s="8"/>
      <c r="D29" s="6"/>
      <c r="E29" s="6"/>
      <c r="F29" s="6"/>
      <c r="G29" s="6"/>
      <c r="H29" s="6"/>
      <c r="I29" s="6"/>
      <c r="J29" s="9"/>
      <c r="K29" s="2" t="str">
        <f aca="false">IF(C29="yes",$M$3,$M$2)</f>
        <v>&lt;p style="font-size:14px;"&gt;&lt;br&gt;</v>
      </c>
    </row>
    <row r="30" customFormat="false" ht="13.8" hidden="false" customHeight="false" outlineLevel="0" collapsed="false">
      <c r="A30" s="6"/>
      <c r="B30" s="8"/>
      <c r="C30" s="8"/>
      <c r="D30" s="6"/>
      <c r="E30" s="6"/>
      <c r="F30" s="6"/>
      <c r="G30" s="6"/>
      <c r="H30" s="6"/>
      <c r="I30" s="6"/>
      <c r="J30" s="9"/>
      <c r="K30" s="2" t="str">
        <f aca="false">IF(C30="yes",$M$3,$M$2)</f>
        <v>&lt;p style="font-size:14px;"&gt;&lt;br&gt;</v>
      </c>
    </row>
    <row r="31" customFormat="false" ht="13.8" hidden="false" customHeight="false" outlineLevel="0" collapsed="false">
      <c r="A31" s="6"/>
      <c r="B31" s="8"/>
      <c r="C31" s="8"/>
      <c r="D31" s="6"/>
      <c r="E31" s="6"/>
      <c r="F31" s="6"/>
      <c r="G31" s="6"/>
      <c r="H31" s="6"/>
      <c r="I31" s="6"/>
      <c r="J31" s="9"/>
      <c r="K31" s="2" t="str">
        <f aca="false">IF(C31="yes",$M$3,$M$2)</f>
        <v>&lt;p style="font-size:14px;"&gt;&lt;br&gt;</v>
      </c>
    </row>
    <row r="32" customFormat="false" ht="13.8" hidden="false" customHeight="false" outlineLevel="0" collapsed="false">
      <c r="A32" s="6"/>
      <c r="B32" s="8"/>
      <c r="C32" s="8"/>
      <c r="D32" s="6"/>
      <c r="E32" s="6"/>
      <c r="F32" s="6"/>
      <c r="G32" s="6"/>
      <c r="H32" s="6"/>
      <c r="I32" s="6"/>
      <c r="J32" s="9"/>
      <c r="K32" s="2" t="str">
        <f aca="false">IF(C32="yes",$M$3,$M$2)</f>
        <v>&lt;p style="font-size:14px;"&gt;&lt;br&gt;</v>
      </c>
    </row>
    <row r="33" customFormat="false" ht="13.8" hidden="false" customHeight="false" outlineLevel="0" collapsed="false">
      <c r="A33" s="6"/>
      <c r="B33" s="8"/>
      <c r="C33" s="8"/>
      <c r="D33" s="6"/>
      <c r="E33" s="6"/>
      <c r="F33" s="6"/>
      <c r="G33" s="6"/>
      <c r="H33" s="6"/>
      <c r="I33" s="6"/>
      <c r="J33" s="9"/>
      <c r="K33" s="2" t="str">
        <f aca="false">IF(C33="yes",$M$3,$M$2)</f>
        <v>&lt;p style="font-size:14px;"&gt;&lt;br&gt;</v>
      </c>
    </row>
    <row r="34" customFormat="false" ht="13.8" hidden="false" customHeight="false" outlineLevel="0" collapsed="false">
      <c r="A34" s="6"/>
      <c r="B34" s="8"/>
      <c r="C34" s="8"/>
      <c r="D34" s="6"/>
      <c r="E34" s="6"/>
      <c r="F34" s="6"/>
      <c r="G34" s="6"/>
      <c r="H34" s="6"/>
      <c r="I34" s="6"/>
      <c r="J34" s="9"/>
      <c r="K34" s="2" t="str">
        <f aca="false">IF(C34="yes",$M$3,$M$2)</f>
        <v>&lt;p style="font-size:14px;"&gt;&lt;br&gt;</v>
      </c>
    </row>
    <row r="35" customFormat="false" ht="13.8" hidden="false" customHeight="false" outlineLevel="0" collapsed="false">
      <c r="A35" s="6"/>
      <c r="B35" s="8"/>
      <c r="C35" s="8"/>
      <c r="D35" s="6"/>
      <c r="E35" s="6"/>
      <c r="F35" s="6"/>
      <c r="G35" s="6"/>
      <c r="H35" s="6"/>
      <c r="I35" s="6"/>
      <c r="J35" s="9"/>
      <c r="K35" s="2" t="str">
        <f aca="false">IF(C35="yes",$M$3,$M$2)</f>
        <v>&lt;p style="font-size:14px;"&gt;&lt;br&gt;</v>
      </c>
    </row>
    <row r="36" customFormat="false" ht="13.8" hidden="false" customHeight="false" outlineLevel="0" collapsed="false">
      <c r="A36" s="6"/>
      <c r="B36" s="8"/>
      <c r="C36" s="8"/>
      <c r="D36" s="6"/>
      <c r="E36" s="6"/>
      <c r="F36" s="6"/>
      <c r="G36" s="6"/>
      <c r="H36" s="6"/>
      <c r="I36" s="6"/>
      <c r="J36" s="9"/>
      <c r="K36" s="2" t="str">
        <f aca="false">IF(C36="yes",$M$3,$M$2)</f>
        <v>&lt;p style="font-size:14px;"&gt;&lt;br&gt;</v>
      </c>
    </row>
    <row r="37" customFormat="false" ht="13.8" hidden="false" customHeight="false" outlineLevel="0" collapsed="false">
      <c r="A37" s="6"/>
      <c r="B37" s="8"/>
      <c r="C37" s="8"/>
      <c r="D37" s="6"/>
      <c r="E37" s="6"/>
      <c r="F37" s="6"/>
      <c r="G37" s="6"/>
      <c r="H37" s="6"/>
      <c r="I37" s="6"/>
      <c r="J37" s="9"/>
      <c r="K37" s="2" t="str">
        <f aca="false">IF(C37="yes",$M$3,$M$2)</f>
        <v>&lt;p style="font-size:14px;"&gt;&lt;br&gt;</v>
      </c>
    </row>
    <row r="38" customFormat="false" ht="13.8" hidden="false" customHeight="false" outlineLevel="0" collapsed="false">
      <c r="A38" s="6"/>
      <c r="B38" s="8"/>
      <c r="C38" s="8"/>
      <c r="D38" s="6"/>
      <c r="E38" s="6"/>
      <c r="F38" s="6"/>
      <c r="G38" s="6"/>
      <c r="H38" s="6"/>
      <c r="I38" s="6"/>
      <c r="J38" s="9"/>
      <c r="K38" s="2" t="str">
        <f aca="false">IF(C38="yes",$M$3,$M$2)</f>
        <v>&lt;p style="font-size:14px;"&gt;&lt;br&gt;</v>
      </c>
    </row>
    <row r="39" customFormat="false" ht="13.8" hidden="false" customHeight="false" outlineLevel="0" collapsed="false">
      <c r="A39" s="6"/>
      <c r="B39" s="8"/>
      <c r="C39" s="8"/>
      <c r="D39" s="6"/>
      <c r="E39" s="6"/>
      <c r="F39" s="6"/>
      <c r="G39" s="6"/>
      <c r="H39" s="6"/>
      <c r="I39" s="6"/>
      <c r="J39" s="9"/>
      <c r="K39" s="2" t="str">
        <f aca="false">IF(C39="yes",$M$3,$M$2)</f>
        <v>&lt;p style="font-size:14px;"&gt;&lt;br&gt;</v>
      </c>
    </row>
  </sheetData>
  <conditionalFormatting sqref="B1:C39">
    <cfRule type="containsText" priority="2" operator="containsText" aboveAverage="0" equalAverage="0" bottom="0" percent="0" rank="0" text="Accessory" dxfId="6">
      <formula>NOT(ISERROR(SEARCH("Accessory",B1)))</formula>
    </cfRule>
    <cfRule type="containsText" priority="3" operator="containsText" aboveAverage="0" equalAverage="0" bottom="0" percent="0" rank="0" text="Armour" dxfId="7">
      <formula>NOT(ISERROR(SEARCH("Armour",B1)))</formula>
    </cfRule>
    <cfRule type="containsText" priority="4" operator="containsText" aboveAverage="0" equalAverage="0" bottom="0" percent="0" rank="0" text="Equipment" dxfId="8">
      <formula>NOT(ISERROR(SEARCH("Equipment",B1)))</formula>
    </cfRule>
    <cfRule type="containsText" priority="5" operator="containsText" aboveAverage="0" equalAverage="0" bottom="0" percent="0" rank="0" text="Impression" dxfId="9">
      <formula>NOT(ISERROR(SEARCH("Impression",B1)))</formula>
    </cfRule>
    <cfRule type="containsText" priority="6" operator="containsText" aboveAverage="0" equalAverage="0" bottom="0" percent="0" rank="0" text="Spell" dxfId="10">
      <formula>NOT(ISERROR(SEARCH("Spell",B1)))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3.4765625" defaultRowHeight="12.8" customHeight="true" zeroHeight="false" outlineLevelRow="0" outlineLevelCol="0"/>
  <sheetData>
    <row r="1" customFormat="false" ht="13.8" hidden="false" customHeight="false" outlineLevel="0" collapsed="false">
      <c r="A1" s="0" t="s">
        <v>95</v>
      </c>
      <c r="C1" s="0" t="n">
        <v>160</v>
      </c>
      <c r="D1" s="0" t="n">
        <v>0.32</v>
      </c>
      <c r="E1" s="0" t="s">
        <v>96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0" t="s">
        <v>97</v>
      </c>
      <c r="B3" s="0" t="n">
        <v>662</v>
      </c>
      <c r="C3" s="0" t="n">
        <v>614</v>
      </c>
      <c r="D3" s="0" t="n">
        <f aca="false">$D$1/$C$1*B3</f>
        <v>1.324</v>
      </c>
      <c r="E3" s="0" t="n">
        <f aca="false">$D$1/$C$1*C3</f>
        <v>1.228</v>
      </c>
      <c r="F3" s="0" t="str">
        <f aca="false">_xlfn.CONCAT(" ",D3,$E$1,E3,$E$1,"PB")</f>
        <v> 1.324, 1.228, PB</v>
      </c>
    </row>
    <row r="4" customFormat="false" ht="13.8" hidden="false" customHeight="false" outlineLevel="0" collapsed="false">
      <c r="A4" s="0" t="s">
        <v>98</v>
      </c>
      <c r="B4" s="0" t="n">
        <v>1186</v>
      </c>
      <c r="C4" s="0" t="n">
        <v>160</v>
      </c>
      <c r="D4" s="0" t="n">
        <f aca="false">$D$1/$C$1*B4</f>
        <v>2.372</v>
      </c>
      <c r="E4" s="0" t="n">
        <f aca="false">$D$1/$C$1*C4</f>
        <v>0.32</v>
      </c>
      <c r="F4" s="0" t="str">
        <f aca="false">_xlfn.CONCAT(D4,$E$1,E4,$E$1,"PB")</f>
        <v>2.372, 0.32, PB</v>
      </c>
    </row>
    <row r="5" customFormat="false" ht="13.8" hidden="false" customHeight="false" outlineLevel="0" collapsed="false">
      <c r="A5" s="0" t="s">
        <v>99</v>
      </c>
      <c r="B5" s="0" t="n">
        <v>400</v>
      </c>
      <c r="C5" s="0" t="n">
        <v>384</v>
      </c>
      <c r="D5" s="0" t="n">
        <f aca="false">$D$1/$C$1*B5</f>
        <v>0.8</v>
      </c>
      <c r="E5" s="0" t="n">
        <f aca="false">$D$1/$C$1*C5</f>
        <v>0.768</v>
      </c>
      <c r="F5" s="0" t="str">
        <f aca="false">_xlfn.CONCAT(D5,$E$1,E5,$E$1,"PB")</f>
        <v>0.8, 0.768, PB</v>
      </c>
    </row>
    <row r="6" customFormat="false" ht="13.8" hidden="false" customHeight="false" outlineLevel="0" collapsed="false">
      <c r="A6" s="0" t="s">
        <v>100</v>
      </c>
      <c r="B6" s="0" t="n">
        <v>138</v>
      </c>
      <c r="C6" s="0" t="n">
        <v>160</v>
      </c>
      <c r="D6" s="0" t="n">
        <f aca="false">$D$1/$C$1*B6</f>
        <v>0.276</v>
      </c>
      <c r="E6" s="0" t="n">
        <f aca="false">$D$1/$C$1*C6</f>
        <v>0.32</v>
      </c>
      <c r="F6" s="0" t="str">
        <f aca="false">_xlfn.CONCAT(D6,$E$1,E6,$E$1,"PB")</f>
        <v>0.276, 0.32, PB</v>
      </c>
    </row>
    <row r="7" customFormat="false" ht="13.8" hidden="false" customHeight="false" outlineLevel="0" collapsed="false">
      <c r="A7" s="0" t="s">
        <v>101</v>
      </c>
      <c r="B7" s="0" t="n">
        <v>269</v>
      </c>
      <c r="C7" s="0" t="n">
        <v>273</v>
      </c>
      <c r="D7" s="0" t="n">
        <f aca="false">$D$1/$C$1*B7</f>
        <v>0.538</v>
      </c>
      <c r="E7" s="0" t="n">
        <f aca="false">$D$1/$C$1*C7</f>
        <v>0.546</v>
      </c>
      <c r="F7" s="0" t="str">
        <f aca="false">_xlfn.CONCAT(D7,$E$1,E7,$E$1,"PB")</f>
        <v>0.538, 0.546, PB</v>
      </c>
    </row>
    <row r="8" customFormat="false" ht="13.8" hidden="false" customHeight="false" outlineLevel="0" collapsed="false">
      <c r="A8" s="0" t="s">
        <v>102</v>
      </c>
      <c r="B8" s="0" t="n">
        <v>400</v>
      </c>
      <c r="C8" s="0" t="n">
        <v>387</v>
      </c>
      <c r="D8" s="0" t="n">
        <f aca="false">$D$1/$C$1*B8</f>
        <v>0.8</v>
      </c>
      <c r="E8" s="0" t="n">
        <f aca="false">$D$1/$C$1*C8</f>
        <v>0.774</v>
      </c>
      <c r="F8" s="0" t="str">
        <f aca="false">_xlfn.CONCAT(D8,$E$1,E8,$E$1,"PB")</f>
        <v>0.8, 0.774, PB</v>
      </c>
    </row>
    <row r="9" customFormat="false" ht="13.8" hidden="false" customHeight="false" outlineLevel="0" collapsed="false">
      <c r="A9" s="0" t="s">
        <v>103</v>
      </c>
      <c r="B9" s="0" t="n">
        <v>662</v>
      </c>
      <c r="C9" s="0" t="n">
        <v>613</v>
      </c>
      <c r="D9" s="0" t="n">
        <f aca="false">$D$1/$C$1*B9</f>
        <v>1.324</v>
      </c>
      <c r="E9" s="0" t="n">
        <f aca="false">$D$1/$C$1*C9</f>
        <v>1.226</v>
      </c>
      <c r="F9" s="0" t="str">
        <f aca="false">_xlfn.CONCAT(D9,$E$1,E9,$E$1,"PB")</f>
        <v>1.324, 1.226, PB</v>
      </c>
    </row>
    <row r="10" customFormat="false" ht="13.8" hidden="false" customHeight="false" outlineLevel="0" collapsed="false">
      <c r="A10" s="0" t="s">
        <v>104</v>
      </c>
      <c r="B10" s="0" t="n">
        <v>513</v>
      </c>
      <c r="C10" s="0" t="n">
        <v>387</v>
      </c>
      <c r="D10" s="0" t="n">
        <f aca="false">$D$1/$C$1*B10</f>
        <v>1.026</v>
      </c>
      <c r="E10" s="0" t="n">
        <f aca="false">$D$1/$C$1*C10</f>
        <v>0.774</v>
      </c>
      <c r="F10" s="0" t="str">
        <f aca="false">_xlfn.CONCAT(D10,$E$1,E10,$E$1,"PB")</f>
        <v>1.026, 0.774, PB</v>
      </c>
    </row>
    <row r="11" customFormat="false" ht="13.8" hidden="false" customHeight="false" outlineLevel="0" collapsed="false">
      <c r="A11" s="0" t="s">
        <v>14</v>
      </c>
      <c r="B11" s="0" t="n">
        <v>267</v>
      </c>
      <c r="C11" s="0" t="n">
        <v>141</v>
      </c>
      <c r="D11" s="0" t="n">
        <f aca="false">$D$1/$C$1*B11*2</f>
        <v>1.068</v>
      </c>
      <c r="E11" s="0" t="n">
        <f aca="false">$D$1/$C$1*C11*2</f>
        <v>0.564</v>
      </c>
      <c r="F11" s="0" t="str">
        <f aca="false">_xlfn.CONCAT(D11,$E$1,E11,$E$1,"PB")</f>
        <v>1.068, 0.564, PB</v>
      </c>
    </row>
    <row r="12" customFormat="false" ht="13.8" hidden="false" customHeight="false" outlineLevel="0" collapsed="false">
      <c r="A12" s="0" t="s">
        <v>105</v>
      </c>
      <c r="B12" s="0" t="n">
        <v>662</v>
      </c>
      <c r="C12" s="0" t="n">
        <v>613</v>
      </c>
      <c r="D12" s="0" t="n">
        <f aca="false">$D$1/$C$1*B12</f>
        <v>1.324</v>
      </c>
      <c r="E12" s="0" t="n">
        <f aca="false">$D$1/$C$1*C12</f>
        <v>1.226</v>
      </c>
      <c r="F12" s="0" t="str">
        <f aca="false">_xlfn.CONCAT(D12,$E$1,E12,$E$1,"PB")</f>
        <v>1.324, 1.226, PB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2025-09-06T09:26:39Z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