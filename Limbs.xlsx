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Kage\Documents\GitHub\Sculpt\"/>
    </mc:Choice>
  </mc:AlternateContent>
  <xr:revisionPtr revIDLastSave="0" documentId="13_ncr:1_{19A06ADC-5CF1-4F89-9338-DA063114CD54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Sheet3" sheetId="1" r:id="rId1"/>
  </sheets>
  <definedNames>
    <definedName name="Break">#REF!</definedName>
    <definedName name="start">#REF!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J9" i="1" l="1"/>
  <c r="J50" i="1"/>
  <c r="J49" i="1"/>
  <c r="J48" i="1"/>
  <c r="J47" i="1"/>
  <c r="J46" i="1"/>
  <c r="J45" i="1"/>
  <c r="J44" i="1"/>
  <c r="J43" i="1"/>
  <c r="J42" i="1"/>
  <c r="J41" i="1"/>
  <c r="J40" i="1"/>
  <c r="J39" i="1"/>
  <c r="J38" i="1"/>
  <c r="J37" i="1"/>
  <c r="J36" i="1"/>
  <c r="J35" i="1"/>
  <c r="J34" i="1"/>
  <c r="J33" i="1"/>
  <c r="J32" i="1"/>
  <c r="J31" i="1"/>
  <c r="J30" i="1"/>
  <c r="J29" i="1"/>
  <c r="J28" i="1"/>
  <c r="J27" i="1"/>
  <c r="J26" i="1"/>
  <c r="J25" i="1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8" i="1"/>
  <c r="J7" i="1"/>
  <c r="J6" i="1"/>
  <c r="J5" i="1"/>
  <c r="J4" i="1"/>
  <c r="J3" i="1"/>
  <c r="J2" i="1"/>
</calcChain>
</file>

<file path=xl/sharedStrings.xml><?xml version="1.0" encoding="utf-8"?>
<sst xmlns="http://schemas.openxmlformats.org/spreadsheetml/2006/main" count="174" uniqueCount="129">
  <si>
    <t>Name</t>
  </si>
  <si>
    <t>Type</t>
  </si>
  <si>
    <t>SmallTextTag</t>
  </si>
  <si>
    <t>TopRightText</t>
  </si>
  <si>
    <t>Effect 1</t>
  </si>
  <si>
    <t>Effect 2</t>
  </si>
  <si>
    <t>Effect 3</t>
  </si>
  <si>
    <t>Effect 4</t>
  </si>
  <si>
    <t>Flavour Text</t>
  </si>
  <si>
    <t>Body HTML</t>
  </si>
  <si>
    <t>Baleful Eye</t>
  </si>
  <si>
    <t>Limb</t>
  </si>
  <si>
    <t>&lt;b&gt;Rancor: &lt;/b&gt;2 AP + weirdTJazzT&lt;br&gt;Mark a target as your hated target. You can only have one target at a time.</t>
  </si>
  <si>
    <t>Bladed Fingers</t>
  </si>
  <si>
    <t>&lt;i&gt;Melee Attack -&lt;/i&gt;&lt;b&gt; 1000 Cuts: &lt;/b&gt;2 AP&lt;br&gt;Damage = 3 , close range.&lt;br&gt;Critical options:&lt;br&gt;&lt;b&gt;Flurry:&lt;/b&gt;Your next attack costs 1 less AP.&lt;br&gt;&lt;b&gt;Strike:&lt;/b&gt; +1 Damage.</t>
  </si>
  <si>
    <t>&lt;p style="font-size:14px;"&gt;&lt;br&gt;</t>
  </si>
  <si>
    <t>&lt;p style="font-size:12px;"&gt;&lt;br&gt;</t>
  </si>
  <si>
    <t>Chalk Vein</t>
  </si>
  <si>
    <t>&lt;b&gt;Create Sigil: &lt;/b&gt;1 AP&lt;br&gt;Draw a sigil on an adjacent tile. You may have a maximum of 3 sigils. Creating more will destroy a sigil of your choice. Other players may spend 3AP to destroy an adjacent sigil</t>
  </si>
  <si>
    <t>&lt;b&gt;Siphon: &lt;/b&gt;2 AP + weirdT&lt;br&gt;If there are 3 sigils, deal a random wound to all creatures within the triangle of sigils (edges count). Heal a wound of your choice.</t>
  </si>
  <si>
    <t>Cicada Wings</t>
  </si>
  <si>
    <t>Clay Exuder</t>
  </si>
  <si>
    <t>&lt;b&gt;Coat in Clay: &lt;/b&gt;1 AP +  weirdT&lt;br&gt;A target gains up to 4 temporary composure and -2 speed until the end of their next turn.</t>
  </si>
  <si>
    <t>&lt;i&gt;Passive -&lt;b&gt; Spreading clay: &lt;/i&gt;&lt;/b&gt;&lt;br&gt;Whenever you spend weirdt, gain up to 1 temporary composure.</t>
  </si>
  <si>
    <t>Clayling</t>
  </si>
  <si>
    <t>Crackling Geode</t>
  </si>
  <si>
    <t xml:space="preserve"> &lt;span style="color:#27ae60"&gt;&lt;strong&gt;Jazz&lt;/strong&gt;&lt;/span&gt;</t>
  </si>
  <si>
    <t>Crystal of the Deep</t>
  </si>
  <si>
    <t>&lt;b&gt;Embed: &lt;/b&gt;weirdT&lt;br&gt;Place a 1 hex crystal on an adjacent hex. The crystal breaks if it takes damage.</t>
  </si>
  <si>
    <t>&lt;i&gt;Passive -&lt;b&gt; Radiance: &lt;/b&gt;&lt;/i&gt;&lt;br&gt;At the end of your turn, if you are adjacent to a crystal, choose one of the following status effects to gain:&lt;br&gt;&lt;b&gt;Monstrous, Well Rested, Imbued.</t>
  </si>
  <si>
    <t>&lt;span style="color:#e74c3c"&gt;&lt;strong&gt;Flesh&lt;/strong&gt;&lt;/span&gt;</t>
  </si>
  <si>
    <t>Doomtouch</t>
  </si>
  <si>
    <t>&lt;i&gt;Melee Attack -&lt;/i&gt;&lt;b&gt; Thwack: &lt;/b&gt;1 AP&lt;br&gt;Damage = 1 , close range.&lt;br&gt;Critical Options:&lt;br&gt;&lt;b&gt;Omen:&lt;/b&gt; Inflict the &lt;b&gt;Cursed&lt;/b&gt; status effect.</t>
  </si>
  <si>
    <t>&lt;span style="color:#3366cc"&gt;&lt;strong&gt;Weird&lt;/strong&gt;&lt;/span&gt;</t>
  </si>
  <si>
    <t>Enflamed Lash</t>
  </si>
  <si>
    <t>&lt;i&gt;Melee Attack -&lt;/i&gt; &lt;b&gt;Flay:&lt;/b&gt; 2 AP&lt;br&gt;Damage = 3 , close range.&lt;br&gt;Critical Options:&lt;br&gt;&lt;b&gt;Burn:&lt;/b&gt; Inflict the &lt;b&gt;Burning&lt;/b&gt; status effect.</t>
  </si>
  <si>
    <t>&lt;b&gt;Stoke the Flames:&lt;/b&gt; WeirdT&lt;br&gt;Your attacks this turn inflict the &lt;b&gt;Burning&lt;/b&gt; status effect on a hit and have + 1 range</t>
  </si>
  <si>
    <t>Granite Fists</t>
  </si>
  <si>
    <t>Grasp of Mud</t>
  </si>
  <si>
    <t>&lt;i&gt;Melee Attack - &lt;/i&gt;&lt;b&gt;Bludgeon:&lt;/b&gt; 3 AP&lt;br&gt;Damage = 6 , close range.</t>
  </si>
  <si>
    <t>Horns</t>
  </si>
  <si>
    <t>yes</t>
  </si>
  <si>
    <t>&lt;i&gt;Melee Attack -&lt;/i&gt;&lt;b&gt; Shove :&lt;/b&gt; 1 AP +fleshT&lt;br&gt;Damage = 2 , close range.&lt;br&gt;On a hit, the target is pushed back hexes equal to your &lt;span style="color:#e74c3c"&gt;&lt;strong&gt;Flesh&lt;/strong&gt;&lt;/span&gt;.</t>
  </si>
  <si>
    <t>Huge Pincer</t>
  </si>
  <si>
    <t>&lt;i&gt;Melee Attack -&lt;/i&gt;&lt;b&gt; Nip:&lt;/b&gt; 2 AP&lt;br&gt;Damage = &lt;span style="color:#e74c3c"&gt;&lt;strong&gt;Flesh&lt;/strong&gt;&lt;/span&gt; , close range.&lt;br&gt;Critical Option:&lt;br&gt;&lt;b&gt;Restrain: &lt;/b&gt;Inflict the &lt;b&gt;Entangled&lt;/b&gt; status effect.</t>
  </si>
  <si>
    <t>Hungering Hand</t>
  </si>
  <si>
    <t>&lt;i&gt;Ranged Attack -&lt;/i&gt;&lt;b&gt; Phage: &lt;/b&gt;2 AP&lt;br&gt;Damage = 7 &lt;br&gt;Throw this limb at your target as part of the attack, regardless of attack outcome, they now have Hungering Hand equipped .</t>
  </si>
  <si>
    <t>Lanceflower Bloom</t>
  </si>
  <si>
    <t>Lithium Geode</t>
  </si>
  <si>
    <t>ChargeBIGchargebigchargebig</t>
  </si>
  <si>
    <t>&lt;b&gt;Splinter Trail:&lt;/b&gt; 1 AP + (chargeT or weirdT)&lt;br&gt;For the rest of your turn, leave a conductive trail behind in any hex you move out of.</t>
  </si>
  <si>
    <t>&lt;b&gt;Electrify:&lt;/b&gt; 2 AP&lt;br&gt;Electrify an adjacent hex and all connected conductive hexes. All beings electrified take 3 damage. This damage cannot be reduced. Hexes with water are also conductive.</t>
  </si>
  <si>
    <t>Mandibles</t>
  </si>
  <si>
    <t>&lt;i&gt;Melee Attack -&lt;/i&gt;&lt;b&gt; Gnaw:&lt;/b&gt; 1 AP&lt;br&gt;Damage = 1 , close range.&lt;br&gt;This attack always hits, do not roll.</t>
  </si>
  <si>
    <t>il</t>
  </si>
  <si>
    <t>Mantid Scythe</t>
  </si>
  <si>
    <t>&lt;i&gt;Melee Attack -&lt;/i&gt;&lt;b&gt; Nasty Stab:&lt;/b&gt; 3 AP&lt;br&gt;Damage = 6 , close range.&lt;br&gt;Crit options:&lt;br&gt;&lt;b&gt;Armour Piercing:&lt;/b&gt; Ignore damage reduction effects.&lt;br&gt;&lt;b&gt;Strike:&lt;/b&gt; +1 damage.</t>
  </si>
  <si>
    <t>&lt;i&gt;Melee Attack - &lt;/i&gt;&lt;b&gt;Lance:&lt;/b&gt; 2 AP&lt;br&gt;Damage = 4 , reach.&lt;br&gt;Crit option:&lt;br&gt;&lt;b&gt;Dash&lt;/b&gt; Take a move action for free.</t>
  </si>
  <si>
    <t>Monolith of Pain</t>
  </si>
  <si>
    <t>&lt;i&gt;Reaction - &lt;/i&gt;&lt;b&gt;Salt in the wound:&lt;/b&gt; 1 AP or weirdT&lt;br&gt;Whenever an adjacent creature takes a wound, you may activate this and inflict the &lt;b&gt;Stunned&lt;/b&gt; status effect on them.</t>
  </si>
  <si>
    <t>&lt;i&gt;Passive - &lt;b&gt;Fueled by pain:&lt;/i&gt;&lt;/b&gt;&lt;br&gt;Whenever you take a wound, gain the &lt;b&gt;Well Rested&lt;/b&gt; status effect.</t>
  </si>
  <si>
    <t>Needle Mouthed</t>
  </si>
  <si>
    <t>&lt;i&gt;Melee Attack -&lt;/i&gt; &lt;b&gt;Nip: &lt;/b&gt;2 AP&lt;br&gt;Damage = 3 , close range.&lt;br&gt;Crit option:&lt;br&gt;&lt;b&gt;Strike:&lt;/b&gt; +1 damage.&lt;br&gt;</t>
  </si>
  <si>
    <t>&lt;i&gt;Passive - &lt;b&gt; Precise:&lt;/b&gt;&lt;/i&gt;&lt;br&gt;Wounds inflicted by this limb's attacks always target the stat of your choice.</t>
  </si>
  <si>
    <t>Noxious Trunk</t>
  </si>
  <si>
    <t>&lt;i&gt;Ranged Attack - &lt;/i&gt;&lt;b&gt;Corrosive spit: &lt;/b&gt;2 AP + weirdT&lt;br&gt;Damage = 4. &lt;br&gt;Ignores damage reduction effects.</t>
  </si>
  <si>
    <t>Painted Slab</t>
  </si>
  <si>
    <t>&lt;i&gt;Melee Attack -&lt;/i&gt;&lt;b&gt; Slam:&lt;/b&gt; 4 AP&lt;br&gt;Damage = 8, close range.&lt;br&gt;</t>
  </si>
  <si>
    <t>&lt;b&gt;Wall of Splendor: &lt;/b&gt;1 AP&lt;br&gt;Place the slab down on an adjacent hex, it extends straight on each side to become a three hex wall, if there is space. This wall blocks vision and is indestructable.</t>
  </si>
  <si>
    <t>&lt;b&gt;Reclaim: &lt;/b&gt;3 AP or fleshtfleshtfleshT&lt;br&gt;Pick up a deployed painted slab, any adjacent being can do this.</t>
  </si>
  <si>
    <t>Projectile Spines</t>
  </si>
  <si>
    <t>&lt;i&gt;Ranged Attack -&lt;/i&gt;&lt;b&gt; Fling:&lt;/b&gt; 2 AP&lt;br&gt;Damage = 4. &lt;br&gt;You take 1 damage when you use this attack.</t>
  </si>
  <si>
    <t>Pulsing Heartstone</t>
  </si>
  <si>
    <t>&lt;b&gt;Embed:&lt;/b&gt; weirdt&lt;br&gt;Place a 1 hex sized heartstone on an adjacent hex. It will break if it takes damage.</t>
  </si>
  <si>
    <t>&lt;i&gt;Passive - &lt;b&gt; Living Rythm:&lt;/i&gt;&lt;/b&gt;&lt;br&gt;While there is at least 1 heartstone on the map, you gain up to 3 temporary composure at the end of your turn.</t>
  </si>
  <si>
    <t>Rock Pouch</t>
  </si>
  <si>
    <t>chargebigchargebig</t>
  </si>
  <si>
    <t>&lt;i&gt;Ranged Attack - &lt;/i&gt;&lt;b&gt;Throw: &lt;/b&gt;1 AP + charget&lt;br&gt;Damage = &lt;span style="color:#e74c3c"&gt;&lt;strong&gt;Flesh&lt;/strong&gt;&lt;/span&gt;.</t>
  </si>
  <si>
    <t>&lt;b&gt;Rummage:&lt;/b&gt; 3 AP + fleshT&lt;br&gt;Recharge this item.</t>
  </si>
  <si>
    <t>Shovelling talons</t>
  </si>
  <si>
    <t>&lt;i&gt;Melee Attack -&lt;/i&gt; &lt;b&gt;Thump: &lt;/b&gt;2 AP&lt;br&gt;Damage =4, close range.&lt;br&gt;Crit Option:&lt;br&gt;&lt;b&gt;Concuss:&lt;/b&gt; Inflict the &lt;b&gt;Stunned&lt;/b&gt; status effect.</t>
  </si>
  <si>
    <t>&lt;b&gt;Dig:&lt;/b&gt; 1 AP or fleshT&lt;br&gt;Clear an adjacent hex of any player generated terrain features.</t>
  </si>
  <si>
    <t>Sineuous Lash</t>
  </si>
  <si>
    <t>&lt;i&gt;Ranged Attack&lt;/i&gt; -&lt;b&gt; Yoink:&lt;/b&gt; 1 AP&lt;br&gt;Damage = 0.&lt;br&gt;Pull the target to an adjacent hex on a hit&lt;br&gt;Crit Option:&lt;br&gt;&lt;b&gt;Entangle:&lt;/b&gt; Inflict the &lt;b&gt;Entangled&lt;/b&gt; status effect.</t>
  </si>
  <si>
    <t>Slime Shooter</t>
  </si>
  <si>
    <t>&lt;i&gt;Melee Attack -&lt;/i&gt;&lt;b&gt; Slime Glob: &lt;/b&gt;2 AP&lt;br&gt;Damage = 2, reach.&lt;br&gt;Inflicts the &lt;b&gt;Entangled&lt;/b&gt; status effect on a hit.</t>
  </si>
  <si>
    <t>&lt;i&gt;Passive - &lt;b&gt; Secretions:&lt;/i&gt;&lt;/b&gt;&lt;br&gt;When you take a move action, you may spend weirdt to leave a trail of goo in all hexes moved out of. Moving through this goo costs 2 hexes of movement per hex.</t>
  </si>
  <si>
    <t>Stalagmite</t>
  </si>
  <si>
    <t>Storm Conduit</t>
  </si>
  <si>
    <t>Thrumming Moonstone</t>
  </si>
  <si>
    <t>Venemous Tail</t>
  </si>
  <si>
    <t>Willow Parasite</t>
  </si>
  <si>
    <t>Cloven Hoof</t>
  </si>
  <si>
    <t>Dolem Piston</t>
  </si>
  <si>
    <t>Explosive Polyps</t>
  </si>
  <si>
    <t>Hammer and Chisel</t>
  </si>
  <si>
    <t>Locked Screen Mouth</t>
  </si>
  <si>
    <t>Oversized Claw</t>
  </si>
  <si>
    <t>Quartz Seed</t>
  </si>
  <si>
    <t>Sneak Spurs</t>
  </si>
  <si>
    <t>Steam Vent</t>
  </si>
  <si>
    <t>Stone-Swivel Hinge</t>
  </si>
  <si>
    <t>Thermal Funnel</t>
  </si>
  <si>
    <t>Torsion Ribs</t>
  </si>
  <si>
    <t>Twitching Talons</t>
  </si>
  <si>
    <t>Withered Hand</t>
  </si>
  <si>
    <t>Explosive Lesion</t>
  </si>
  <si>
    <t>&lt;i&gt;Ranged Attack -&lt;/i&gt;&lt;b&gt; Scorn:&lt;/b&gt; 2 AP&lt;br&gt;Damage = 4&lt;br&gt;This attack can only target your hated target.&lt;br&gt;Critical options:&lt;br&gt;&lt;b&gt;Omen:&lt;/b&gt; inflict the &lt;b&gt;Cursed&lt;/b&gt; status effect</t>
  </si>
  <si>
    <t>&lt;b&gt;Fly: &lt;/b&gt;2 AP or  weirdT&lt;br&gt;Make a move action with + 1 speed, ignore terrain during this move (within reason).</t>
  </si>
  <si>
    <t>&lt;b&gt;Chirp Tune: &lt;/b&gt;3 AP&lt;br&gt;You and any number of target allies each gain up to 3 temporary composure.</t>
  </si>
  <si>
    <t>&lt;i&gt;Passive -&lt;b&gt; Autonomous Limb: &lt;/i&gt;&lt;/b&gt;&lt;br&gt;At the end of your turn, this limb uses &lt;b&gt;Flail&lt;/b&gt; for free, it will target you if there are no other targets available.&lt;br&gt;Melee Attack - &lt;b&gt;Flail:&lt;br&gt;&lt;/b&gt;Damage = 4, close range.</t>
  </si>
  <si>
    <t>&lt;i&gt;Melee Attack -&lt;/i&gt;&lt;b&gt; Back-kick: &lt;/b&gt;2 AP&lt;br&gt;Damage = 4 , close range.&lt;br&gt;</t>
  </si>
  <si>
    <t>Critical options:&lt;br&gt;&lt;b&gt;Dash:&lt;/b&gt; Take a move action.&lt;br&gt;&lt;b&gt;Mighty Shove:&lt;/b&gt; Push the target 2 hexes.</t>
  </si>
  <si>
    <t>&lt;i&gt;Melee Attack -&lt;/i&gt;&lt;b&gt; Shock: &lt;/b&gt;2 AP&lt;br&gt;Damage = 1 , reach.&lt;br&gt;This damage cannot be reduced.</t>
  </si>
  <si>
    <t>&lt;i&gt;Melee Attack -&lt;/i&gt;&lt;b&gt; Smash: &lt;/b&gt;2 AP + 3 Composure&lt;br&gt;Damage = 5 , close range.&lt;br&gt;</t>
  </si>
  <si>
    <t>&lt;b&gt;Drive-Power: &lt;/b&gt;weirdt&lt;br&gt;Add +1 damage and +1 range to attacks this turn, use only once each turn.</t>
  </si>
  <si>
    <t>&lt;b&gt;Smear:&lt;/b&gt; 2 AP + weirdT weirdT&lt;br&gt;Inflict the &lt;b&gt;Cursed&lt;/b&gt; status effect on a target in close range.</t>
  </si>
  <si>
    <t>&lt;i&gt;Reaction - &lt;/i&gt;&lt;b&gt;Burst Block: &lt;/b&gt;&lt;br&gt;Destroy this card to completely block an incoming attack and deal 5 damage to all adjacent beings.</t>
  </si>
  <si>
    <t>&lt;b&gt;Lay Egg:&lt;/b&gt; 1 AP + (chargeT or  weirdT)&lt;br&gt;Place an explosive egg on an adjacent hex.</t>
  </si>
  <si>
    <t>&lt;i&gt;Reaction - &lt;/i&gt;&lt;b&gt;Detonate:&lt;/b&gt; 1 AP&lt;br&gt;All eggs on the map explode, adjacent beings take 5 damage and terrain is destroyed, including walls.</t>
  </si>
  <si>
    <t>&lt;i&gt;Melee Attack - &lt;/i&gt;&lt;b&gt;Whelm:&lt;/b&gt; 1 AP + weirdT&lt;br&gt;Damage = 3 , close range.&lt;br&gt;Inflicts the &lt;b&gt;Entangled&lt;/b&gt; status effect on a hit.</t>
  </si>
  <si>
    <t>&lt;i&gt;Passive -&lt;b&gt; Sparks: &lt;/i&gt;&lt;/b&gt;Whenever you spend weirdt, deal 1 damage to any target. This damage cannot be reduced.</t>
  </si>
  <si>
    <t>&lt;i&gt;Melee Attack - &lt;/i&gt;&lt;b&gt;Vandalise:&lt;/b&gt; 2 AP&lt;br&gt;Damage = 2 , close range.&lt;br&gt;On a hit, you may destroy this card to destroy any equipped Limb or Impression from the target.</t>
  </si>
  <si>
    <t>chargeBIG chargeBIG</t>
  </si>
  <si>
    <t>&lt;i&gt;Melee Attack - &lt;/i&gt;&lt;b&gt;Crush:&lt;/b&gt; 4 AP or (2 AP + fleshT fleshT)&lt;br&gt;Damage = 8 , close range.&lt;br&gt;Critical Options:&lt;b&gt;&lt;br&gt;Concuss:&lt;/b&gt; Inflict the &lt;b&gt;Stunned&lt;/b&gt; status effect.</t>
  </si>
  <si>
    <t>&lt;i&gt;Melee Attack -&lt;/i&gt;&lt;b&gt; Charge!:&lt;/b&gt; 2 AP&lt;br&gt;Damage = hexes moved , close range.&lt;br&gt;You may move any number of hexes in a straight line as part of making the attack. &lt;br&gt;hornshexes</t>
  </si>
  <si>
    <t>&lt;i&gt;Melee Attack -&lt;/i&gt;&lt;b&gt; Bite:&lt;/b&gt; 2 AP&lt;br&gt;Damage = 4 , close range.&lt;br&gt;</t>
  </si>
  <si>
    <t>&lt;i&gt;Melee Attack - &lt;/i&gt;&lt;b&gt;Impale: &lt;/b&gt;2 AP&lt;br&gt;Damage = 4 , reach.</t>
  </si>
  <si>
    <t>&lt;i&gt;Reaction - &lt;/i&gt;&lt;b&gt;Bloom: &lt;/b&gt; WeirdT + &lt;b&gt;exhausted&lt;/b&gt; &lt;br&gt;Destroy this card to completely block an incoming attack.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</si>
</sst>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charset val="1"/>
    </font>
    <font>
      <sz val="11"/>
      <color rgb="FF000000"/>
      <name val="Calibri"/>
      <family val="2"/>
      <charset val="1"/>
    </font>
    <font>
      <sz val="10"/>
      <color rgb="FF000000"/>
      <name val="Arial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theme="4"/>
        <bgColor rgb="FF008080"/>
      </patternFill>
    </fill>
    <fill>
      <patternFill patternType="solid">
        <fgColor theme="4" tint="0.79989013336588644"/>
        <bgColor rgb="FFCCFFFF"/>
      </patternFill>
    </fill>
    <fill>
      <patternFill patternType="solid">
        <fgColor theme="0"/>
        <bgColor rgb="FF969696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theme="4" tint="0.39988402966399123"/>
      </top>
      <bottom style="thin">
        <color theme="4" tint="0.39988402966399123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wrapText="1"/>
    </xf>
    <xf numFmtId="0" fontId="1" fillId="2" borderId="2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wrapText="1" readingOrder="1"/>
    </xf>
    <xf numFmtId="0" fontId="0" fillId="3" borderId="3" xfId="0" applyFill="1" applyBorder="1" applyAlignment="1">
      <alignment horizontal="left" vertical="top" wrapText="1" readingOrder="1"/>
    </xf>
    <xf numFmtId="0" fontId="0" fillId="0" borderId="1" xfId="0" applyBorder="1"/>
    <xf numFmtId="0" fontId="0" fillId="0" borderId="0" xfId="0" applyAlignment="1">
      <alignment horizontal="left" wrapText="1" readingOrder="1"/>
    </xf>
    <xf numFmtId="0" fontId="0" fillId="4" borderId="1" xfId="0" applyFill="1" applyBorder="1" applyAlignment="1">
      <alignment horizontal="left" wrapText="1" readingOrder="1"/>
    </xf>
  </cellXfs>
  <cellStyles count="1">
    <cellStyle name="Normal" xfId="0" builtinId="0"/>
  </cellStyles>
  <dxfs count="5">
    <dxf>
      <fill>
        <patternFill>
          <bgColor rgb="FFB4C6E7"/>
        </patternFill>
      </fill>
    </dxf>
    <dxf>
      <fill>
        <patternFill>
          <bgColor rgb="FFC6E0B4"/>
        </patternFill>
      </fill>
    </dxf>
    <dxf>
      <fill>
        <patternFill>
          <bgColor rgb="FFF8CBAD"/>
        </patternFill>
      </fill>
    </dxf>
    <dxf>
      <fill>
        <patternFill>
          <bgColor rgb="FFFFE699"/>
        </patternFill>
      </fill>
    </dxf>
    <dxf>
      <fill>
        <patternFill>
          <bgColor rgb="FFF6B0DD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56082"/>
      <rgbColor rgb="FFB4C6E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1E5F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0B4"/>
      <rgbColor rgb="FFFFE699"/>
      <rgbColor rgb="FF99CCFF"/>
      <rgbColor rgb="FFF6B0DD"/>
      <rgbColor rgb="FFCC99FF"/>
      <rgbColor rgb="FFF8CBAD"/>
      <rgbColor rgb="FF3366FF"/>
      <rgbColor rgb="FF46B1E1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3" displayName="Table3" ref="A1:J54" totalsRowShown="0">
  <autoFilter ref="A1:J54" xr:uid="{00000000-0009-0000-0100-000001000000}"/>
  <sortState xmlns:xlrd2="http://schemas.microsoft.com/office/spreadsheetml/2017/richdata2" ref="A2:J54">
    <sortCondition ref="A1:A54"/>
  </sortState>
  <tableColumns count="10">
    <tableColumn id="1" xr3:uid="{00000000-0010-0000-0000-000001000000}" name="Name"/>
    <tableColumn id="2" xr3:uid="{00000000-0010-0000-0000-000002000000}" name="Type"/>
    <tableColumn id="3" xr3:uid="{00000000-0010-0000-0000-000003000000}" name="SmallTextTag"/>
    <tableColumn id="4" xr3:uid="{00000000-0010-0000-0000-000004000000}" name="TopRightText"/>
    <tableColumn id="5" xr3:uid="{00000000-0010-0000-0000-000005000000}" name="Effect 1"/>
    <tableColumn id="6" xr3:uid="{00000000-0010-0000-0000-000006000000}" name="Effect 2"/>
    <tableColumn id="7" xr3:uid="{00000000-0010-0000-0000-000007000000}" name="Effect 3"/>
    <tableColumn id="8" xr3:uid="{00000000-0010-0000-0000-000008000000}" name="Effect 4"/>
    <tableColumn id="9" xr3:uid="{00000000-0010-0000-0000-000009000000}" name="Flavour Text"/>
    <tableColumn id="10" xr3:uid="{00000000-0010-0000-0000-00000A000000}" name="Body HTML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</a:majorFont>
      <a:minorFont>
        <a:latin typeface="Aptos Narrow" panose="0211000402020202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2"/>
  <sheetViews>
    <sheetView tabSelected="1" topLeftCell="A20" zoomScaleNormal="100" workbookViewId="0">
      <selection activeCell="G22" sqref="G22"/>
    </sheetView>
  </sheetViews>
  <sheetFormatPr defaultColWidth="8.5703125" defaultRowHeight="15" customHeight="1" x14ac:dyDescent="0.25"/>
  <cols>
    <col min="1" max="3" width="11" customWidth="1"/>
    <col min="4" max="4" width="25.7109375" customWidth="1"/>
    <col min="5" max="5" width="28.140625" customWidth="1"/>
    <col min="6" max="6" width="25.42578125" customWidth="1"/>
    <col min="7" max="7" width="19.85546875" customWidth="1"/>
    <col min="8" max="8" width="11" customWidth="1"/>
    <col min="9" max="9" width="11.140625" customWidth="1"/>
    <col min="10" max="10" width="54.7109375" customWidth="1"/>
    <col min="11" max="11" width="18.28515625" customWidth="1"/>
  </cols>
  <sheetData>
    <row r="1" spans="1:14" ht="30" x14ac:dyDescent="0.25">
      <c r="A1" s="1" t="s">
        <v>0</v>
      </c>
      <c r="B1" s="2" t="s">
        <v>1</v>
      </c>
      <c r="C1" s="2" t="s">
        <v>2</v>
      </c>
      <c r="D1" s="1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5" t="s">
        <v>9</v>
      </c>
    </row>
    <row r="2" spans="1:14" ht="120" x14ac:dyDescent="0.25">
      <c r="A2" s="6" t="s">
        <v>10</v>
      </c>
      <c r="B2" s="6" t="s">
        <v>11</v>
      </c>
      <c r="C2" s="6"/>
      <c r="D2" s="6"/>
      <c r="E2" s="6" t="s">
        <v>12</v>
      </c>
      <c r="F2" s="6" t="s">
        <v>107</v>
      </c>
      <c r="G2" s="6"/>
      <c r="H2" s="6"/>
      <c r="I2" s="6"/>
      <c r="J2" s="7" t="str">
        <f>IF(C2="yes",_xlfn.CONCAT($N$3,E2,IF(F2="","","&lt;img src=images\inline\linebrk.png&gt;"),F2,IF(G2="","","&lt;img src=images\inline\linebrk.png&gt;"),G2,IF(H2="","","&lt;img src=images\inline\linebrk.png&gt;"),H2,),_xlfn.CONCAT($M$3,E2,IF(F2="","","&lt;img src=images\inline\linebrk.png&gt;"),F2,IF(G2="","","&lt;img src=images\inline\linebrk.png&gt;"),G2,IF(H2="","","&lt;img src=images\inline\linebrk.png&gt;"),H2,))</f>
        <v>&lt;p style="font-size:14px;"&gt;&lt;br&gt;&lt;b&gt;Rancor: &lt;/b&gt;2 AP + weirdTJazzT&lt;br&gt;Mark a target as your hated target. You can only have one target at a time.&lt;img src=images\inline\linebrk.png&gt;&lt;i&gt;Ranged Attack -&lt;/i&gt;&lt;b&gt; Scorn:&lt;/b&gt; 2 AP&lt;br&gt;Damage = 4&lt;br&gt;This attack can only target your hated target.&lt;br&gt;Critical options:&lt;br&gt;&lt;b&gt;Omen:&lt;/b&gt; inflict the &lt;b&gt;Cursed&lt;/b&gt; status effect</v>
      </c>
    </row>
    <row r="3" spans="1:14" ht="105" x14ac:dyDescent="0.25">
      <c r="A3" s="6" t="s">
        <v>13</v>
      </c>
      <c r="B3" s="6" t="s">
        <v>11</v>
      </c>
      <c r="C3" s="6"/>
      <c r="D3" s="6"/>
      <c r="E3" s="6" t="s">
        <v>14</v>
      </c>
      <c r="F3" s="6"/>
      <c r="G3" s="6"/>
      <c r="H3" s="6"/>
      <c r="I3" s="6"/>
      <c r="J3" s="7" t="str">
        <f>IF(C3="yes",_xlfn.CONCAT($N$3,E3,IF(F3="","","&lt;img src=images\inline\linebrk.png&gt;"),F3,IF(G3="","","&lt;img src=images\inline\linebrk.png&gt;"),G3,IF(H3="","","&lt;img src=images\inline\linebrk.png&gt;"),H3,),_xlfn.CONCAT($M$3,E3,IF(F3="","","&lt;img src=images\inline\linebrk.png&gt;"),F3,IF(G3="","","&lt;img src=images\inline\linebrk.png&gt;"),G3,IF(H3="","","&lt;img src=images\inline\linebrk.png&gt;"),H3,))</f>
        <v>&lt;p style="font-size:14px;"&gt;&lt;br&gt;&lt;i&gt;Melee Attack -&lt;/i&gt;&lt;b&gt; 1000 Cuts: &lt;/b&gt;2 AP&lt;br&gt;Damage = 3 , close range.&lt;br&gt;Critical options:&lt;br&gt;&lt;b&gt;Flurry:&lt;/b&gt;Your next attack costs 1 less AP.&lt;br&gt;&lt;b&gt;Strike:&lt;/b&gt; +1 Damage.</v>
      </c>
      <c r="M3" t="s">
        <v>15</v>
      </c>
      <c r="N3" t="s">
        <v>16</v>
      </c>
    </row>
    <row r="4" spans="1:14" ht="120" x14ac:dyDescent="0.25">
      <c r="A4" s="6" t="s">
        <v>17</v>
      </c>
      <c r="B4" s="6" t="s">
        <v>11</v>
      </c>
      <c r="C4" s="6"/>
      <c r="D4" s="6"/>
      <c r="E4" s="6" t="s">
        <v>18</v>
      </c>
      <c r="F4" s="6" t="s">
        <v>19</v>
      </c>
      <c r="G4" s="6"/>
      <c r="H4" s="6"/>
      <c r="I4" s="6"/>
      <c r="J4" s="7" t="str">
        <f>IF(C4="yes",_xlfn.CONCAT($N$3,E4,IF(F4="","","&lt;img src=images\inline\linebrk.png&gt;"),F4,IF(G4="","","&lt;img src=images\inline\linebrk.png&gt;"),G4,IF(H4="","","&lt;img src=images\inline\linebrk.png&gt;"),H4,),_xlfn.CONCAT($M$3,E4,IF(F4="","","&lt;img src=images\inline\linebrk.png&gt;"),F4,IF(G4="","","&lt;img src=images\inline\linebrk.png&gt;"),G4,IF(H4="","","&lt;img src=images\inline\linebrk.png&gt;"),H4,))</f>
        <v>&lt;p style="font-size:14px;"&gt;&lt;br&gt;&lt;b&gt;Create Sigil: &lt;/b&gt;1 AP&lt;br&gt;Draw a sigil on an adjacent tile. You may have a maximum of 3 sigils. Creating more will destroy a sigil of your choice. Other players may spend 3AP to destroy an adjacent sigil&lt;img src=images\inline\linebrk.png&gt;&lt;b&gt;Siphon: &lt;/b&gt;2 AP + weirdT&lt;br&gt;If there are 3 sigils, deal a random wound to all creatures within the triangle of sigils (edges count). Heal a wound of your choice.</v>
      </c>
    </row>
    <row r="5" spans="1:14" ht="90" x14ac:dyDescent="0.25">
      <c r="A5" s="6" t="s">
        <v>20</v>
      </c>
      <c r="B5" s="6" t="s">
        <v>11</v>
      </c>
      <c r="C5" s="6"/>
      <c r="D5" s="6"/>
      <c r="E5" s="6" t="s">
        <v>108</v>
      </c>
      <c r="F5" s="6" t="s">
        <v>109</v>
      </c>
      <c r="G5" s="6"/>
      <c r="H5" s="6"/>
      <c r="I5" s="6"/>
      <c r="J5" s="7" t="str">
        <f>IF(C5="yes",_xlfn.CONCAT($N$3,E5,IF(F5="","","&lt;img src=images\inline\linebrk.png&gt;"),F5,IF(G5="","","&lt;img src=images\inline\linebrk.png&gt;"),G5,IF(H5="","","&lt;img src=images\inline\linebrk.png&gt;"),H5,),_xlfn.CONCAT($M$3,E5,IF(F5="","","&lt;img src=images\inline\linebrk.png&gt;"),F5,IF(G5="","","&lt;img src=images\inline\linebrk.png&gt;"),G5,IF(H5="","","&lt;img src=images\inline\linebrk.png&gt;"),H5,))</f>
        <v>&lt;p style="font-size:14px;"&gt;&lt;br&gt;&lt;b&gt;Fly: &lt;/b&gt;2 AP or  weirdT&lt;br&gt;Make a move action with + 1 speed, ignore terrain during this move (within reason).&lt;img src=images\inline\linebrk.png&gt;&lt;b&gt;Chirp Tune: &lt;/b&gt;3 AP&lt;br&gt;You and any number of target allies each gain up to 3 temporary composure.</v>
      </c>
    </row>
    <row r="6" spans="1:14" ht="90" x14ac:dyDescent="0.25">
      <c r="A6" s="6" t="s">
        <v>21</v>
      </c>
      <c r="B6" s="6" t="s">
        <v>11</v>
      </c>
      <c r="C6" s="6"/>
      <c r="D6" s="6"/>
      <c r="E6" s="6" t="s">
        <v>22</v>
      </c>
      <c r="F6" s="6" t="s">
        <v>23</v>
      </c>
      <c r="G6" s="6"/>
      <c r="H6" s="6"/>
      <c r="I6" s="6"/>
      <c r="J6" s="7" t="str">
        <f>IF(C6="yes",_xlfn.CONCAT($N$3,E6,IF(F6="","","&lt;img src=images\inline\linebrk.png&gt;"),F6,IF(G6="","","&lt;img src=images\inline\linebrk.png&gt;"),G6,IF(H6="","","&lt;img src=images\inline\linebrk.png&gt;"),H6,),_xlfn.CONCAT($M$3,E6,IF(F6="","","&lt;img src=images\inline\linebrk.png&gt;"),F6,IF(G6="","","&lt;img src=images\inline\linebrk.png&gt;"),G6,IF(H6="","","&lt;img src=images\inline\linebrk.png&gt;"),H6,))</f>
        <v>&lt;p style="font-size:14px;"&gt;&lt;br&gt;&lt;b&gt;Coat in Clay: &lt;/b&gt;1 AP +  weirdT&lt;br&gt;A target gains up to 4 temporary composure and -2 speed until the end of their next turn.&lt;img src=images\inline\linebrk.png&gt;&lt;i&gt;Passive -&lt;b&gt; Spreading clay: &lt;/i&gt;&lt;/b&gt;&lt;br&gt;Whenever you spend weirdt, gain up to 1 temporary composure.</v>
      </c>
    </row>
    <row r="7" spans="1:14" ht="135" x14ac:dyDescent="0.25">
      <c r="A7" s="6" t="s">
        <v>24</v>
      </c>
      <c r="B7" s="6" t="s">
        <v>11</v>
      </c>
      <c r="C7" s="6"/>
      <c r="D7" s="6"/>
      <c r="E7" s="6" t="s">
        <v>110</v>
      </c>
      <c r="F7" s="6"/>
      <c r="G7" s="6"/>
      <c r="H7" s="6"/>
      <c r="I7" s="6"/>
      <c r="J7" s="7" t="str">
        <f>IF(C7="yes",_xlfn.CONCAT($N$3,E7,IF(F7="","","&lt;img src=images\inline\linebrk.png&gt;"),F7,IF(G7="","","&lt;img src=images\inline\linebrk.png&gt;"),G7,IF(H7="","","&lt;img src=images\inline\linebrk.png&gt;"),H7,),_xlfn.CONCAT($M$3,E7,IF(F7="","","&lt;img src=images\inline\linebrk.png&gt;"),F7,IF(G7="","","&lt;img src=images\inline\linebrk.png&gt;"),G7,IF(H7="","","&lt;img src=images\inline\linebrk.png&gt;"),H7,))</f>
        <v>&lt;p style="font-size:14px;"&gt;&lt;br&gt;&lt;i&gt;Passive -&lt;b&gt; Autonomous Limb: &lt;/i&gt;&lt;/b&gt;&lt;br&gt;At the end of your turn, this limb uses &lt;b&gt;Flail&lt;/b&gt; for free, it will target you if there are no other targets available.&lt;br&gt;Melee Attack - &lt;b&gt;Flail:&lt;br&gt;&lt;/b&gt;Damage = 4, close range.</v>
      </c>
      <c r="K7" t="s">
        <v>26</v>
      </c>
    </row>
    <row r="8" spans="1:14" ht="90" x14ac:dyDescent="0.25">
      <c r="A8" s="6" t="s">
        <v>92</v>
      </c>
      <c r="B8" s="6" t="s">
        <v>11</v>
      </c>
      <c r="C8" s="6"/>
      <c r="D8" s="6"/>
      <c r="E8" s="6" t="s">
        <v>111</v>
      </c>
      <c r="F8" s="6"/>
      <c r="G8" s="6" t="s">
        <v>112</v>
      </c>
      <c r="H8" s="6"/>
      <c r="I8" s="6"/>
      <c r="J8" s="7" t="str">
        <f>IF(C8="yes",_xlfn.CONCAT($N$3,E8,IF(F8="","","&lt;img src=images\inline\linebrk.png&gt;"),F8,IF(G8="","","&lt;img src=images\inline\linebrk.png&gt;"),G8,IF(H8="","","&lt;img src=images\inline\linebrk.png&gt;"),H8,),_xlfn.CONCAT($M$3,E8,IF(F8="","","&lt;img src=images\inline\linebrk.png&gt;"),F8,IF(G8="","","&lt;img src=images\inline\linebrk.png&gt;"),G8,IF(H8="","","&lt;img src=images\inline\linebrk.png&gt;"),H8,))</f>
        <v>&lt;p style="font-size:14px;"&gt;&lt;br&gt;&lt;i&gt;Melee Attack -&lt;/i&gt;&lt;b&gt; Back-kick: &lt;/b&gt;2 AP&lt;br&gt;Damage = 4 , close range.&lt;br&gt;&lt;img src=images\inline\linebrk.png&gt;Critical options:&lt;br&gt;&lt;b&gt;Dash:&lt;/b&gt; Take a move action.&lt;br&gt;&lt;b&gt;Mighty Shove:&lt;/b&gt; Push the target 2 hexes.</v>
      </c>
      <c r="K8" t="s">
        <v>30</v>
      </c>
    </row>
    <row r="9" spans="1:14" ht="90" x14ac:dyDescent="0.25">
      <c r="A9" s="6" t="s">
        <v>25</v>
      </c>
      <c r="B9" s="6" t="s">
        <v>11</v>
      </c>
      <c r="C9" s="6"/>
      <c r="D9" s="6"/>
      <c r="E9" t="s">
        <v>113</v>
      </c>
      <c r="F9" s="6" t="s">
        <v>121</v>
      </c>
      <c r="G9" s="6"/>
      <c r="H9" s="6"/>
      <c r="I9" s="6"/>
      <c r="J9" s="7" t="str">
        <f>IF(C9="yes",_xlfn.CONCAT($N$3,E9,IF(F9="","","&lt;img src=images\inline\linebrk.png&gt;"),F9,IF(G9="","","&lt;img src=images\inline\linebrk.png&gt;"),G9,IF(H9="","","&lt;img src=images\inline\linebrk.png&gt;"),H9,),_xlfn.CONCAT($M$3,E9,IF(F9="","","&lt;img src=images\inline\linebrk.png&gt;"),F9,IF(G9="","","&lt;img src=images\inline\linebrk.png&gt;"),G9,IF(H9="","","&lt;img src=images\inline\linebrk.png&gt;"),H9,))</f>
        <v>&lt;p style="font-size:14px;"&gt;&lt;br&gt;&lt;i&gt;Melee Attack -&lt;/i&gt;&lt;b&gt; Shock: &lt;/b&gt;2 AP&lt;br&gt;Damage = 1 , reach.&lt;br&gt;This damage cannot be reduced.&lt;img src=images\inline\linebrk.png&gt;&lt;i&gt;Passive -&lt;b&gt; Sparks: &lt;/i&gt;&lt;/b&gt;Whenever you spend weirdt, deal 1 damage to any target. This damage cannot be reduced.</v>
      </c>
      <c r="K9" t="s">
        <v>33</v>
      </c>
    </row>
    <row r="10" spans="1:14" ht="120" x14ac:dyDescent="0.25">
      <c r="A10" s="6" t="s">
        <v>27</v>
      </c>
      <c r="B10" s="6" t="s">
        <v>11</v>
      </c>
      <c r="C10" s="6"/>
      <c r="D10" s="6"/>
      <c r="E10" s="6" t="s">
        <v>28</v>
      </c>
      <c r="F10" s="6" t="s">
        <v>29</v>
      </c>
      <c r="G10" s="6"/>
      <c r="H10" s="6"/>
      <c r="I10" s="6"/>
      <c r="J10" s="7" t="str">
        <f>IF(C10="yes",_xlfn.CONCAT($N$3,E10,IF(F10="","","&lt;img src=images\inline\linebrk.png&gt;"),F10,IF(G10="","","&lt;img src=images\inline\linebrk.png&gt;"),G10,IF(H10="","","&lt;img src=images\inline\linebrk.png&gt;"),H10,),_xlfn.CONCAT($M$3,E10,IF(F10="","","&lt;img src=images\inline\linebrk.png&gt;"),F10,IF(G10="","","&lt;img src=images\inline\linebrk.png&gt;"),G10,IF(H10="","","&lt;img src=images\inline\linebrk.png&gt;"),H10,))</f>
        <v>&lt;p style="font-size:14px;"&gt;&lt;br&gt;&lt;b&gt;Embed: &lt;/b&gt;weirdT&lt;br&gt;Place a 1 hex crystal on an adjacent hex. The crystal breaks if it takes damage.&lt;img src=images\inline\linebrk.png&gt;&lt;i&gt;Passive -&lt;b&gt; Radiance: &lt;/b&gt;&lt;/i&gt;&lt;br&gt;At the end of your turn, if you are adjacent to a crystal, choose one of the following status effects to gain:&lt;br&gt;&lt;b&gt;Monstrous, Well Rested, Imbued.</v>
      </c>
    </row>
    <row r="11" spans="1:14" ht="75" x14ac:dyDescent="0.25">
      <c r="A11" s="6" t="s">
        <v>93</v>
      </c>
      <c r="B11" s="6" t="s">
        <v>11</v>
      </c>
      <c r="C11" s="6"/>
      <c r="D11" s="6"/>
      <c r="E11" s="6" t="s">
        <v>114</v>
      </c>
      <c r="F11" s="6" t="s">
        <v>115</v>
      </c>
      <c r="G11" s="6"/>
      <c r="H11" s="6"/>
      <c r="I11" s="6"/>
      <c r="J11" s="7" t="str">
        <f>IF(C11="yes",_xlfn.CONCAT($N$3,E11,IF(F11="","","&lt;img src=images\inline\linebrk.png&gt;"),F11,IF(G11="","","&lt;img src=images\inline\linebrk.png&gt;"),G11,IF(H11="","","&lt;img src=images\inline\linebrk.png&gt;"),H11,),_xlfn.CONCAT($M$3,E11,IF(F11="","","&lt;img src=images\inline\linebrk.png&gt;"),F11,IF(G11="","","&lt;img src=images\inline\linebrk.png&gt;"),G11,IF(H11="","","&lt;img src=images\inline\linebrk.png&gt;"),H11,))</f>
        <v>&lt;p style="font-size:14px;"&gt;&lt;br&gt;&lt;i&gt;Melee Attack -&lt;/i&gt;&lt;b&gt; Smash: &lt;/b&gt;2 AP + 3 Composure&lt;br&gt;Damage = 5 , close range.&lt;br&gt;&lt;img src=images\inline\linebrk.png&gt;&lt;b&gt;Drive-Power: &lt;/b&gt;weirdt&lt;br&gt;Add +1 damage and +1 range to attacks this turn, use only once each turn.</v>
      </c>
    </row>
    <row r="12" spans="1:14" ht="105" x14ac:dyDescent="0.25">
      <c r="A12" s="6" t="s">
        <v>31</v>
      </c>
      <c r="B12" s="6" t="s">
        <v>11</v>
      </c>
      <c r="C12" s="6"/>
      <c r="D12" s="6"/>
      <c r="E12" s="6" t="s">
        <v>32</v>
      </c>
      <c r="F12" s="6" t="s">
        <v>116</v>
      </c>
      <c r="G12" s="6"/>
      <c r="H12" s="6"/>
      <c r="I12" s="6"/>
      <c r="J12" s="7" t="str">
        <f>IF(C12="yes",_xlfn.CONCAT($N$3,E12,IF(F12="","","&lt;img src=images\inline\linebrk.png&gt;"),F12,IF(G12="","","&lt;img src=images\inline\linebrk.png&gt;"),G12,IF(H12="","","&lt;img src=images\inline\linebrk.png&gt;"),H12,),_xlfn.CONCAT($M$3,E12,IF(F12="","","&lt;img src=images\inline\linebrk.png&gt;"),F12,IF(G12="","","&lt;img src=images\inline\linebrk.png&gt;"),G12,IF(H12="","","&lt;img src=images\inline\linebrk.png&gt;"),H12,))</f>
        <v>&lt;p style="font-size:14px;"&gt;&lt;br&gt;&lt;i&gt;Melee Attack -&lt;/i&gt;&lt;b&gt; Thwack: &lt;/b&gt;1 AP&lt;br&gt;Damage = 1 , close range.&lt;br&gt;Critical Options:&lt;br&gt;&lt;b&gt;Omen:&lt;/b&gt; Inflict the &lt;b&gt;Cursed&lt;/b&gt; status effect.&lt;img src=images\inline\linebrk.png&gt;&lt;b&gt;Smear:&lt;/b&gt; 2 AP + weirdT weirdT&lt;br&gt;Inflict the &lt;b&gt;Cursed&lt;/b&gt; status effect on a target in close range.</v>
      </c>
    </row>
    <row r="13" spans="1:14" ht="120" x14ac:dyDescent="0.25">
      <c r="A13" s="6" t="s">
        <v>34</v>
      </c>
      <c r="B13" s="6" t="s">
        <v>11</v>
      </c>
      <c r="C13" s="6"/>
      <c r="D13" s="6"/>
      <c r="E13" s="6" t="s">
        <v>35</v>
      </c>
      <c r="F13" s="6" t="s">
        <v>36</v>
      </c>
      <c r="G13" s="6"/>
      <c r="H13" s="6"/>
      <c r="I13" s="6"/>
      <c r="J13" s="7" t="str">
        <f>IF(C13="yes",_xlfn.CONCAT($N$3,E13,IF(F13="","","&lt;img src=images\inline\linebrk.png&gt;"),F13,IF(G13="","","&lt;img src=images\inline\linebrk.png&gt;"),G13,IF(H13="","","&lt;img src=images\inline\linebrk.png&gt;"),H13,),_xlfn.CONCAT($M$3,E13,IF(F13="","","&lt;img src=images\inline\linebrk.png&gt;"),F13,IF(G13="","","&lt;img src=images\inline\linebrk.png&gt;"),G13,IF(H13="","","&lt;img src=images\inline\linebrk.png&gt;"),H13,))</f>
        <v>&lt;p style="font-size:14px;"&gt;&lt;br&gt;&lt;i&gt;Melee Attack -&lt;/i&gt; &lt;b&gt;Flay:&lt;/b&gt; 2 AP&lt;br&gt;Damage = 3 , close range.&lt;br&gt;Critical Options:&lt;br&gt;&lt;b&gt;Burn:&lt;/b&gt; Inflict the &lt;b&gt;Burning&lt;/b&gt; status effect.&lt;img src=images\inline\linebrk.png&gt;&lt;b&gt;Stoke the Flames:&lt;/b&gt; WeirdT&lt;br&gt;Your attacks this turn inflict the &lt;b&gt;Burning&lt;/b&gt; status effect on a hit and have + 1 range</v>
      </c>
    </row>
    <row r="14" spans="1:14" ht="90" x14ac:dyDescent="0.25">
      <c r="A14" s="6" t="s">
        <v>106</v>
      </c>
      <c r="B14" s="6" t="s">
        <v>11</v>
      </c>
      <c r="C14" s="6"/>
      <c r="D14" s="6"/>
      <c r="E14" s="6" t="s">
        <v>117</v>
      </c>
      <c r="F14" s="6"/>
      <c r="G14" s="6"/>
      <c r="H14" s="6"/>
      <c r="I14" s="6"/>
      <c r="J14" s="7" t="str">
        <f>IF(C14="yes",_xlfn.CONCAT($N$3,E14,IF(F14="","","&lt;img src=images\inline\linebrk.png&gt;"),F14,IF(G14="","","&lt;img src=images\inline\linebrk.png&gt;"),G14,IF(H14="","","&lt;img src=images\inline\linebrk.png&gt;"),H14,),_xlfn.CONCAT($M$3,E14,IF(F14="","","&lt;img src=images\inline\linebrk.png&gt;"),F14,IF(G14="","","&lt;img src=images\inline\linebrk.png&gt;"),G14,IF(H14="","","&lt;img src=images\inline\linebrk.png&gt;"),H14,))</f>
        <v>&lt;p style="font-size:14px;"&gt;&lt;br&gt;&lt;i&gt;Reaction - &lt;/i&gt;&lt;b&gt;Burst Block: &lt;/b&gt;&lt;br&gt;Destroy this card to completely block an incoming attack and deal 5 damage to all adjacent beings.</v>
      </c>
    </row>
    <row r="15" spans="1:14" ht="105" x14ac:dyDescent="0.25">
      <c r="A15" s="6" t="s">
        <v>94</v>
      </c>
      <c r="B15" s="6" t="s">
        <v>11</v>
      </c>
      <c r="D15" s="6" t="s">
        <v>123</v>
      </c>
      <c r="E15" s="9" t="s">
        <v>118</v>
      </c>
      <c r="F15" s="9" t="s">
        <v>119</v>
      </c>
      <c r="G15" s="6"/>
      <c r="H15" s="6"/>
      <c r="I15" s="6"/>
      <c r="J15" s="7" t="str">
        <f>IF(D15="yes",_xlfn.CONCAT($N$3,E15,IF(F15="","","&lt;img src=images\inline\linebrk.png&gt;"),F15,IF(G15="","","&lt;img src=images\inline\linebrk.png&gt;"),G15,IF(H15="","","&lt;img src=images\inline\linebrk.png&gt;"),H15,),_xlfn.CONCAT($M$3,E15,IF(F15="","","&lt;img src=images\inline\linebrk.png&gt;"),F15,IF(G15="","","&lt;img src=images\inline\linebrk.png&gt;"),G15,IF(H15="","","&lt;img src=images\inline\linebrk.png&gt;"),H15,))</f>
        <v>&lt;p style="font-size:14px;"&gt;&lt;br&gt;&lt;b&gt;Lay Egg:&lt;/b&gt; 1 AP + (chargeT or  weirdT)&lt;br&gt;Place an explosive egg on an adjacent hex.&lt;img src=images\inline\linebrk.png&gt;&lt;i&gt;Reaction - &lt;/i&gt;&lt;b&gt;Detonate:&lt;/b&gt; 1 AP&lt;br&gt;All eggs on the map explode, adjacent beings take 5 damage and terrain is destroyed, including walls.</v>
      </c>
    </row>
    <row r="16" spans="1:14" ht="120" x14ac:dyDescent="0.25">
      <c r="A16" s="6" t="s">
        <v>37</v>
      </c>
      <c r="B16" s="6" t="s">
        <v>11</v>
      </c>
      <c r="C16" s="6"/>
      <c r="D16" s="6"/>
      <c r="E16" s="6" t="s">
        <v>124</v>
      </c>
      <c r="F16" s="6"/>
      <c r="G16" s="6"/>
      <c r="H16" s="6"/>
      <c r="I16" s="6"/>
      <c r="J16" s="7" t="str">
        <f>IF(C16="yes",_xlfn.CONCAT($N$3,E16,IF(F16="","","&lt;img src=images\inline\linebrk.png&gt;"),F16,IF(G16="","","&lt;img src=images\inline\linebrk.png&gt;"),G16,IF(H16="","","&lt;img src=images\inline\linebrk.png&gt;"),H16,),_xlfn.CONCAT($M$3,E16,IF(F16="","","&lt;img src=images\inline\linebrk.png&gt;"),F16,IF(G16="","","&lt;img src=images\inline\linebrk.png&gt;"),G16,IF(H16="","","&lt;img src=images\inline\linebrk.png&gt;"),H16,))</f>
        <v>&lt;p style="font-size:14px;"&gt;&lt;br&gt;&lt;i&gt;Melee Attack - &lt;/i&gt;&lt;b&gt;Crush:&lt;/b&gt; 4 AP or (2 AP + fleshT fleshT)&lt;br&gt;Damage = 8 , close range.&lt;br&gt;Critical Options:&lt;b&gt;&lt;br&gt;Concuss:&lt;/b&gt; Inflict the &lt;b&gt;Stunned&lt;/b&gt; status effect.</v>
      </c>
    </row>
    <row r="17" spans="1:10" ht="90" x14ac:dyDescent="0.25">
      <c r="A17" s="6" t="s">
        <v>38</v>
      </c>
      <c r="B17" s="6" t="s">
        <v>11</v>
      </c>
      <c r="C17" s="6"/>
      <c r="D17" s="6"/>
      <c r="E17" s="6" t="s">
        <v>39</v>
      </c>
      <c r="F17" s="6" t="s">
        <v>120</v>
      </c>
      <c r="G17" s="6"/>
      <c r="H17" s="6"/>
      <c r="I17" s="6"/>
      <c r="J17" s="7" t="str">
        <f>IF(C17="yes",_xlfn.CONCAT($N$3,E17,IF(F17="","","&lt;img src=images\inline\linebrk.png&gt;"),F17,IF(G17="","","&lt;img src=images\inline\linebrk.png&gt;"),G17,IF(H17="","","&lt;img src=images\inline\linebrk.png&gt;"),H17,),_xlfn.CONCAT($M$3,E17,IF(F17="","","&lt;img src=images\inline\linebrk.png&gt;"),F17,IF(G17="","","&lt;img src=images\inline\linebrk.png&gt;"),G17,IF(H17="","","&lt;img src=images\inline\linebrk.png&gt;"),H17,))</f>
        <v>&lt;p style="font-size:14px;"&gt;&lt;br&gt;&lt;i&gt;Melee Attack - &lt;/i&gt;&lt;b&gt;Bludgeon:&lt;/b&gt; 3 AP&lt;br&gt;Damage = 6 , close range.&lt;img src=images\inline\linebrk.png&gt;&lt;i&gt;Melee Attack - &lt;/i&gt;&lt;b&gt;Whelm:&lt;/b&gt; 1 AP + weirdT&lt;br&gt;Damage = 3 , close range.&lt;br&gt;Inflicts the &lt;b&gt;Entangled&lt;/b&gt; status effect on a hit.</v>
      </c>
    </row>
    <row r="18" spans="1:10" ht="60" x14ac:dyDescent="0.25">
      <c r="A18" s="8" t="s">
        <v>95</v>
      </c>
      <c r="B18" s="8"/>
      <c r="C18" s="8"/>
      <c r="D18" s="8"/>
      <c r="E18" s="8" t="s">
        <v>122</v>
      </c>
      <c r="F18" s="8"/>
      <c r="G18" s="8"/>
      <c r="H18" s="8"/>
      <c r="I18" s="8"/>
      <c r="J18" s="7" t="str">
        <f>IF(C18="yes",_xlfn.CONCAT($N$3,E18,IF(F18="","","&lt;img src=images\inline\linebrk.png&gt;"),F18,IF(G18="","","&lt;img src=images\inline\linebrk.png&gt;"),G18,IF(H18="","","&lt;img src=images\inline\linebrk.png&gt;"),H18,),_xlfn.CONCAT($M$3,E18,IF(F18="","","&lt;img src=images\inline\linebrk.png&gt;"),F18,IF(G18="","","&lt;img src=images\inline\linebrk.png&gt;"),G18,IF(H18="","","&lt;img src=images\inline\linebrk.png&gt;"),H18,))</f>
        <v>&lt;p style="font-size:14px;"&gt;&lt;br&gt;&lt;i&gt;Melee Attack - &lt;/i&gt;&lt;b&gt;Vandalise:&lt;/b&gt; 2 AP&lt;br&gt;Damage = 2 , close range.&lt;br&gt;On a hit, you may destroy this card to destroy any equipped Limb or Impression from the target.</v>
      </c>
    </row>
    <row r="19" spans="1:10" ht="150" x14ac:dyDescent="0.25">
      <c r="A19" s="6" t="s">
        <v>40</v>
      </c>
      <c r="B19" s="6" t="s">
        <v>11</v>
      </c>
      <c r="C19" s="6" t="s">
        <v>41</v>
      </c>
      <c r="D19" s="6"/>
      <c r="E19" s="10" t="s">
        <v>125</v>
      </c>
      <c r="F19" s="10" t="s">
        <v>42</v>
      </c>
      <c r="G19" s="6"/>
      <c r="H19" s="6"/>
      <c r="I19" s="6"/>
      <c r="J19" s="7" t="str">
        <f>IF(C19="yes",_xlfn.CONCAT($N$3,E19,IF(F19="","","&lt;img src=images\inline\linebrk.png&gt;"),F19,IF(G19="","","&lt;img src=images\inline\linebrk.png&gt;"),G19,IF(H19="","","&lt;img src=images\inline\linebrk.png&gt;"),H19,),_xlfn.CONCAT($M$3,E19,IF(F19="","","&lt;img src=images\inline\linebrk.png&gt;"),F19,IF(G19="","","&lt;img src=images\inline\linebrk.png&gt;"),G19,IF(H19="","","&lt;img src=images\inline\linebrk.png&gt;"),H19,))</f>
        <v>&lt;p style="font-size:12px;"&gt;&lt;br&gt;&lt;i&gt;Melee Attack -&lt;/i&gt;&lt;b&gt; Charge!:&lt;/b&gt; 2 AP&lt;br&gt;Damage = hexes moved , close range.&lt;br&gt;You may move any number of hexes in a straight line as part of making the attack. &lt;br&gt;hornshexes&lt;img src=images\inline\linebrk.png&gt;&lt;i&gt;Melee Attack -&lt;/i&gt;&lt;b&gt; Shove :&lt;/b&gt; 1 AP +fleshT&lt;br&gt;Damage = 2 , close range.&lt;br&gt;On a hit, the target is pushed back hexes equal to your &lt;span style="color:#e74c3c"&gt;&lt;strong&gt;Flesh&lt;/strong&gt;&lt;/span&gt;.</v>
      </c>
    </row>
    <row r="20" spans="1:10" ht="150" x14ac:dyDescent="0.25">
      <c r="A20" s="6" t="s">
        <v>43</v>
      </c>
      <c r="B20" s="6" t="s">
        <v>11</v>
      </c>
      <c r="C20" s="6"/>
      <c r="D20" s="6"/>
      <c r="E20" s="6" t="s">
        <v>44</v>
      </c>
      <c r="F20" s="6"/>
      <c r="G20" s="6"/>
      <c r="H20" s="6"/>
      <c r="I20" s="6"/>
      <c r="J20" s="7" t="str">
        <f>IF(C20="yes",_xlfn.CONCAT($N$3,E20,IF(F20="","","&lt;img src=images\inline\linebrk.png&gt;"),F20,IF(G20="","","&lt;img src=images\inline\linebrk.png&gt;"),G20,IF(H20="","","&lt;img src=images\inline\linebrk.png&gt;"),H20,),_xlfn.CONCAT($M$3,E20,IF(F20="","","&lt;img src=images\inline\linebrk.png&gt;"),F20,IF(G20="","","&lt;img src=images\inline\linebrk.png&gt;"),G20,IF(H20="","","&lt;img src=images\inline\linebrk.png&gt;"),H20,))</f>
        <v>&lt;p style="font-size:14px;"&gt;&lt;br&gt;&lt;i&gt;Melee Attack -&lt;/i&gt;&lt;b&gt; Nip:&lt;/b&gt; 2 AP&lt;br&gt;Damage = &lt;span style="color:#e74c3c"&gt;&lt;strong&gt;Flesh&lt;/strong&gt;&lt;/span&gt; , close range.&lt;br&gt;Critical Option:&lt;br&gt;&lt;b&gt;Restrain: &lt;/b&gt;Inflict the &lt;b&gt;Entangled&lt;/b&gt; status effect.</v>
      </c>
    </row>
    <row r="21" spans="1:10" ht="120" x14ac:dyDescent="0.25">
      <c r="A21" s="6" t="s">
        <v>45</v>
      </c>
      <c r="B21" s="6" t="s">
        <v>11</v>
      </c>
      <c r="C21" s="6"/>
      <c r="D21" s="6"/>
      <c r="E21" s="6" t="s">
        <v>126</v>
      </c>
      <c r="F21" s="6" t="s">
        <v>46</v>
      </c>
      <c r="G21" s="6"/>
      <c r="H21" s="6"/>
      <c r="I21" s="6"/>
      <c r="J21" s="7" t="str">
        <f>IF(C21="yes",_xlfn.CONCAT($N$3,E21,IF(F21="","","&lt;img src=images\inline\linebrk.png&gt;"),F21,IF(G21="","","&lt;img src=images\inline\linebrk.png&gt;"),G21,IF(H21="","","&lt;img src=images\inline\linebrk.png&gt;"),H21,),_xlfn.CONCAT($M$3,E21,IF(F21="","","&lt;img src=images\inline\linebrk.png&gt;"),F21,IF(G21="","","&lt;img src=images\inline\linebrk.png&gt;"),G21,IF(H21="","","&lt;img src=images\inline\linebrk.png&gt;"),H21,))</f>
        <v>&lt;p style="font-size:14px;"&gt;&lt;br&gt;&lt;i&gt;Melee Attack -&lt;/i&gt;&lt;b&gt; Bite:&lt;/b&gt; 2 AP&lt;br&gt;Damage = 4 , close range.&lt;br&gt;&lt;img src=images\inline\linebrk.png&gt;&lt;i&gt;Ranged Attack -&lt;/i&gt;&lt;b&gt; Phage: &lt;/b&gt;2 AP&lt;br&gt;Damage = 7 &lt;br&gt;Throw this limb at your target as part of the attack, regardless of attack outcome, they now have Hungering Hand equipped .</v>
      </c>
    </row>
    <row r="22" spans="1:10" ht="90" x14ac:dyDescent="0.25">
      <c r="A22" s="6" t="s">
        <v>47</v>
      </c>
      <c r="B22" s="6" t="s">
        <v>11</v>
      </c>
      <c r="C22" s="6"/>
      <c r="D22" s="6"/>
      <c r="E22" s="6" t="s">
        <v>127</v>
      </c>
      <c r="F22" s="6" t="s">
        <v>128</v>
      </c>
      <c r="G22" s="6"/>
      <c r="H22" s="6"/>
      <c r="I22" s="6"/>
      <c r="J22" s="7" t="str">
        <f>IF(C22="yes",_xlfn.CONCAT($N$3,E22,IF(F22="","","&lt;img src=images\inline\linebrk.png&gt;"),F22,IF(G22="","","&lt;img src=images\inline\linebrk.png&gt;"),G22,IF(H22="","","&lt;img src=images\inline\linebrk.png&gt;"),H22,),_xlfn.CONCAT($M$3,E22,IF(F22="","","&lt;img src=images\inline\linebrk.png&gt;"),F22,IF(G22="","","&lt;img src=images\inline\linebrk.png&gt;"),G22,IF(H22="","","&lt;img src=images\inline\linebrk.png&gt;"),H22,))</f>
        <v>&lt;p style="font-size:14px;"&gt;&lt;br&gt;&lt;i&gt;Melee Attack - &lt;/i&gt;&lt;b&gt;Impale: &lt;/b&gt;2 AP&lt;br&gt;Damage = 4 , reach.&lt;img src=images\inline\linebrk.png&gt;&lt;i&gt;Reaction - &lt;/i&gt;&lt;b&gt;Bloom: &lt;/b&gt; WeirdT + &lt;b&gt;exhausted&lt;/b&gt; &lt;br&gt;Destroy this card to completely block an incoming attack.</v>
      </c>
    </row>
    <row r="23" spans="1:10" ht="135" x14ac:dyDescent="0.25">
      <c r="A23" s="6" t="s">
        <v>48</v>
      </c>
      <c r="B23" s="6" t="s">
        <v>11</v>
      </c>
      <c r="C23" s="6"/>
      <c r="D23" s="6" t="s">
        <v>49</v>
      </c>
      <c r="E23" s="6" t="s">
        <v>50</v>
      </c>
      <c r="F23" s="6" t="s">
        <v>51</v>
      </c>
      <c r="G23" s="6"/>
      <c r="H23" s="6"/>
      <c r="I23" s="6"/>
      <c r="J23" s="7" t="str">
        <f>IF(C23="yes",_xlfn.CONCAT($N$3,E23,IF(F23="","","&lt;img src=images\inline\linebrk.png&gt;"),F23,IF(G23="","","&lt;img src=images\inline\linebrk.png&gt;"),G23,IF(H23="","","&lt;img src=images\inline\linebrk.png&gt;"),H23,),_xlfn.CONCAT($M$3,E23,IF(F23="","","&lt;img src=images\inline\linebrk.png&gt;"),F23,IF(G23="","","&lt;img src=images\inline\linebrk.png&gt;"),G23,IF(H23="","","&lt;img src=images\inline\linebrk.png&gt;"),H23,))</f>
        <v>&lt;p style="font-size:14px;"&gt;&lt;br&gt;&lt;b&gt;Splinter Trail:&lt;/b&gt; 1 AP + (chargeT or weirdT)&lt;br&gt;For the rest of your turn, leave a conductive trail behind in any hex you move out of.&lt;img src=images\inline\linebrk.png&gt;&lt;b&gt;Electrify:&lt;/b&gt; 2 AP&lt;br&gt;Electrify an adjacent hex and all connected conductive hexes. All beings electrified take 3 damage. This damage cannot be reduced. Hexes with water are also conductive.</v>
      </c>
    </row>
    <row r="24" spans="1:10" ht="60" x14ac:dyDescent="0.25">
      <c r="A24" s="8" t="s">
        <v>96</v>
      </c>
      <c r="B24" s="6" t="s">
        <v>11</v>
      </c>
      <c r="C24" s="8"/>
      <c r="D24" s="8"/>
      <c r="E24" s="8"/>
      <c r="F24" s="8"/>
      <c r="G24" s="8"/>
      <c r="H24" s="8"/>
      <c r="I24" s="8"/>
      <c r="J24" s="7" t="str">
        <f>IF(C24="yes",_xlfn.CONCAT($N$3,E24,IF(F24="","","&lt;img src=images\inline\linebrk.png&gt;"),F24,IF(G24="","","&lt;img src=images\inline\linebrk.png&gt;"),G24,IF(H24="","","&lt;img src=images\inline\linebrk.png&gt;"),H24,),_xlfn.CONCAT($M$3,E24,IF(F24="","","&lt;img src=images\inline\linebrk.png&gt;"),F24,IF(G24="","","&lt;img src=images\inline\linebrk.png&gt;"),G24,IF(H24="","","&lt;img src=images\inline\linebrk.png&gt;"),H24,))</f>
        <v>&lt;p style="font-size:14px;"&gt;&lt;br&gt;</v>
      </c>
    </row>
    <row r="25" spans="1:10" ht="120" x14ac:dyDescent="0.25">
      <c r="A25" s="6" t="s">
        <v>52</v>
      </c>
      <c r="B25" s="6" t="s">
        <v>11</v>
      </c>
      <c r="C25" s="6"/>
      <c r="D25" s="6"/>
      <c r="E25" s="6" t="s">
        <v>53</v>
      </c>
      <c r="F25" s="6" t="s">
        <v>54</v>
      </c>
      <c r="G25" s="6"/>
      <c r="H25" s="6"/>
      <c r="I25" s="6"/>
      <c r="J25" s="7" t="str">
        <f>IF(C25="yes",_xlfn.CONCAT($N$3,E25,IF(F25="","","&lt;img src=images\inline\linebrk.png&gt;"),F25,IF(G25="","","&lt;img src=images\inline\linebrk.png&gt;"),G25,IF(H25="","","&lt;img src=images\inline\linebrk.png&gt;"),H25,),_xlfn.CONCAT($M$3,E25,IF(F25="","","&lt;img src=images\inline\linebrk.png&gt;"),F25,IF(G25="","","&lt;img src=images\inline\linebrk.png&gt;"),G25,IF(H25="","","&lt;img src=images\inline\linebrk.png&gt;"),H25,))</f>
        <v>&lt;p style="font-size:14px;"&gt;&lt;br&gt;&lt;i&gt;Melee Attack -&lt;/i&gt;&lt;b&gt; Gnaw:&lt;/b&gt; 1 AP&lt;br&gt;Damage = 1 , close range.&lt;br&gt;This attack always hits, do not roll.&lt;img src=images\inline\linebrk.png&gt;il</v>
      </c>
    </row>
    <row r="26" spans="1:10" ht="120" x14ac:dyDescent="0.25">
      <c r="A26" s="6" t="s">
        <v>55</v>
      </c>
      <c r="B26" s="6" t="s">
        <v>11</v>
      </c>
      <c r="C26" s="6"/>
      <c r="D26" s="6"/>
      <c r="E26" s="6" t="s">
        <v>56</v>
      </c>
      <c r="F26" s="6" t="s">
        <v>57</v>
      </c>
      <c r="G26" s="6"/>
      <c r="H26" s="6"/>
      <c r="I26" s="6"/>
      <c r="J26" s="7" t="str">
        <f>IF(C26="yes",_xlfn.CONCAT($N$3,E26,IF(F26="","","&lt;img src=images\inline\linebrk.png&gt;"),F26,IF(G26="","","&lt;img src=images\inline\linebrk.png&gt;"),G26,IF(H26="","","&lt;img src=images\inline\linebrk.png&gt;"),H26,),_xlfn.CONCAT($M$3,E26,IF(F26="","","&lt;img src=images\inline\linebrk.png&gt;"),F26,IF(G26="","","&lt;img src=images\inline\linebrk.png&gt;"),G26,IF(H26="","","&lt;img src=images\inline\linebrk.png&gt;"),H26,))</f>
        <v>&lt;p style="font-size:14px;"&gt;&lt;br&gt;&lt;i&gt;Melee Attack -&lt;/i&gt;&lt;b&gt; Nasty Stab:&lt;/b&gt; 3 AP&lt;br&gt;Damage = 6 , close range.&lt;br&gt;Crit options:&lt;br&gt;&lt;b&gt;Armour Piercing:&lt;/b&gt; Ignore damage reduction effects.&lt;br&gt;&lt;b&gt;Strike:&lt;/b&gt; +1 damage.&lt;img src=images\inline\linebrk.png&gt;&lt;i&gt;Melee Attack - &lt;/i&gt;&lt;b&gt;Lance:&lt;/b&gt; 2 AP&lt;br&gt;Damage = 4 , reach.&lt;br&gt;Crit option:&lt;br&gt;&lt;b&gt;Dash&lt;/b&gt; Take a move action for free.</v>
      </c>
    </row>
    <row r="27" spans="1:10" ht="105" x14ac:dyDescent="0.25">
      <c r="A27" s="6" t="s">
        <v>58</v>
      </c>
      <c r="B27" s="6" t="s">
        <v>11</v>
      </c>
      <c r="C27" s="6"/>
      <c r="D27" s="6"/>
      <c r="E27" s="6" t="s">
        <v>59</v>
      </c>
      <c r="F27" s="6" t="s">
        <v>60</v>
      </c>
      <c r="G27" s="6"/>
      <c r="H27" s="6"/>
      <c r="I27" s="6"/>
      <c r="J27" s="7" t="str">
        <f>IF(C27="yes",_xlfn.CONCAT($N$3,E27,IF(F27="","","&lt;img src=images\inline\linebrk.png&gt;"),F27,IF(G27="","","&lt;img src=images\inline\linebrk.png&gt;"),G27,IF(H27="","","&lt;img src=images\inline\linebrk.png&gt;"),H27,),_xlfn.CONCAT($M$3,E27,IF(F27="","","&lt;img src=images\inline\linebrk.png&gt;"),F27,IF(G27="","","&lt;img src=images\inline\linebrk.png&gt;"),G27,IF(H27="","","&lt;img src=images\inline\linebrk.png&gt;"),H27,))</f>
        <v>&lt;p style="font-size:14px;"&gt;&lt;br&gt;&lt;i&gt;Reaction - &lt;/i&gt;&lt;b&gt;Salt in the wound:&lt;/b&gt; 1 AP or weirdT&lt;br&gt;Whenever an adjacent creature takes a wound, you may activate this and inflict the &lt;b&gt;Stunned&lt;/b&gt; status effect on them.&lt;img src=images\inline\linebrk.png&gt;&lt;i&gt;Passive - &lt;b&gt;Fueled by pain:&lt;/i&gt;&lt;/b&gt;&lt;br&gt;Whenever you take a wound, gain the &lt;b&gt;Well Rested&lt;/b&gt; status effect.</v>
      </c>
    </row>
    <row r="28" spans="1:10" ht="120" x14ac:dyDescent="0.25">
      <c r="A28" s="6" t="s">
        <v>61</v>
      </c>
      <c r="B28" s="6" t="s">
        <v>11</v>
      </c>
      <c r="C28" s="6"/>
      <c r="D28" s="6"/>
      <c r="E28" s="6" t="s">
        <v>62</v>
      </c>
      <c r="F28" s="6" t="s">
        <v>63</v>
      </c>
      <c r="G28" s="6"/>
      <c r="H28" s="6"/>
      <c r="I28" s="6"/>
      <c r="J28" s="7" t="str">
        <f>IF(C28="yes",_xlfn.CONCAT($N$3,E28,IF(F28="","","&lt;img src=images\inline\linebrk.png&gt;"),F28,IF(G28="","","&lt;img src=images\inline\linebrk.png&gt;"),G28,IF(H28="","","&lt;img src=images\inline\linebrk.png&gt;"),H28,),_xlfn.CONCAT($M$3,E28,IF(F28="","","&lt;img src=images\inline\linebrk.png&gt;"),F28,IF(G28="","","&lt;img src=images\inline\linebrk.png&gt;"),G28,IF(H28="","","&lt;img src=images\inline\linebrk.png&gt;"),H28,))</f>
        <v>&lt;p style="font-size:14px;"&gt;&lt;br&gt;&lt;i&gt;Melee Attack -&lt;/i&gt; &lt;b&gt;Nip: &lt;/b&gt;2 AP&lt;br&gt;Damage = 3 , close range.&lt;br&gt;Crit option:&lt;br&gt;&lt;b&gt;Strike:&lt;/b&gt; +1 damage.&lt;br&gt;&lt;img src=images\inline\linebrk.png&gt;&lt;i&gt;Passive - &lt;b&gt; Precise:&lt;/b&gt;&lt;/i&gt;&lt;br&gt;Wounds inflicted by this limb's attacks always target the stat of your choice.</v>
      </c>
    </row>
    <row r="29" spans="1:10" ht="105" x14ac:dyDescent="0.25">
      <c r="A29" s="6" t="s">
        <v>64</v>
      </c>
      <c r="B29" s="6" t="s">
        <v>11</v>
      </c>
      <c r="C29" s="6"/>
      <c r="D29" s="6"/>
      <c r="E29" s="6" t="s">
        <v>65</v>
      </c>
      <c r="F29" s="6"/>
      <c r="G29" s="6"/>
      <c r="H29" s="6"/>
      <c r="I29" s="6"/>
      <c r="J29" s="7" t="str">
        <f>IF(C29="yes",_xlfn.CONCAT($N$3,E29,IF(F29="","","&lt;img src=images\inline\linebrk.png&gt;"),F29,IF(G29="","","&lt;img src=images\inline\linebrk.png&gt;"),G29,IF(H29="","","&lt;img src=images\inline\linebrk.png&gt;"),H29,),_xlfn.CONCAT($M$3,E29,IF(F29="","","&lt;img src=images\inline\linebrk.png&gt;"),F29,IF(G29="","","&lt;img src=images\inline\linebrk.png&gt;"),G29,IF(H29="","","&lt;img src=images\inline\linebrk.png&gt;"),H29,))</f>
        <v>&lt;p style="font-size:14px;"&gt;&lt;br&gt;&lt;i&gt;Ranged Attack - &lt;/i&gt;&lt;b&gt;Corrosive spit: &lt;/b&gt;2 AP + weirdT&lt;br&gt;Damage = 4. &lt;br&gt;Ignores damage reduction effects.</v>
      </c>
    </row>
    <row r="30" spans="1:10" ht="60" x14ac:dyDescent="0.25">
      <c r="A30" s="8" t="s">
        <v>97</v>
      </c>
      <c r="B30" s="8"/>
      <c r="C30" s="8"/>
      <c r="D30" s="8"/>
      <c r="E30" s="8"/>
      <c r="F30" s="8"/>
      <c r="G30" s="8"/>
      <c r="H30" s="8"/>
      <c r="I30" s="8"/>
      <c r="J30" s="7" t="str">
        <f>IF(C30="yes",_xlfn.CONCAT($N$3,E30,IF(F30="","","&lt;img src=images\inline\linebrk.png&gt;"),F30,IF(G30="","","&lt;img src=images\inline\linebrk.png&gt;"),G30,IF(H30="","","&lt;img src=images\inline\linebrk.png&gt;"),H30,),_xlfn.CONCAT($M$3,E30,IF(F30="","","&lt;img src=images\inline\linebrk.png&gt;"),F30,IF(G30="","","&lt;img src=images\inline\linebrk.png&gt;"),G30,IF(H30="","","&lt;img src=images\inline\linebrk.png&gt;"),H30,))</f>
        <v>&lt;p style="font-size:14px;"&gt;&lt;br&gt;</v>
      </c>
    </row>
    <row r="31" spans="1:10" ht="120" x14ac:dyDescent="0.25">
      <c r="A31" s="6" t="s">
        <v>66</v>
      </c>
      <c r="B31" s="6" t="s">
        <v>11</v>
      </c>
      <c r="C31" s="6"/>
      <c r="D31" s="6"/>
      <c r="E31" s="6" t="s">
        <v>67</v>
      </c>
      <c r="F31" s="6" t="s">
        <v>68</v>
      </c>
      <c r="G31" s="6" t="s">
        <v>69</v>
      </c>
      <c r="H31" s="6"/>
      <c r="I31" s="6"/>
      <c r="J31" s="7" t="str">
        <f>IF(C31="yes",_xlfn.CONCAT($N$3,E31,IF(F31="","","&lt;img src=images\inline\linebrk.png&gt;"),F31,IF(G31="","","&lt;img src=images\inline\linebrk.png&gt;"),G31,IF(H31="","","&lt;img src=images\inline\linebrk.png&gt;"),H31,),_xlfn.CONCAT($M$3,E31,IF(F31="","","&lt;img src=images\inline\linebrk.png&gt;"),F31,IF(G31="","","&lt;img src=images\inline\linebrk.png&gt;"),G31,IF(H31="","","&lt;img src=images\inline\linebrk.png&gt;"),H31,))</f>
        <v>&lt;p style="font-size:14px;"&gt;&lt;br&gt;&lt;i&gt;Melee Attack -&lt;/i&gt;&lt;b&gt; Slam:&lt;/b&gt; 4 AP&lt;br&gt;Damage = 8, close range.&lt;br&gt;&lt;img src=images\inline\linebrk.png&gt;&lt;b&gt;Wall of Splendor: &lt;/b&gt;1 AP&lt;br&gt;Place the slab down on an adjacent hex, it extends straight on each side to become a three hex wall, if there is space. This wall blocks vision and is indestructable.&lt;img src=images\inline\linebrk.png&gt;&lt;b&gt;Reclaim: &lt;/b&gt;3 AP or fleshtfleshtfleshT&lt;br&gt;Pick up a deployed painted slab, any adjacent being can do this.</v>
      </c>
    </row>
    <row r="32" spans="1:10" ht="105" x14ac:dyDescent="0.25">
      <c r="A32" s="6" t="s">
        <v>70</v>
      </c>
      <c r="B32" s="6" t="s">
        <v>11</v>
      </c>
      <c r="C32" s="6"/>
      <c r="D32" s="6"/>
      <c r="E32" s="6" t="s">
        <v>71</v>
      </c>
      <c r="F32" s="6"/>
      <c r="G32" s="6"/>
      <c r="H32" s="6"/>
      <c r="I32" s="6"/>
      <c r="J32" s="7" t="str">
        <f>IF(C32="yes",_xlfn.CONCAT($N$3,E32,IF(F32="","","&lt;img src=images\inline\linebrk.png&gt;"),F32,IF(G32="","","&lt;img src=images\inline\linebrk.png&gt;"),G32,IF(H32="","","&lt;img src=images\inline\linebrk.png&gt;"),H32,),_xlfn.CONCAT($M$3,E32,IF(F32="","","&lt;img src=images\inline\linebrk.png&gt;"),F32,IF(G32="","","&lt;img src=images\inline\linebrk.png&gt;"),G32,IF(H32="","","&lt;img src=images\inline\linebrk.png&gt;"),H32,))</f>
        <v>&lt;p style="font-size:14px;"&gt;&lt;br&gt;&lt;i&gt;Ranged Attack -&lt;/i&gt;&lt;b&gt; Fling:&lt;/b&gt; 2 AP&lt;br&gt;Damage = 4. &lt;br&gt;You take 1 damage when you use this attack.</v>
      </c>
    </row>
    <row r="33" spans="1:10" ht="105" x14ac:dyDescent="0.25">
      <c r="A33" s="6" t="s">
        <v>72</v>
      </c>
      <c r="B33" s="6" t="s">
        <v>11</v>
      </c>
      <c r="C33" s="6"/>
      <c r="D33" s="6"/>
      <c r="E33" s="6" t="s">
        <v>73</v>
      </c>
      <c r="F33" s="6" t="s">
        <v>74</v>
      </c>
      <c r="G33" s="6"/>
      <c r="H33" s="6"/>
      <c r="I33" s="6"/>
      <c r="J33" s="7" t="str">
        <f>IF(C33="yes",_xlfn.CONCAT($N$3,E33,IF(F33="","","&lt;img src=images\inline\linebrk.png&gt;"),F33,IF(G33="","","&lt;img src=images\inline\linebrk.png&gt;"),G33,IF(H33="","","&lt;img src=images\inline\linebrk.png&gt;"),H33,),_xlfn.CONCAT($M$3,E33,IF(F33="","","&lt;img src=images\inline\linebrk.png&gt;"),F33,IF(G33="","","&lt;img src=images\inline\linebrk.png&gt;"),G33,IF(H33="","","&lt;img src=images\inline\linebrk.png&gt;"),H33,))</f>
        <v>&lt;p style="font-size:14px;"&gt;&lt;br&gt;&lt;b&gt;Embed:&lt;/b&gt; weirdt&lt;br&gt;Place a 1 hex sized heartstone on an adjacent hex. It will break if it takes damage.&lt;img src=images\inline\linebrk.png&gt;&lt;i&gt;Passive - &lt;b&gt; Living Rythm:&lt;/i&gt;&lt;/b&gt;&lt;br&gt;While there is at least 1 heartstone on the map, you gain up to 3 temporary composure at the end of your turn.</v>
      </c>
    </row>
    <row r="34" spans="1:10" ht="120" x14ac:dyDescent="0.25">
      <c r="A34" s="8" t="s">
        <v>98</v>
      </c>
      <c r="B34" s="8"/>
      <c r="C34" s="8"/>
      <c r="D34" s="8"/>
      <c r="E34" s="8"/>
      <c r="F34" s="8"/>
      <c r="G34" s="8"/>
      <c r="H34" s="8"/>
      <c r="I34" s="8"/>
      <c r="J34" s="7" t="str">
        <f>IF(C34="yes",_xlfn.CONCAT($N$3,E34,IF(F34="","","&lt;img src=images\inline\linebrk.png&gt;"),F34,IF(G34="","","&lt;img src=images\inline\linebrk.png&gt;"),G34,IF(H34="","","&lt;img src=images\inline\linebrk.png&gt;"),H34,),_xlfn.CONCAT($M$3,E34,IF(F34="","","&lt;img src=images\inline\linebrk.png&gt;"),F34,IF(G34="","","&lt;img src=images\inline\linebrk.png&gt;"),G34,IF(H34="","","&lt;img src=images\inline\linebrk.png&gt;"),H34,))</f>
        <v>&lt;p style="font-size:14px;"&gt;&lt;br&gt;</v>
      </c>
    </row>
    <row r="35" spans="1:10" ht="105" x14ac:dyDescent="0.25">
      <c r="A35" s="6" t="s">
        <v>75</v>
      </c>
      <c r="B35" s="6" t="s">
        <v>11</v>
      </c>
      <c r="C35" s="6"/>
      <c r="D35" s="6" t="s">
        <v>76</v>
      </c>
      <c r="E35" s="6" t="s">
        <v>77</v>
      </c>
      <c r="F35" s="6" t="s">
        <v>78</v>
      </c>
      <c r="G35" s="6"/>
      <c r="H35" s="6"/>
      <c r="I35" s="6"/>
      <c r="J35" s="7" t="str">
        <f>IF(C35="yes",_xlfn.CONCAT($N$3,E35,IF(F35="","","&lt;img src=images\inline\linebrk.png&gt;"),F35,IF(G35="","","&lt;img src=images\inline\linebrk.png&gt;"),G35,IF(H35="","","&lt;img src=images\inline\linebrk.png&gt;"),H35,),_xlfn.CONCAT($M$3,E35,IF(F35="","","&lt;img src=images\inline\linebrk.png&gt;"),F35,IF(G35="","","&lt;img src=images\inline\linebrk.png&gt;"),G35,IF(H35="","","&lt;img src=images\inline\linebrk.png&gt;"),H35,))</f>
        <v>&lt;p style="font-size:14px;"&gt;&lt;br&gt;&lt;i&gt;Ranged Attack - &lt;/i&gt;&lt;b&gt;Throw: &lt;/b&gt;1 AP + charget&lt;br&gt;Damage = &lt;span style="color:#e74c3c"&gt;&lt;strong&gt;Flesh&lt;/strong&gt;&lt;/span&gt;.&lt;img src=images\inline\linebrk.png&gt;&lt;b&gt;Rummage:&lt;/b&gt; 3 AP + fleshT&lt;br&gt;Recharge this item.</v>
      </c>
    </row>
    <row r="36" spans="1:10" ht="105" x14ac:dyDescent="0.25">
      <c r="A36" s="6" t="s">
        <v>79</v>
      </c>
      <c r="B36" s="6" t="s">
        <v>11</v>
      </c>
      <c r="C36" s="6"/>
      <c r="D36" s="6"/>
      <c r="E36" s="6" t="s">
        <v>80</v>
      </c>
      <c r="F36" s="6" t="s">
        <v>81</v>
      </c>
      <c r="G36" s="6"/>
      <c r="H36" s="6"/>
      <c r="I36" s="6"/>
      <c r="J36" s="7" t="str">
        <f>IF(C36="yes",_xlfn.CONCAT($N$3,E36,IF(F36="","","&lt;img src=images\inline\linebrk.png&gt;"),F36,IF(G36="","","&lt;img src=images\inline\linebrk.png&gt;"),G36,IF(H36="","","&lt;img src=images\inline\linebrk.png&gt;"),H36,),_xlfn.CONCAT($M$3,E36,IF(F36="","","&lt;img src=images\inline\linebrk.png&gt;"),F36,IF(G36="","","&lt;img src=images\inline\linebrk.png&gt;"),G36,IF(H36="","","&lt;img src=images\inline\linebrk.png&gt;"),H36,))</f>
        <v>&lt;p style="font-size:14px;"&gt;&lt;br&gt;&lt;i&gt;Melee Attack -&lt;/i&gt; &lt;b&gt;Thump: &lt;/b&gt;2 AP&lt;br&gt;Damage =4, close range.&lt;br&gt;Crit Option:&lt;br&gt;&lt;b&gt;Concuss:&lt;/b&gt; Inflict the &lt;b&gt;Stunned&lt;/b&gt; status effect.&lt;img src=images\inline\linebrk.png&gt;&lt;b&gt;Dig:&lt;/b&gt; 1 AP or fleshT&lt;br&gt;Clear an adjacent hex of any player generated terrain features.</v>
      </c>
    </row>
    <row r="37" spans="1:10" ht="120" x14ac:dyDescent="0.25">
      <c r="A37" s="6" t="s">
        <v>82</v>
      </c>
      <c r="B37" s="6" t="s">
        <v>11</v>
      </c>
      <c r="C37" s="6"/>
      <c r="D37" s="6"/>
      <c r="E37" s="6" t="s">
        <v>83</v>
      </c>
      <c r="F37" s="6"/>
      <c r="G37" s="6"/>
      <c r="H37" s="6"/>
      <c r="I37" s="6"/>
      <c r="J37" s="7" t="str">
        <f>IF(C37="yes",_xlfn.CONCAT($N$3,E37,IF(F37="","","&lt;img src=images\inline\linebrk.png&gt;"),F37,IF(G37="","","&lt;img src=images\inline\linebrk.png&gt;"),G37,IF(H37="","","&lt;img src=images\inline\linebrk.png&gt;"),H37,),_xlfn.CONCAT($M$3,E37,IF(F37="","","&lt;img src=images\inline\linebrk.png&gt;"),F37,IF(G37="","","&lt;img src=images\inline\linebrk.png&gt;"),G37,IF(H37="","","&lt;img src=images\inline\linebrk.png&gt;"),H37,))</f>
        <v>&lt;p style="font-size:14px;"&gt;&lt;br&gt;&lt;i&gt;Ranged Attack&lt;/i&gt; -&lt;b&gt; Yoink:&lt;/b&gt; 1 AP&lt;br&gt;Damage = 0.&lt;br&gt;Pull the target to an adjacent hex on a hit&lt;br&gt;Crit Option:&lt;br&gt;&lt;b&gt;Entangle:&lt;/b&gt; Inflict the &lt;b&gt;Entangled&lt;/b&gt; status effect.</v>
      </c>
    </row>
    <row r="38" spans="1:10" ht="120" x14ac:dyDescent="0.25">
      <c r="A38" s="6" t="s">
        <v>84</v>
      </c>
      <c r="B38" s="6" t="s">
        <v>11</v>
      </c>
      <c r="C38" s="6"/>
      <c r="D38" s="6"/>
      <c r="E38" s="6" t="s">
        <v>85</v>
      </c>
      <c r="F38" s="6" t="s">
        <v>86</v>
      </c>
      <c r="G38" s="6"/>
      <c r="H38" s="6"/>
      <c r="I38" s="6"/>
      <c r="J38" s="7" t="str">
        <f>IF(C38="yes",_xlfn.CONCAT($N$3,E38,IF(F38="","","&lt;img src=images\inline\linebrk.png&gt;"),F38,IF(G38="","","&lt;img src=images\inline\linebrk.png&gt;"),G38,IF(H38="","","&lt;img src=images\inline\linebrk.png&gt;"),H38,),_xlfn.CONCAT($M$3,E38,IF(F38="","","&lt;img src=images\inline\linebrk.png&gt;"),F38,IF(G38="","","&lt;img src=images\inline\linebrk.png&gt;"),G38,IF(H38="","","&lt;img src=images\inline\linebrk.png&gt;"),H38,))</f>
        <v>&lt;p style="font-size:14px;"&gt;&lt;br&gt;&lt;i&gt;Melee Attack -&lt;/i&gt;&lt;b&gt; Slime Glob: &lt;/b&gt;2 AP&lt;br&gt;Damage = 2, reach.&lt;br&gt;Inflicts the &lt;b&gt;Entangled&lt;/b&gt; status effect on a hit.&lt;img src=images\inline\linebrk.png&gt;&lt;i&gt;Passive - &lt;b&gt; Secretions:&lt;/i&gt;&lt;/b&gt;&lt;br&gt;When you take a move action, you may spend weirdt to leave a trail of goo in all hexes moved out of. Moving through this goo costs 2 hexes of movement per hex.</v>
      </c>
    </row>
    <row r="39" spans="1:10" ht="60" x14ac:dyDescent="0.25">
      <c r="A39" s="8" t="s">
        <v>99</v>
      </c>
      <c r="B39" s="6" t="s">
        <v>11</v>
      </c>
      <c r="C39" s="8"/>
      <c r="D39" s="8"/>
      <c r="E39" s="8"/>
      <c r="F39" s="8"/>
      <c r="G39" s="8"/>
      <c r="H39" s="8"/>
      <c r="I39" s="8"/>
      <c r="J39" s="7" t="str">
        <f>IF(C39="yes",_xlfn.CONCAT($N$3,E39,IF(F39="","","&lt;img src=images\inline\linebrk.png&gt;"),F39,IF(G39="","","&lt;img src=images\inline\linebrk.png&gt;"),G39,IF(H39="","","&lt;img src=images\inline\linebrk.png&gt;"),H39,),_xlfn.CONCAT($M$3,E39,IF(F39="","","&lt;img src=images\inline\linebrk.png&gt;"),F39,IF(G39="","","&lt;img src=images\inline\linebrk.png&gt;"),G39,IF(H39="","","&lt;img src=images\inline\linebrk.png&gt;"),H39,))</f>
        <v>&lt;p style="font-size:14px;"&gt;&lt;br&gt;</v>
      </c>
    </row>
    <row r="40" spans="1:10" ht="15" customHeight="1" x14ac:dyDescent="0.25">
      <c r="A40" s="9" t="s">
        <v>87</v>
      </c>
      <c r="B40" s="6" t="s">
        <v>11</v>
      </c>
      <c r="C40" s="8"/>
      <c r="D40" s="8"/>
      <c r="E40" s="8"/>
      <c r="F40" s="8"/>
      <c r="G40" s="8"/>
      <c r="H40" s="8"/>
      <c r="I40" s="8"/>
      <c r="J40" s="7" t="str">
        <f>IF(C40="yes",_xlfn.CONCAT($N$3,E40,IF(F40="","","&lt;img src=images\inline\linebrk.png&gt;"),F40,IF(G40="","","&lt;img src=images\inline\linebrk.png&gt;"),G40,IF(H40="","","&lt;img src=images\inline\linebrk.png&gt;"),H40,),_xlfn.CONCAT($M$3,E40,IF(F40="","","&lt;img src=images\inline\linebrk.png&gt;"),F40,IF(G40="","","&lt;img src=images\inline\linebrk.png&gt;"),G40,IF(H40="","","&lt;img src=images\inline\linebrk.png&gt;"),H40,))</f>
        <v>&lt;p style="font-size:14px;"&gt;&lt;br&gt;</v>
      </c>
    </row>
    <row r="41" spans="1:10" ht="15" customHeight="1" x14ac:dyDescent="0.25">
      <c r="A41" t="s">
        <v>100</v>
      </c>
      <c r="B41" s="6" t="s">
        <v>11</v>
      </c>
      <c r="C41" s="8"/>
      <c r="D41" s="8"/>
      <c r="E41" s="8"/>
      <c r="F41" s="8"/>
      <c r="G41" s="8"/>
      <c r="H41" s="8"/>
      <c r="I41" s="8"/>
      <c r="J41" s="7" t="str">
        <f>IF(C41="yes",_xlfn.CONCAT($N$3,E41,IF(F41="","","&lt;img src=images\inline\linebrk.png&gt;"),F41,IF(G41="","","&lt;img src=images\inline\linebrk.png&gt;"),G41,IF(H41="","","&lt;img src=images\inline\linebrk.png&gt;"),H41,),_xlfn.CONCAT($M$3,E41,IF(F41="","","&lt;img src=images\inline\linebrk.png&gt;"),F41,IF(G41="","","&lt;img src=images\inline\linebrk.png&gt;"),G41,IF(H41="","","&lt;img src=images\inline\linebrk.png&gt;"),H41,))</f>
        <v>&lt;p style="font-size:14px;"&gt;&lt;br&gt;</v>
      </c>
    </row>
    <row r="42" spans="1:10" ht="15" customHeight="1" x14ac:dyDescent="0.25">
      <c r="A42" t="s">
        <v>101</v>
      </c>
      <c r="B42" s="6" t="s">
        <v>11</v>
      </c>
      <c r="C42" s="8"/>
      <c r="D42" s="8"/>
      <c r="E42" s="8"/>
      <c r="F42" s="8"/>
      <c r="G42" s="8"/>
      <c r="H42" s="8"/>
      <c r="I42" s="8"/>
      <c r="J42" s="7" t="str">
        <f>IF(C42="yes",_xlfn.CONCAT($N$3,E42,IF(F42="","","&lt;img src=images\inline\linebrk.png&gt;"),F42,IF(G42="","","&lt;img src=images\inline\linebrk.png&gt;"),G42,IF(H42="","","&lt;img src=images\inline\linebrk.png&gt;"),H42,),_xlfn.CONCAT($M$3,E42,IF(F42="","","&lt;img src=images\inline\linebrk.png&gt;"),F42,IF(G42="","","&lt;img src=images\inline\linebrk.png&gt;"),G42,IF(H42="","","&lt;img src=images\inline\linebrk.png&gt;"),H42,))</f>
        <v>&lt;p style="font-size:14px;"&gt;&lt;br&gt;</v>
      </c>
    </row>
    <row r="43" spans="1:10" ht="15" customHeight="1" x14ac:dyDescent="0.25">
      <c r="A43" s="9" t="s">
        <v>88</v>
      </c>
      <c r="B43" s="6" t="s">
        <v>11</v>
      </c>
      <c r="C43" s="8"/>
      <c r="D43" s="8"/>
      <c r="E43" s="8"/>
      <c r="F43" s="8"/>
      <c r="G43" s="8"/>
      <c r="H43" s="8"/>
      <c r="I43" s="8"/>
      <c r="J43" s="7" t="str">
        <f>IF(C43="yes",_xlfn.CONCAT($N$3,E43,IF(F43="","","&lt;img src=images\inline\linebrk.png&gt;"),F43,IF(G43="","","&lt;img src=images\inline\linebrk.png&gt;"),G43,IF(H43="","","&lt;img src=images\inline\linebrk.png&gt;"),H43,),_xlfn.CONCAT($M$3,E43,IF(F43="","","&lt;img src=images\inline\linebrk.png&gt;"),F43,IF(G43="","","&lt;img src=images\inline\linebrk.png&gt;"),G43,IF(H43="","","&lt;img src=images\inline\linebrk.png&gt;"),H43,))</f>
        <v>&lt;p style="font-size:14px;"&gt;&lt;br&gt;</v>
      </c>
    </row>
    <row r="44" spans="1:10" ht="15" customHeight="1" x14ac:dyDescent="0.25">
      <c r="A44" t="s">
        <v>102</v>
      </c>
      <c r="B44" s="6" t="s">
        <v>11</v>
      </c>
      <c r="C44" s="8"/>
      <c r="D44" s="8"/>
      <c r="E44" s="8"/>
      <c r="F44" s="8"/>
      <c r="G44" s="8"/>
      <c r="H44" s="8"/>
      <c r="I44" s="8"/>
      <c r="J44" s="7" t="str">
        <f>IF(C44="yes",_xlfn.CONCAT($N$3,E44,IF(F44="","","&lt;img src=images\inline\linebrk.png&gt;"),F44,IF(G44="","","&lt;img src=images\inline\linebrk.png&gt;"),G44,IF(H44="","","&lt;img src=images\inline\linebrk.png&gt;"),H44,),_xlfn.CONCAT($M$3,E44,IF(F44="","","&lt;img src=images\inline\linebrk.png&gt;"),F44,IF(G44="","","&lt;img src=images\inline\linebrk.png&gt;"),G44,IF(H44="","","&lt;img src=images\inline\linebrk.png&gt;"),H44,))</f>
        <v>&lt;p style="font-size:14px;"&gt;&lt;br&gt;</v>
      </c>
    </row>
    <row r="45" spans="1:10" ht="15" customHeight="1" x14ac:dyDescent="0.25">
      <c r="A45" s="9" t="s">
        <v>89</v>
      </c>
      <c r="B45" s="6" t="s">
        <v>11</v>
      </c>
      <c r="C45" s="8"/>
      <c r="D45" s="8"/>
      <c r="E45" s="8"/>
      <c r="F45" s="8"/>
      <c r="G45" s="8"/>
      <c r="H45" s="8"/>
      <c r="I45" s="8"/>
      <c r="J45" s="7" t="str">
        <f>IF(C45="yes",_xlfn.CONCAT($N$3,E45,IF(F45="","","&lt;img src=images\inline\linebrk.png&gt;"),F45,IF(G45="","","&lt;img src=images\inline\linebrk.png&gt;"),G45,IF(H45="","","&lt;img src=images\inline\linebrk.png&gt;"),H45,),_xlfn.CONCAT($M$3,E45,IF(F45="","","&lt;img src=images\inline\linebrk.png&gt;"),F45,IF(G45="","","&lt;img src=images\inline\linebrk.png&gt;"),G45,IF(H45="","","&lt;img src=images\inline\linebrk.png&gt;"),H45,))</f>
        <v>&lt;p style="font-size:14px;"&gt;&lt;br&gt;</v>
      </c>
    </row>
    <row r="46" spans="1:10" ht="15" customHeight="1" x14ac:dyDescent="0.25">
      <c r="A46" t="s">
        <v>103</v>
      </c>
      <c r="B46" s="6" t="s">
        <v>11</v>
      </c>
      <c r="C46" s="8"/>
      <c r="D46" s="8"/>
      <c r="E46" s="8"/>
      <c r="F46" s="8"/>
      <c r="G46" s="8"/>
      <c r="H46" s="8"/>
      <c r="I46" s="8"/>
      <c r="J46" s="7" t="str">
        <f>IF(C46="yes",_xlfn.CONCAT($N$3,E46,IF(F46="","","&lt;img src=images\inline\linebrk.png&gt;"),F46,IF(G46="","","&lt;img src=images\inline\linebrk.png&gt;"),G46,IF(H46="","","&lt;img src=images\inline\linebrk.png&gt;"),H46,),_xlfn.CONCAT($M$3,E46,IF(F46="","","&lt;img src=images\inline\linebrk.png&gt;"),F46,IF(G46="","","&lt;img src=images\inline\linebrk.png&gt;"),G46,IF(H46="","","&lt;img src=images\inline\linebrk.png&gt;"),H46,))</f>
        <v>&lt;p style="font-size:14px;"&gt;&lt;br&gt;</v>
      </c>
    </row>
    <row r="47" spans="1:10" ht="15" customHeight="1" x14ac:dyDescent="0.25">
      <c r="A47" t="s">
        <v>104</v>
      </c>
      <c r="B47" s="6" t="s">
        <v>11</v>
      </c>
      <c r="C47" s="8"/>
      <c r="D47" s="8"/>
      <c r="E47" s="8"/>
      <c r="F47" s="8"/>
      <c r="G47" s="8"/>
      <c r="H47" s="8"/>
      <c r="I47" s="8"/>
      <c r="J47" s="7" t="str">
        <f>IF(C47="yes",_xlfn.CONCAT($N$3,E47,IF(F47="","","&lt;img src=images\inline\linebrk.png&gt;"),F47,IF(G47="","","&lt;img src=images\inline\linebrk.png&gt;"),G47,IF(H47="","","&lt;img src=images\inline\linebrk.png&gt;"),H47,),_xlfn.CONCAT($M$3,E47,IF(F47="","","&lt;img src=images\inline\linebrk.png&gt;"),F47,IF(G47="","","&lt;img src=images\inline\linebrk.png&gt;"),G47,IF(H47="","","&lt;img src=images\inline\linebrk.png&gt;"),H47,))</f>
        <v>&lt;p style="font-size:14px;"&gt;&lt;br&gt;</v>
      </c>
    </row>
    <row r="48" spans="1:10" ht="15" customHeight="1" x14ac:dyDescent="0.25">
      <c r="A48" s="9" t="s">
        <v>90</v>
      </c>
      <c r="B48" s="6" t="s">
        <v>11</v>
      </c>
      <c r="C48" s="8"/>
      <c r="D48" s="8"/>
      <c r="E48" s="8"/>
      <c r="F48" s="8"/>
      <c r="G48" s="8"/>
      <c r="H48" s="8"/>
      <c r="I48" s="8"/>
      <c r="J48" s="7" t="str">
        <f>IF(C48="yes",_xlfn.CONCAT($N$3,E48,IF(F48="","","&lt;img src=images\inline\linebrk.png&gt;"),F48,IF(G48="","","&lt;img src=images\inline\linebrk.png&gt;"),G48,IF(H48="","","&lt;img src=images\inline\linebrk.png&gt;"),H48,),_xlfn.CONCAT($M$3,E48,IF(F48="","","&lt;img src=images\inline\linebrk.png&gt;"),F48,IF(G48="","","&lt;img src=images\inline\linebrk.png&gt;"),G48,IF(H48="","","&lt;img src=images\inline\linebrk.png&gt;"),H48,))</f>
        <v>&lt;p style="font-size:14px;"&gt;&lt;br&gt;</v>
      </c>
    </row>
    <row r="49" spans="1:10" ht="15" customHeight="1" x14ac:dyDescent="0.25">
      <c r="A49" s="9" t="s">
        <v>91</v>
      </c>
      <c r="B49" s="6" t="s">
        <v>11</v>
      </c>
      <c r="C49" s="8"/>
      <c r="D49" s="8"/>
      <c r="E49" s="8"/>
      <c r="F49" s="8"/>
      <c r="G49" s="8"/>
      <c r="H49" s="8"/>
      <c r="I49" s="8"/>
      <c r="J49" s="7" t="str">
        <f>IF(C49="yes",_xlfn.CONCAT($N$3,E49,IF(F49="","","&lt;img src=images\inline\linebrk.png&gt;"),F49,IF(G49="","","&lt;img src=images\inline\linebrk.png&gt;"),G49,IF(H49="","","&lt;img src=images\inline\linebrk.png&gt;"),H49,),_xlfn.CONCAT($M$3,E49,IF(F49="","","&lt;img src=images\inline\linebrk.png&gt;"),F49,IF(G49="","","&lt;img src=images\inline\linebrk.png&gt;"),G49,IF(H49="","","&lt;img src=images\inline\linebrk.png&gt;"),H49,))</f>
        <v>&lt;p style="font-size:14px;"&gt;&lt;br&gt;</v>
      </c>
    </row>
    <row r="50" spans="1:10" ht="15" customHeight="1" x14ac:dyDescent="0.25">
      <c r="A50" t="s">
        <v>105</v>
      </c>
      <c r="B50" s="6" t="s">
        <v>11</v>
      </c>
      <c r="C50" s="8"/>
      <c r="D50" s="8"/>
      <c r="E50" s="8"/>
      <c r="F50" s="8"/>
      <c r="G50" s="8"/>
      <c r="H50" s="8"/>
      <c r="I50" s="8"/>
      <c r="J50" s="7" t="str">
        <f>IF(C50="yes",_xlfn.CONCAT($N$3,E50,IF(F50="","","&lt;img src=images\inline\linebrk.png&gt;"),F50,IF(G50="","","&lt;img src=images\inline\linebrk.png&gt;"),G50,IF(H50="","","&lt;img src=images\inline\linebrk.png&gt;"),H50,),_xlfn.CONCAT($M$3,E50,IF(F50="","","&lt;img src=images\inline\linebrk.png&gt;"),F50,IF(G50="","","&lt;img src=images\inline\linebrk.png&gt;"),G50,IF(H50="","","&lt;img src=images\inline\linebrk.png&gt;"),H50,))</f>
        <v>&lt;p style="font-size:14px;"&gt;&lt;br&gt;</v>
      </c>
    </row>
    <row r="51" spans="1:10" ht="15" customHeight="1" x14ac:dyDescent="0.25">
      <c r="A51" s="8"/>
      <c r="B51" s="8"/>
      <c r="C51" s="8"/>
      <c r="D51" s="8"/>
      <c r="E51" s="8"/>
      <c r="F51" s="8"/>
      <c r="G51" s="8"/>
      <c r="H51" s="8"/>
      <c r="I51" s="8"/>
      <c r="J51" s="7"/>
    </row>
    <row r="52" spans="1:10" ht="15" customHeight="1" x14ac:dyDescent="0.25">
      <c r="A52" s="8"/>
      <c r="B52" s="8"/>
      <c r="C52" s="8"/>
      <c r="D52" s="8"/>
      <c r="E52" s="8"/>
      <c r="F52" s="8"/>
      <c r="G52" s="8"/>
      <c r="H52" s="8"/>
      <c r="I52" s="8"/>
      <c r="J52" s="7"/>
    </row>
    <row r="53" spans="1:10" ht="15" customHeight="1" x14ac:dyDescent="0.25">
      <c r="A53" s="8"/>
      <c r="B53" s="8"/>
      <c r="C53" s="8"/>
      <c r="D53" s="8"/>
      <c r="E53" s="8"/>
      <c r="F53" s="8"/>
      <c r="G53" s="8"/>
      <c r="H53" s="8"/>
      <c r="I53" s="8"/>
      <c r="J53" s="7"/>
    </row>
    <row r="54" spans="1:10" ht="15" customHeight="1" x14ac:dyDescent="0.25">
      <c r="A54" s="8"/>
      <c r="B54" s="8"/>
      <c r="C54" s="8"/>
      <c r="D54" s="8"/>
      <c r="E54" s="8"/>
      <c r="F54" s="8"/>
      <c r="G54" s="8"/>
      <c r="H54" s="8"/>
      <c r="I54" s="8"/>
      <c r="J54" s="7"/>
    </row>
    <row r="63" spans="1:10" ht="15" customHeight="1" x14ac:dyDescent="0.25">
      <c r="A63" s="9"/>
    </row>
    <row r="66" spans="1:1" ht="15" customHeight="1" x14ac:dyDescent="0.25">
      <c r="A66" s="9"/>
    </row>
    <row r="68" spans="1:1" ht="15" customHeight="1" x14ac:dyDescent="0.25">
      <c r="A68" s="9"/>
    </row>
    <row r="71" spans="1:1" ht="15" customHeight="1" x14ac:dyDescent="0.25">
      <c r="A71" s="9"/>
    </row>
    <row r="72" spans="1:1" ht="15" customHeight="1" x14ac:dyDescent="0.25">
      <c r="A72" s="9"/>
    </row>
  </sheetData>
  <conditionalFormatting sqref="B1:C14 B16:C54 B15 D15">
    <cfRule type="containsText" dxfId="4" priority="2" operator="containsText" text="Accessory">
      <formula>NOT(ISERROR(SEARCH("Accessory",B1)))</formula>
    </cfRule>
    <cfRule type="containsText" dxfId="3" priority="3" operator="containsText" text="Armour">
      <formula>NOT(ISERROR(SEARCH("Armour",B1)))</formula>
    </cfRule>
    <cfRule type="containsText" dxfId="2" priority="4" operator="containsText" text="Equipment">
      <formula>NOT(ISERROR(SEARCH("Equipment",B1)))</formula>
    </cfRule>
    <cfRule type="containsText" dxfId="1" priority="5" operator="containsText" text="Impression">
      <formula>NOT(ISERROR(SEARCH("Impression",B1)))</formula>
    </cfRule>
    <cfRule type="containsText" dxfId="0" priority="6" operator="containsText" text="Spell">
      <formula>NOT(ISERROR(SEARCH("Spell",B1)))</formula>
    </cfRule>
  </conditionalFormatting>
  <pageMargins left="0.7" right="0.7" top="0.75" bottom="0.75" header="0.511811023622047" footer="0.511811023622047"/>
  <pageSetup paperSize="9" orientation="portrait" horizontalDpi="300" verticalDpi="300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DBD9A44-7659-4E3D-A8AD-0FE8F40955E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NTK</dc:creator>
  <dc:description/>
  <cp:lastModifiedBy>NTK</cp:lastModifiedBy>
  <cp:revision>1</cp:revision>
  <dcterms:created xsi:type="dcterms:W3CDTF">2025-06-22T09:18:10Z</dcterms:created>
  <dcterms:modified xsi:type="dcterms:W3CDTF">2025-11-17T08:50:34Z</dcterms:modified>
  <dc:language>en-NZ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0x010100B72EB742E1A5654587064A46DDB6CD15</vt:lpwstr>
  </property>
</Properties>
</file>