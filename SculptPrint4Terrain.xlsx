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1.xml.rels" ContentType="application/vnd.openxmlformats-package.relationships+xml"/>
  <Override PartName="/customXml/_rels/item2.xml.rels" ContentType="application/vnd.openxmlformats-package.relationships+xml"/>
  <Override PartName="/customXml/_rels/item3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3" sheetId="1" state="visible" r:id="rId3"/>
  </sheets>
  <definedNames>
    <definedName function="false" hidden="false" name="Break" vbProcedure="false">#REF!</definedName>
    <definedName function="false" hidden="false" name="start" vbProcedure="false">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<sst xmlns="http://schemas.openxmlformats.org/spreadsheetml/2006/main" count="127" uniqueCount="91">
  <si>
    <t xml:space="preserve">Name</t>
  </si>
  <si>
    <t xml:space="preserve">Type</t>
  </si>
  <si>
    <t xml:space="preserve">SmallTextTag</t>
  </si>
  <si>
    <t xml:space="preserve">TopRightText</t>
  </si>
  <si>
    <t xml:space="preserve">Effect 1</t>
  </si>
  <si>
    <t xml:space="preserve">Effect 2</t>
  </si>
  <si>
    <t xml:space="preserve">Effect 3</t>
  </si>
  <si>
    <t xml:space="preserve">Effect 4</t>
  </si>
  <si>
    <t xml:space="preserve">Flavour Text</t>
  </si>
  <si>
    <t xml:space="preserve">Body HTML</t>
  </si>
  <si>
    <t xml:space="preserve">Walls</t>
  </si>
  <si>
    <t xml:space="preserve">Terrain – Bane</t>
  </si>
  <si>
    <t xml:space="preserve">LOSicon</t>
  </si>
  <si>
    <t xml:space="preserve">Shape = Up to 5 x Hex1a</t>
  </si>
  <si>
    <t xml:space="preserve">Walls can’t be climbed</t>
  </si>
  <si>
    <t xml:space="preserve">&lt;p style="font-size:14px;"&gt;&lt;br&gt;</t>
  </si>
  <si>
    <t xml:space="preserve">&lt;p style="font-size:12px;"&gt;&lt;br&gt;</t>
  </si>
  <si>
    <t xml:space="preserve">Roots</t>
  </si>
  <si>
    <t xml:space="preserve">Shape = 3 x Hex1a</t>
  </si>
  <si>
    <t xml:space="preserve">Trees can be climbed for 1 AP or jazzT</t>
  </si>
  <si>
    <t xml:space="preserve">Trees block line of sight, but do not block movement</t>
  </si>
  <si>
    <t xml:space="preserve">Trees are flammable</t>
  </si>
  <si>
    <t xml:space="preserve">Tunnel</t>
  </si>
  <si>
    <t xml:space="preserve">Shape = Up to 5 connected hexes, always 1 hex wide</t>
  </si>
  <si>
    <t xml:space="preserve">The tunnel allows for normal movement</t>
  </si>
  <si>
    <t xml:space="preserve">This can be placed through any solid structure, including map walls.</t>
  </si>
  <si>
    <t xml:space="preserve">Fortified Gate</t>
  </si>
  <si>
    <t xml:space="preserve">Shape = 1 gate, then up to 2 Hex1a wall hexes adjacent to the gate&lt;br&gt;GateHex</t>
  </si>
  <si>
    <t xml:space="preserve">Locked: The Gate can be opened using the Imbued status effect</t>
  </si>
  <si>
    <t xml:space="preserve">Walls block movement and line of sight, and can’t be climbed</t>
  </si>
  <si>
    <t xml:space="preserve">Rubble</t>
  </si>
  <si>
    <t xml:space="preserve">Shape = Hex3</t>
  </si>
  <si>
    <t xml:space="preserve">Each rubble hex takes 2 hexes of movement to enter</t>
  </si>
  <si>
    <t xml:space="preserve"> &lt;span style="color:#27ae60"&gt;&lt;strong&gt;Jazz&lt;/strong&gt;&lt;/span&gt;</t>
  </si>
  <si>
    <t xml:space="preserve">Giant Lichen</t>
  </si>
  <si>
    <t xml:space="preserve">Lichen blocks line of sight</t>
  </si>
  <si>
    <t xml:space="preserve">Fire will burn all connected lichen hexes, dealing 2 Armour Piercing damage and inflicting the Burning status to anyone any being in the lichen </t>
  </si>
  <si>
    <t xml:space="preserve">Burning lichen is destroyed at the end of the bosses turn</t>
  </si>
  <si>
    <t xml:space="preserve">&lt;span style="color:#e74c3c"&gt;&lt;strong&gt;Flesh&lt;/strong&gt;&lt;/span&gt;</t>
  </si>
  <si>
    <t xml:space="preserve">River</t>
  </si>
  <si>
    <t xml:space="preserve">Shape = A 2 hex wide river running from one wall to another, with a current direction, a source, and lethal waterfall at the end</t>
  </si>
  <si>
    <t xml:space="preserve">Moving in the river costs double movement unless it’s in the flow direction which costs half</t>
  </si>
  <si>
    <t xml:space="preserve">If you end your turn in the river, move 5 hexes in the flow</t>
  </si>
  <si>
    <t xml:space="preserve">&lt;span style="color:#3366cc"&gt;&lt;strong&gt;Weird&lt;/strong&gt;&lt;/span&gt;</t>
  </si>
  <si>
    <t xml:space="preserve">Hot Coals</t>
  </si>
  <si>
    <t xml:space="preserve">Shape = 5 Connected hexes</t>
  </si>
  <si>
    <t xml:space="preserve">If a creature starts their turn on hot coals, they take 3 damage</t>
  </si>
  <si>
    <t xml:space="preserve">Cliff</t>
  </si>
  <si>
    <t xml:space="preserve">Shape = A continuous line between two walls, with a high side and a low side</t>
  </si>
  <si>
    <t xml:space="preserve">Beings may Climb for 3AP or jazzt </t>
  </si>
  <si>
    <t xml:space="preserve">If a being falls of the cliff they take 8 damage</t>
  </si>
  <si>
    <t xml:space="preserve">The cliff blocks line of sight for anyone on the low side except on the cliff edge</t>
  </si>
  <si>
    <t xml:space="preserve">Whisky Barrel</t>
  </si>
  <si>
    <t xml:space="preserve">Shape = Hex1a</t>
  </si>
  <si>
    <t xml:space="preserve">&lt;b&gt;Drink: 1AP&lt;/b&gt;&lt;br&gt; Become monstrous</t>
  </si>
  <si>
    <t xml:space="preserve">Fire will cause the barrel to explode, dealing 8 damage to everything in a 2 hex radius &lt;br&gt; whiskey_Xplo</t>
  </si>
  <si>
    <t xml:space="preserve">Pillar</t>
  </si>
  <si>
    <t xml:space="preserve">Shape = Hex1b x 3</t>
  </si>
  <si>
    <t xml:space="preserve">The pillar blocks line of sight for anyone on the low side</t>
  </si>
  <si>
    <t xml:space="preserve">Fixed Arbalest</t>
  </si>
  <si>
    <t xml:space="preserve">Terrain – Boon</t>
  </si>
  <si>
    <t xml:space="preserve">&lt;i&gt;Ranged attack- &lt;/i&gt;&lt;b&gt;Fire!:3AP&lt;/b&gt;&lt;br&gt; The arbalest is must be loaded.&lt;br&gt; Damage = 8. &lt;br&gt;Hits everyone in a line</t>
  </si>
  <si>
    <t xml:space="preserve">&lt;b&gt;Reload&lt;/b&gt; - 3AP + flesht flesht: reload the arbalest</t>
  </si>
  <si>
    <t xml:space="preserve">Starts loaded</t>
  </si>
  <si>
    <t xml:space="preserve">Campfire</t>
  </si>
  <si>
    <t xml:space="preserve">Ending your turn next to the campfire restores all composure</t>
  </si>
  <si>
    <t xml:space="preserve">If a being steps on the campfire they take 6 Armour Piercing damage and suffer the burning status</t>
  </si>
  <si>
    <t xml:space="preserve">&lt;b&gt;Rest: 4AP&lt;/b&gt;&lt;br&gt;Gain the well rested status effect</t>
  </si>
  <si>
    <t xml:space="preserve">Mud Pit</t>
  </si>
  <si>
    <t xml:space="preserve">Shape = Hex1b</t>
  </si>
  <si>
    <t xml:space="preserve">Spend 1 fleshT or 1AP to move through 1 hex</t>
  </si>
  <si>
    <t xml:space="preserve">&lt;b&gt;Rummage: 1AP + fleshT fleshT&lt;/b&gt;&lt;br&gt; gain 1 limb or impression. This can only be done once</t>
  </si>
  <si>
    <t xml:space="preserve">Quartz Sphere</t>
  </si>
  <si>
    <t xml:space="preserve">&lt;b&gt;Ponder: 1AP + weirdT weirdT &lt;/b&gt;&lt;br&gt;Gain the portent status</t>
  </si>
  <si>
    <t xml:space="preserve">Portal</t>
  </si>
  <si>
    <t xml:space="preserve">Shape = Hex1a x 2</t>
  </si>
  <si>
    <t xml:space="preserve">&lt;b&gt;Jump: weirdT&lt;/b&gt;&lt;br&gt; Teleport to any unoccupied portal hex</t>
  </si>
  <si>
    <t xml:space="preserve">Sculptor’s wheel</t>
  </si>
  <si>
    <t xml:space="preserve">&lt;b&gt;Locked:&lt;/b&gt; This can be opened using the imbued status effect to look at 3 limbs or impressions and equip any number of them</t>
  </si>
  <si>
    <t xml:space="preserve">Fountain of life</t>
  </si>
  <si>
    <t xml:space="preserve">&lt;b&gt;Drink: 3AP&lt;/b&gt; Restore 2 wounds and empty the fountain. It can’t be used again</t>
  </si>
  <si>
    <t xml:space="preserve">Weird Fossil</t>
  </si>
  <si>
    <t xml:space="preserve">Each hex may be &lt;br&gt;&lt;b&gt;Excavated: 3AP or 1 weirdT and 1AP&lt;/b&gt;&lt;br&gt; Replenish a spent charge token on a card and destroy that hex</t>
  </si>
  <si>
    <t xml:space="preserve">Stained Stalagmite</t>
  </si>
  <si>
    <t xml:space="preserve">&lt;b&gt;Sacrifice: 1AP + a wound to a stat of your choice&lt;/b&gt;&lt;br&gt; Draw an impression. You may equip it.</t>
  </si>
  <si>
    <t xml:space="preserve">Pure Clay</t>
  </si>
  <si>
    <t xml:space="preserve">&lt;b&gt;Imbibe: 2AP + 1 weirdT&lt;/b&gt;&lt;br&gt; Destroy this and gain the Imbued status</t>
  </si>
  <si>
    <t xml:space="preserve">Cave Paintings</t>
  </si>
  <si>
    <t xml:space="preserve">Shape = 3 x Hex1a paintings that are at least 3 hexes apart from each other. Cavepaint1</t>
  </si>
  <si>
    <t xml:space="preserve">&lt;b&gt;Study: 1AP&lt;/b&gt;&lt;br&gt; Permanently gain a +1 damage bonus against the boss </t>
  </si>
  <si>
    <t xml:space="preserve">Each player can only study each painting once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</si>
</sst>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729FCF"/>
        <bgColor rgb="FF969696"/>
      </patternFill>
    </fill>
    <fill>
      <patternFill patternType="solid">
        <fgColor rgb="FFFF6D6D"/>
        <bgColor rgb="FFFF6600"/>
      </patternFill>
    </fill>
    <fill>
      <patternFill patternType="solid">
        <fgColor theme="4" tint="0.7999"/>
        <bgColor rgb="FFCCFFFF"/>
      </patternFill>
    </fill>
    <fill>
      <patternFill patternType="solid">
        <fgColor rgb="FFAFD095"/>
        <bgColor rgb="FFC6E0B4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/>
      <right/>
      <top style="thin">
        <color theme="4" tint="0.3999"/>
      </top>
      <bottom style="thin">
        <color theme="4" tint="0.399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3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0" borderId="1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4" borderId="3" xfId="0" applyFont="false" applyBorder="true" applyAlignment="true" applyProtection="true">
      <alignment horizontal="left" vertical="top" textRotation="0" wrapText="true" indent="0" shrinkToFit="false" readingOrder="1"/>
      <protection locked="true" hidden="false"/>
    </xf>
    <xf numFmtId="164" fontId="0" fillId="5" borderId="1" xfId="0" applyFont="true" applyBorder="true" applyAlignment="true" applyProtection="true">
      <alignment horizontal="left" vertical="top" textRotation="0" wrapText="true" indent="0" shrinkToFit="false" readingOrder="1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729FC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AFD095"/>
          <bgColor rgb="FF000000"/>
        </patternFill>
      </fill>
    </dxf>
    <dxf>
      <fill>
        <patternFill patternType="solid">
          <fgColor rgb="FFFF6D6D"/>
          <bgColor rgb="FF000000"/>
        </patternFill>
      </fill>
    </dxf>
    <dxf>
      <fill>
        <patternFill patternType="solid">
          <fgColor rgb="FFC1E5F5"/>
          <bgColor rgb="FF000000"/>
        </patternFill>
      </fill>
    </dxf>
    <dxf>
      <fill>
        <patternFill>
          <bgColor rgb="FFF6B0DD"/>
        </patternFill>
      </fill>
    </dxf>
    <dxf>
      <fill>
        <patternFill>
          <bgColor rgb="FFFFE699"/>
        </patternFill>
      </fill>
    </dxf>
    <dxf>
      <fill>
        <patternFill>
          <bgColor rgb="FFF8CBAD"/>
        </patternFill>
      </fill>
    </dxf>
    <dxf>
      <fill>
        <patternFill>
          <bgColor rgb="FFC6E0B4"/>
        </patternFill>
      </fill>
    </dxf>
    <dxf>
      <fill>
        <patternFill>
          <bgColor rgb="FFB4C6E7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729FCF"/>
      <rgbColor rgb="FF993366"/>
      <rgbColor rgb="FFFFFFCC"/>
      <rgbColor rgb="FFCCFFFF"/>
      <rgbColor rgb="FF660066"/>
      <rgbColor rgb="FFFF6D6D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AFD095"/>
      <rgbColor rgb="FFF6B0DD"/>
      <rgbColor rgb="FFCC99FF"/>
      <rgbColor rgb="FFF8CBAD"/>
      <rgbColor rgb="FF3366FF"/>
      <rgbColor rgb="FF46B1E1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ables/table1.xml><?xml version="1.0" encoding="utf-8"?>
<table xmlns="http://schemas.openxmlformats.org/spreadsheetml/2006/main" id="1" name="Table3" displayName="Table3" ref="A1:J39" headerRowCount="1" totalsRowCount="0" totalsRowShown="0">
  <autoFilter ref="A1:J39"/>
  <tableColumns count="10">
    <tableColumn id="1" name="Name"/>
    <tableColumn id="2" name="Type"/>
    <tableColumn id="3" name="SmallTextTag"/>
    <tableColumn id="4" name="TopRightText"/>
    <tableColumn id="5" name="Effect 1"/>
    <tableColumn id="6" name="Effect 2"/>
    <tableColumn id="7" name="Effect 3"/>
    <tableColumn id="8" name="Effect 4"/>
    <tableColumn id="9" name="Flavour Text"/>
    <tableColumn id="10" name="Body HTML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4" activeCellId="0" sqref="H4"/>
    </sheetView>
  </sheetViews>
  <sheetFormatPr defaultColWidth="8.63671875" defaultRowHeight="15" customHeight="true" zeroHeight="false" outlineLevelRow="0" outlineLevelCol="0"/>
  <cols>
    <col collapsed="false" customWidth="true" hidden="false" outlineLevel="0" max="3" min="1" style="1" width="11"/>
    <col collapsed="false" customWidth="true" hidden="false" outlineLevel="0" max="4" min="4" style="1" width="25.7"/>
    <col collapsed="false" customWidth="true" hidden="false" outlineLevel="0" max="5" min="5" style="1" width="28.14"/>
    <col collapsed="false" customWidth="true" hidden="false" outlineLevel="0" max="6" min="6" style="1" width="25.42"/>
    <col collapsed="false" customWidth="true" hidden="false" outlineLevel="0" max="7" min="7" style="1" width="19.85"/>
    <col collapsed="false" customWidth="true" hidden="false" outlineLevel="0" max="8" min="8" style="1" width="11"/>
    <col collapsed="false" customWidth="true" hidden="false" outlineLevel="0" max="9" min="9" style="1" width="11.14"/>
    <col collapsed="false" customWidth="true" hidden="false" outlineLevel="0" max="10" min="10" style="2" width="54.72"/>
    <col collapsed="false" customWidth="true" hidden="false" outlineLevel="0" max="11" min="11" style="2" width="18.28"/>
  </cols>
  <sheetData>
    <row r="1" customFormat="false" ht="24.05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  <c r="J1" s="5" t="s">
        <v>9</v>
      </c>
    </row>
    <row r="2" customFormat="false" ht="22.85" hidden="false" customHeight="false" outlineLevel="0" collapsed="false">
      <c r="A2" s="6" t="s">
        <v>10</v>
      </c>
      <c r="B2" s="7" t="s">
        <v>11</v>
      </c>
      <c r="C2" s="8"/>
      <c r="D2" s="6" t="s">
        <v>12</v>
      </c>
      <c r="E2" s="6" t="s">
        <v>13</v>
      </c>
      <c r="F2" s="6" t="s">
        <v>14</v>
      </c>
      <c r="G2" s="6"/>
      <c r="H2" s="6"/>
      <c r="I2" s="6"/>
      <c r="J2" s="9" t="str">
        <f aca="false">IF(C2="yes",_xlfn.CONCAT($N$2,E2,IF(F2="","","&lt;img src=Images\line.png&gt;"),F2,IF(G2="","","&lt;img src=Images\line.png&gt;"),G2,IF(H2="","","&lt;img src=Images\line.png&gt;"),H2,),_xlfn.CONCAT($M$2,E2,IF(F2="","","&lt;img src=Images\line.png&gt;"),F2,IF(G2="","","&lt;img src=Images\line.png&gt;"),G2,IF(H2="","","&lt;img src=Images\line.png&gt;"),H2,))</f>
        <v>&lt;p style="font-size:14px;"&gt;&lt;br&gt;Shape = Up to 5 x Hex1a&lt;img src=Images\line.png&gt;Walls can’t be climbed</v>
      </c>
      <c r="M2" s="2" t="s">
        <v>15</v>
      </c>
      <c r="N2" s="2" t="s">
        <v>16</v>
      </c>
    </row>
    <row r="3" customFormat="false" ht="44.55" hidden="false" customHeight="false" outlineLevel="0" collapsed="false">
      <c r="A3" s="6" t="s">
        <v>17</v>
      </c>
      <c r="B3" s="7" t="s">
        <v>11</v>
      </c>
      <c r="C3" s="8"/>
      <c r="D3" s="6" t="s">
        <v>12</v>
      </c>
      <c r="E3" s="6" t="s">
        <v>18</v>
      </c>
      <c r="F3" s="6" t="s">
        <v>19</v>
      </c>
      <c r="G3" s="6" t="s">
        <v>20</v>
      </c>
      <c r="H3" s="6" t="s">
        <v>21</v>
      </c>
      <c r="I3" s="6"/>
      <c r="J3" s="9" t="str">
        <f aca="false">IF(C3="yes",_xlfn.CONCAT($N$2,E3,IF(F3="","","&lt;img src=Images\line.png&gt;"),F3,IF(G3="","","&lt;img src=Images\line.png&gt;"),G3,IF(H3="","","&lt;img src=Images\line.png&gt;"),H3,),_xlfn.CONCAT($M$2,E3,IF(F3="","","&lt;img src=Images\line.png&gt;"),F3,IF(G3="","","&lt;img src=Images\line.png&gt;"),G3,IF(H3="","","&lt;img src=Images\line.png&gt;"),H3,))</f>
        <v>&lt;p style="font-size:14px;"&gt;&lt;br&gt;Shape = 3 x Hex1a&lt;img src=Images\line.png&gt;Trees can be climbed for 1 AP or jazzT&lt;img src=Images\line.png&gt;Trees block line of sight, but do not block movement&lt;img src=Images\line.png&gt;Trees are flammable</v>
      </c>
    </row>
    <row r="4" customFormat="false" ht="44.55" hidden="false" customHeight="false" outlineLevel="0" collapsed="false">
      <c r="A4" s="6" t="s">
        <v>22</v>
      </c>
      <c r="B4" s="7" t="s">
        <v>11</v>
      </c>
      <c r="C4" s="8"/>
      <c r="D4" s="6"/>
      <c r="E4" s="6" t="s">
        <v>23</v>
      </c>
      <c r="F4" s="6" t="s">
        <v>24</v>
      </c>
      <c r="G4" s="6" t="s">
        <v>25</v>
      </c>
      <c r="H4" s="6"/>
      <c r="I4" s="6"/>
      <c r="J4" s="9" t="str">
        <f aca="false">IF(C4="yes",_xlfn.CONCAT($N$2,E4,IF(F4="","","&lt;img src=Images\line.png&gt;"),F4,IF(G4="","","&lt;img src=Images\line.png&gt;"),G4,IF(H4="","","&lt;img src=Images\line.png&gt;"),H4,),_xlfn.CONCAT($M$2,E4,IF(F4="","","&lt;img src=Images\line.png&gt;"),F4,IF(G4="","","&lt;img src=Images\line.png&gt;"),G4,IF(H4="","","&lt;img src=Images\line.png&gt;"),H4,))</f>
        <v>&lt;p style="font-size:14px;"&gt;&lt;br&gt;Shape = Up to 5 connected hexes, always 1 hex wide&lt;img src=Images\line.png&gt;The tunnel allows for normal movement&lt;img src=Images\line.png&gt;This can be placed through any solid structure, including map walls.</v>
      </c>
    </row>
    <row r="5" customFormat="false" ht="55.4" hidden="false" customHeight="false" outlineLevel="0" collapsed="false">
      <c r="A5" s="6" t="s">
        <v>26</v>
      </c>
      <c r="B5" s="7" t="s">
        <v>11</v>
      </c>
      <c r="C5" s="8"/>
      <c r="D5" s="6" t="s">
        <v>12</v>
      </c>
      <c r="E5" s="6" t="s">
        <v>27</v>
      </c>
      <c r="F5" s="6" t="s">
        <v>28</v>
      </c>
      <c r="G5" s="6" t="s">
        <v>29</v>
      </c>
      <c r="H5" s="6"/>
      <c r="I5" s="6"/>
      <c r="J5" s="9" t="str">
        <f aca="false">IF(C5="yes",_xlfn.CONCAT($N$2,E5,IF(F5="","","&lt;img src=Images\line.png&gt;"),F5,IF(G5="","","&lt;img src=Images\line.png&gt;"),G5,IF(H5="","","&lt;img src=Images\line.png&gt;"),H5,),_xlfn.CONCAT($M$2,E5,IF(F5="","","&lt;img src=Images\line.png&gt;"),F5,IF(G5="","","&lt;img src=Images\line.png&gt;"),G5,IF(H5="","","&lt;img src=Images\line.png&gt;"),H5,))</f>
        <v>&lt;p style="font-size:14px;"&gt;&lt;br&gt;Shape = 1 gate, then up to 2 Hex1a wall hexes adjacent to the gate&lt;br&gt;GateHex&lt;img src=Images\line.png&gt;Locked: The Gate can be opened using the Imbued status effect&lt;img src=Images\line.png&gt;Walls block movement and line of sight, and can’t be climbed</v>
      </c>
    </row>
    <row r="6" customFormat="false" ht="33.7" hidden="false" customHeight="false" outlineLevel="0" collapsed="false">
      <c r="A6" s="6" t="s">
        <v>30</v>
      </c>
      <c r="B6" s="7" t="s">
        <v>11</v>
      </c>
      <c r="C6" s="8"/>
      <c r="D6" s="6"/>
      <c r="E6" s="6" t="s">
        <v>31</v>
      </c>
      <c r="F6" s="6" t="s">
        <v>32</v>
      </c>
      <c r="G6" s="6"/>
      <c r="H6" s="6"/>
      <c r="I6" s="6"/>
      <c r="J6" s="9" t="str">
        <f aca="false">IF(C6="yes",_xlfn.CONCAT($N$2,E6,IF(F6="","","&lt;img src=Images\line.png&gt;"),F6,IF(G6="","","&lt;img src=Images\line.png&gt;"),G6,IF(H6="","","&lt;img src=Images\line.png&gt;"),H6,),_xlfn.CONCAT($M$2,E6,IF(F6="","","&lt;img src=Images\line.png&gt;"),F6,IF(G6="","","&lt;img src=Images\line.png&gt;"),G6,IF(H6="","","&lt;img src=Images\line.png&gt;"),H6,))</f>
        <v>&lt;p style="font-size:14px;"&gt;&lt;br&gt;Shape = Hex3&lt;img src=Images\line.png&gt;Each rubble hex takes 2 hexes of movement to enter</v>
      </c>
      <c r="K6" s="2" t="s">
        <v>33</v>
      </c>
    </row>
    <row r="7" customFormat="false" ht="77.1" hidden="false" customHeight="false" outlineLevel="0" collapsed="false">
      <c r="A7" s="6" t="s">
        <v>34</v>
      </c>
      <c r="B7" s="7" t="s">
        <v>11</v>
      </c>
      <c r="C7" s="8"/>
      <c r="D7" s="6" t="s">
        <v>12</v>
      </c>
      <c r="E7" s="6" t="s">
        <v>31</v>
      </c>
      <c r="F7" s="6" t="s">
        <v>35</v>
      </c>
      <c r="G7" s="6" t="s">
        <v>36</v>
      </c>
      <c r="H7" s="6" t="s">
        <v>37</v>
      </c>
      <c r="I7" s="6"/>
      <c r="J7" s="9" t="str">
        <f aca="false">IF(C7="yes",_xlfn.CONCAT($N$2,E7,IF(F7="","","&lt;img src=Images\line.png&gt;"),F7,IF(G7="","","&lt;img src=Images\line.png&gt;"),G7,IF(H7="","","&lt;img src=Images\line.png&gt;"),H7,),_xlfn.CONCAT($M$2,E7,IF(F7="","","&lt;img src=Images\line.png&gt;"),F7,IF(G7="","","&lt;img src=Images\line.png&gt;"),G7,IF(H7="","","&lt;img src=Images\line.png&gt;"),H7,))</f>
        <v>&lt;p style="font-size:14px;"&gt;&lt;br&gt;Shape = Hex3&lt;img src=Images\line.png&gt;Lichen blocks line of sight&lt;img src=Images\line.png&gt;Fire will burn all connected lichen hexes, dealing 2 Armour Piercing damage and inflicting the Burning status to anyone any being in the lichen &lt;img src=Images\line.png&gt;Burning lichen is destroyed at the end of the bosses turn</v>
      </c>
      <c r="K7" s="2" t="s">
        <v>38</v>
      </c>
    </row>
    <row r="8" customFormat="false" ht="66.25" hidden="false" customHeight="false" outlineLevel="0" collapsed="false">
      <c r="A8" s="6" t="s">
        <v>39</v>
      </c>
      <c r="B8" s="7" t="s">
        <v>11</v>
      </c>
      <c r="C8" s="8"/>
      <c r="D8" s="6"/>
      <c r="E8" s="6" t="s">
        <v>40</v>
      </c>
      <c r="F8" s="6" t="s">
        <v>41</v>
      </c>
      <c r="G8" s="6" t="s">
        <v>42</v>
      </c>
      <c r="H8" s="6"/>
      <c r="I8" s="6"/>
      <c r="J8" s="9" t="str">
        <f aca="false">IF(C8="yes",_xlfn.CONCAT($N$2,E8,IF(F8="","","&lt;img src=Images\line.png&gt;"),F8,IF(G8="","","&lt;img src=Images\line.png&gt;"),G8,IF(H8="","","&lt;img src=Images\line.png&gt;"),H8,),_xlfn.CONCAT($M$2,E8,IF(F8="","","&lt;img src=Images\line.png&gt;"),F8,IF(G8="","","&lt;img src=Images\line.png&gt;"),G8,IF(H8="","","&lt;img src=Images\line.png&gt;"),H8,))</f>
        <v>&lt;p style="font-size:14px;"&gt;&lt;br&gt;Shape = A 2 hex wide river running from one wall to another, with a current direction, a source, and lethal waterfall at the end&lt;img src=Images\line.png&gt;Moving in the river costs double movement unless it’s in the flow direction which costs half&lt;img src=Images\line.png&gt;If you end your turn in the river, move 5 hexes in the flow</v>
      </c>
      <c r="K8" s="2" t="s">
        <v>43</v>
      </c>
    </row>
    <row r="9" customFormat="false" ht="33.7" hidden="false" customHeight="false" outlineLevel="0" collapsed="false">
      <c r="A9" s="6" t="s">
        <v>44</v>
      </c>
      <c r="B9" s="7" t="s">
        <v>11</v>
      </c>
      <c r="C9" s="8"/>
      <c r="D9" s="6"/>
      <c r="E9" s="6" t="s">
        <v>45</v>
      </c>
      <c r="F9" s="6" t="s">
        <v>46</v>
      </c>
      <c r="G9" s="6"/>
      <c r="H9" s="6"/>
      <c r="I9" s="6"/>
      <c r="J9" s="9" t="str">
        <f aca="false">IF(C9="yes",_xlfn.CONCAT($N$2,E9,IF(F9="","","&lt;img src=Images\line.png&gt;"),F9,IF(G9="","","&lt;img src=Images\line.png&gt;"),G9,IF(H9="","","&lt;img src=Images\line.png&gt;"),H9,),_xlfn.CONCAT($M$2,E9,IF(F9="","","&lt;img src=Images\line.png&gt;"),F9,IF(G9="","","&lt;img src=Images\line.png&gt;"),G9,IF(H9="","","&lt;img src=Images\line.png&gt;"),H9,))</f>
        <v>&lt;p style="font-size:14px;"&gt;&lt;br&gt;Shape = 5 Connected hexes&lt;img src=Images\line.png&gt;If a creature starts their turn on hot coals, they take 3 damage</v>
      </c>
    </row>
    <row r="10" customFormat="false" ht="77.1" hidden="false" customHeight="false" outlineLevel="0" collapsed="false">
      <c r="A10" s="6" t="s">
        <v>47</v>
      </c>
      <c r="B10" s="7" t="s">
        <v>11</v>
      </c>
      <c r="C10" s="8"/>
      <c r="D10" s="6" t="s">
        <v>12</v>
      </c>
      <c r="E10" s="6" t="s">
        <v>48</v>
      </c>
      <c r="F10" s="6" t="s">
        <v>49</v>
      </c>
      <c r="G10" s="6" t="s">
        <v>50</v>
      </c>
      <c r="H10" s="6" t="s">
        <v>51</v>
      </c>
      <c r="I10" s="6"/>
      <c r="J10" s="9" t="str">
        <f aca="false">IF(C10="yes",_xlfn.CONCAT($N$2,E10,IF(F10="","","&lt;img src=Images\line.png&gt;"),F10,IF(G10="","","&lt;img src=Images\line.png&gt;"),G10,IF(H10="","","&lt;img src=Images\line.png&gt;"),H10,),_xlfn.CONCAT($M$2,E10,IF(F10="","","&lt;img src=Images\line.png&gt;"),F10,IF(G10="","","&lt;img src=Images\line.png&gt;"),G10,IF(H10="","","&lt;img src=Images\line.png&gt;"),H10,))</f>
        <v>&lt;p style="font-size:14px;"&gt;&lt;br&gt;Shape = A continuous line between two walls, with a high side and a low side&lt;img src=Images\line.png&gt;Beings may Climb for 3AP or jazzt &lt;img src=Images\line.png&gt;If a being falls of the cliff they take 8 damage&lt;img src=Images\line.png&gt;The cliff blocks line of sight for anyone on the low side except on the cliff edge</v>
      </c>
    </row>
    <row r="11" customFormat="false" ht="55.4" hidden="false" customHeight="false" outlineLevel="0" collapsed="false">
      <c r="A11" s="6" t="s">
        <v>52</v>
      </c>
      <c r="B11" s="7" t="s">
        <v>11</v>
      </c>
      <c r="C11" s="8"/>
      <c r="D11" s="6"/>
      <c r="E11" s="6" t="s">
        <v>53</v>
      </c>
      <c r="F11" s="6" t="s">
        <v>54</v>
      </c>
      <c r="G11" s="6" t="s">
        <v>55</v>
      </c>
      <c r="H11" s="6"/>
      <c r="I11" s="6"/>
      <c r="J11" s="9" t="str">
        <f aca="false">IF(C11="yes",_xlfn.CONCAT($N$2,E11,IF(F11="","","&lt;img src=Images\line.png&gt;"),F11,IF(G11="","","&lt;img src=Images\line.png&gt;"),G11,IF(H11="","","&lt;img src=Images\line.png&gt;"),H11,),_xlfn.CONCAT($M$2,E11,IF(F11="","","&lt;img src=Images\line.png&gt;"),F11,IF(G11="","","&lt;img src=Images\line.png&gt;"),G11,IF(H11="","","&lt;img src=Images\line.png&gt;"),H11,))</f>
        <v>&lt;p style="font-size:14px;"&gt;&lt;br&gt;Shape = Hex1a&lt;img src=Images\line.png&gt;&lt;b&gt;Drink: 1AP&lt;/b&gt;&lt;br&gt; Become monstrous&lt;img src=Images\line.png&gt;Fire will cause the barrel to explode, dealing 8 damage to everything in a 2 hex radius &lt;br&gt; whiskey_Xplo</v>
      </c>
    </row>
    <row r="12" customFormat="false" ht="55.4" hidden="false" customHeight="false" outlineLevel="0" collapsed="false">
      <c r="A12" s="6" t="s">
        <v>56</v>
      </c>
      <c r="B12" s="7" t="s">
        <v>11</v>
      </c>
      <c r="C12" s="8"/>
      <c r="D12" s="6" t="s">
        <v>12</v>
      </c>
      <c r="E12" s="6" t="s">
        <v>57</v>
      </c>
      <c r="F12" s="6" t="s">
        <v>49</v>
      </c>
      <c r="G12" s="6" t="s">
        <v>50</v>
      </c>
      <c r="H12" s="6" t="s">
        <v>58</v>
      </c>
      <c r="I12" s="6"/>
      <c r="J12" s="9" t="str">
        <f aca="false">IF(C12="yes",_xlfn.CONCAT($N$2,E12,IF(F12="","","&lt;img src=Images\line.png&gt;"),F12,IF(G12="","","&lt;img src=Images\line.png&gt;"),G12,IF(H12="","","&lt;img src=Images\line.png&gt;"),H12,),_xlfn.CONCAT($M$2,E12,IF(F12="","","&lt;img src=Images\line.png&gt;"),F12,IF(G12="","","&lt;img src=Images\line.png&gt;"),G12,IF(H12="","","&lt;img src=Images\line.png&gt;"),H12,))</f>
        <v>&lt;p style="font-size:14px;"&gt;&lt;br&gt;Shape = Hex1b x 3&lt;img src=Images\line.png&gt;Beings may Climb for 3AP or jazzt &lt;img src=Images\line.png&gt;If a being falls of the cliff they take 8 damage&lt;img src=Images\line.png&gt;The pillar blocks line of sight for anyone on the low side</v>
      </c>
    </row>
    <row r="13" customFormat="false" ht="55.4" hidden="false" customHeight="false" outlineLevel="0" collapsed="false">
      <c r="A13" s="6" t="s">
        <v>59</v>
      </c>
      <c r="B13" s="10" t="s">
        <v>60</v>
      </c>
      <c r="C13" s="8"/>
      <c r="D13" s="6"/>
      <c r="E13" s="6" t="s">
        <v>53</v>
      </c>
      <c r="F13" s="6" t="s">
        <v>61</v>
      </c>
      <c r="G13" s="6" t="s">
        <v>62</v>
      </c>
      <c r="H13" s="6" t="s">
        <v>63</v>
      </c>
      <c r="I13" s="6"/>
      <c r="J13" s="9" t="str">
        <f aca="false">IF(C13="yes",_xlfn.CONCAT($N$2,E13,IF(F13="","","&lt;img src=Images\line.png&gt;"),F13,IF(G13="","","&lt;img src=Images\line.png&gt;"),G13,IF(H13="","","&lt;img src=Images\line.png&gt;"),H13,),_xlfn.CONCAT($M$2,E13,IF(F13="","","&lt;img src=Images\line.png&gt;"),F13,IF(G13="","","&lt;img src=Images\line.png&gt;"),G13,IF(H13="","","&lt;img src=Images\line.png&gt;"),H13,))</f>
        <v>&lt;p style="font-size:14px;"&gt;&lt;br&gt;Shape = Hex1a&lt;img src=Images\line.png&gt;&lt;i&gt;Ranged attack- &lt;/i&gt;&lt;b&gt;Fire!:3AP&lt;/b&gt;&lt;br&gt; The arbalest is must be loaded.&lt;br&gt; Damage = 8. &lt;br&gt;Hits everyone in a line&lt;img src=Images\line.png&gt;&lt;b&gt;Reload&lt;/b&gt; - 3AP + flesht flesht: reload the arbalest&lt;img src=Images\line.png&gt;Starts loaded</v>
      </c>
    </row>
    <row r="14" customFormat="false" ht="66.25" hidden="false" customHeight="false" outlineLevel="0" collapsed="false">
      <c r="A14" s="6" t="s">
        <v>64</v>
      </c>
      <c r="B14" s="10" t="s">
        <v>60</v>
      </c>
      <c r="C14" s="8"/>
      <c r="D14" s="6"/>
      <c r="E14" s="6" t="s">
        <v>53</v>
      </c>
      <c r="F14" s="6" t="s">
        <v>65</v>
      </c>
      <c r="G14" s="6" t="s">
        <v>66</v>
      </c>
      <c r="H14" s="6" t="s">
        <v>67</v>
      </c>
      <c r="I14" s="6"/>
      <c r="J14" s="9" t="str">
        <f aca="false">IF(C14="yes",_xlfn.CONCAT($N$2,E14,IF(F14="","","&lt;img src=Images\line.png&gt;"),F14,IF(G14="","","&lt;img src=Images\line.png&gt;"),G14,IF(H14="","","&lt;img src=Images\line.png&gt;"),H14,),_xlfn.CONCAT($M$2,E14,IF(F14="","","&lt;img src=Images\line.png&gt;"),F14,IF(G14="","","&lt;img src=Images\line.png&gt;"),G14,IF(H14="","","&lt;img src=Images\line.png&gt;"),H14,))</f>
        <v>&lt;p style="font-size:14px;"&gt;&lt;br&gt;Shape = Hex1a&lt;img src=Images\line.png&gt;Ending your turn next to the campfire restores all composure&lt;img src=Images\line.png&gt;If a being steps on the campfire they take 6 Armour Piercing damage and suffer the burning status&lt;img src=Images\line.png&gt;&lt;b&gt;Rest: 4AP&lt;/b&gt;&lt;br&gt;Gain the well rested status effect</v>
      </c>
    </row>
    <row r="15" customFormat="false" ht="44.55" hidden="false" customHeight="false" outlineLevel="0" collapsed="false">
      <c r="A15" s="6" t="s">
        <v>68</v>
      </c>
      <c r="B15" s="10" t="s">
        <v>60</v>
      </c>
      <c r="C15" s="8"/>
      <c r="D15" s="6"/>
      <c r="E15" s="6" t="s">
        <v>69</v>
      </c>
      <c r="F15" s="6" t="s">
        <v>70</v>
      </c>
      <c r="G15" s="6" t="s">
        <v>71</v>
      </c>
      <c r="H15" s="6"/>
      <c r="I15" s="6"/>
      <c r="J15" s="9" t="str">
        <f aca="false">IF(C15="yes",_xlfn.CONCAT($N$2,E15,IF(F15="","","&lt;img src=Images\line.png&gt;"),F15,IF(G15="","","&lt;img src=Images\line.png&gt;"),G15,IF(H15="","","&lt;img src=Images\line.png&gt;"),H15,),_xlfn.CONCAT($M$2,E15,IF(F15="","","&lt;img src=Images\line.png&gt;"),F15,IF(G15="","","&lt;img src=Images\line.png&gt;"),G15,IF(H15="","","&lt;img src=Images\line.png&gt;"),H15,))</f>
        <v>&lt;p style="font-size:14px;"&gt;&lt;br&gt;Shape = Hex1b&lt;img src=Images\line.png&gt;Spend 1 fleshT or 1AP to move through 1 hex&lt;img src=Images\line.png&gt;&lt;b&gt;Rummage: 1AP + fleshT fleshT&lt;/b&gt;&lt;br&gt; gain 1 limb or impression. This can only be done once</v>
      </c>
    </row>
    <row r="16" customFormat="false" ht="33.7" hidden="false" customHeight="false" outlineLevel="0" collapsed="false">
      <c r="A16" s="6" t="s">
        <v>72</v>
      </c>
      <c r="B16" s="10" t="s">
        <v>60</v>
      </c>
      <c r="C16" s="8"/>
      <c r="D16" s="6"/>
      <c r="E16" s="6" t="s">
        <v>53</v>
      </c>
      <c r="F16" s="6" t="s">
        <v>73</v>
      </c>
      <c r="G16" s="6"/>
      <c r="H16" s="6"/>
      <c r="I16" s="6"/>
      <c r="J16" s="9" t="str">
        <f aca="false">IF(C16="yes",_xlfn.CONCAT($N$2,E16,IF(F16="","","&lt;img src=Images\line.png&gt;"),F16,IF(G16="","","&lt;img src=Images\line.png&gt;"),G16,IF(H16="","","&lt;img src=Images\line.png&gt;"),H16,),_xlfn.CONCAT($M$2,E16,IF(F16="","","&lt;img src=Images\line.png&gt;"),F16,IF(G16="","","&lt;img src=Images\line.png&gt;"),G16,IF(H16="","","&lt;img src=Images\line.png&gt;"),H16,))</f>
        <v>&lt;p style="font-size:14px;"&gt;&lt;br&gt;Shape = Hex1a&lt;img src=Images\line.png&gt;&lt;b&gt;Ponder: 1AP + weirdT weirdT &lt;/b&gt;&lt;br&gt;Gain the portent status</v>
      </c>
    </row>
    <row r="17" customFormat="false" ht="33.7" hidden="false" customHeight="false" outlineLevel="0" collapsed="false">
      <c r="A17" s="6" t="s">
        <v>74</v>
      </c>
      <c r="B17" s="10" t="s">
        <v>60</v>
      </c>
      <c r="C17" s="8"/>
      <c r="D17" s="6"/>
      <c r="E17" s="6" t="s">
        <v>75</v>
      </c>
      <c r="F17" s="6" t="s">
        <v>76</v>
      </c>
      <c r="G17" s="6"/>
      <c r="H17" s="6"/>
      <c r="I17" s="6"/>
      <c r="J17" s="9" t="str">
        <f aca="false">IF(C17="yes",_xlfn.CONCAT($N$2,E17,IF(F17="","","&lt;img src=Images\line.png&gt;"),F17,IF(G17="","","&lt;img src=Images\line.png&gt;"),G17,IF(H17="","","&lt;img src=Images\line.png&gt;"),H17,),_xlfn.CONCAT($M$2,E17,IF(F17="","","&lt;img src=Images\line.png&gt;"),F17,IF(G17="","","&lt;img src=Images\line.png&gt;"),G17,IF(H17="","","&lt;img src=Images\line.png&gt;"),H17,))</f>
        <v>&lt;p style="font-size:14px;"&gt;&lt;br&gt;Shape = Hex1a x 2&lt;img src=Images\line.png&gt;&lt;b&gt;Jump: weirdT&lt;/b&gt;&lt;br&gt; Teleport to any unoccupied portal hex</v>
      </c>
    </row>
    <row r="18" customFormat="false" ht="55.4" hidden="false" customHeight="false" outlineLevel="0" collapsed="false">
      <c r="A18" s="6" t="s">
        <v>77</v>
      </c>
      <c r="B18" s="10" t="s">
        <v>60</v>
      </c>
      <c r="C18" s="8"/>
      <c r="D18" s="6"/>
      <c r="E18" s="6" t="s">
        <v>53</v>
      </c>
      <c r="F18" s="6" t="s">
        <v>78</v>
      </c>
      <c r="G18" s="6"/>
      <c r="H18" s="6"/>
      <c r="I18" s="6"/>
      <c r="J18" s="9" t="str">
        <f aca="false">IF(C18="yes",_xlfn.CONCAT($N$2,E18,IF(F18="","","&lt;img src=Images\line.png&gt;"),F18,IF(G18="","","&lt;img src=Images\line.png&gt;"),G18,IF(H18="","","&lt;img src=Images\line.png&gt;"),H18,),_xlfn.CONCAT($M$2,E18,IF(F18="","","&lt;img src=Images\line.png&gt;"),F18,IF(G18="","","&lt;img src=Images\line.png&gt;"),G18,IF(H18="","","&lt;img src=Images\line.png&gt;"),H18,))</f>
        <v>&lt;p style="font-size:14px;"&gt;&lt;br&gt;Shape = Hex1a&lt;img src=Images\line.png&gt;&lt;b&gt;Locked:&lt;/b&gt; This can be opened using the imbued status effect to look at 3 limbs or impressions and equip any number of them</v>
      </c>
    </row>
    <row r="19" customFormat="false" ht="33.7" hidden="false" customHeight="false" outlineLevel="0" collapsed="false">
      <c r="A19" s="6" t="s">
        <v>79</v>
      </c>
      <c r="B19" s="10" t="s">
        <v>60</v>
      </c>
      <c r="C19" s="8"/>
      <c r="D19" s="6"/>
      <c r="E19" s="6" t="s">
        <v>53</v>
      </c>
      <c r="F19" s="6" t="s">
        <v>80</v>
      </c>
      <c r="G19" s="6"/>
      <c r="H19" s="6"/>
      <c r="I19" s="6"/>
      <c r="J19" s="9" t="str">
        <f aca="false">IF(C19="yes",_xlfn.CONCAT($N$2,E19,IF(F19="","","&lt;img src=Images\line.png&gt;"),F19,IF(G19="","","&lt;img src=Images\line.png&gt;"),G19,IF(H19="","","&lt;img src=Images\line.png&gt;"),H19,),_xlfn.CONCAT($M$2,E19,IF(F19="","","&lt;img src=Images\line.png&gt;"),F19,IF(G19="","","&lt;img src=Images\line.png&gt;"),G19,IF(H19="","","&lt;img src=Images\line.png&gt;"),H19,))</f>
        <v>&lt;p style="font-size:14px;"&gt;&lt;br&gt;Shape = Hex1a&lt;img src=Images\line.png&gt;&lt;b&gt;Drink: 3AP&lt;/b&gt; Restore 2 wounds and empty the fountain. It can’t be used again</v>
      </c>
    </row>
    <row r="20" customFormat="false" ht="55.4" hidden="false" customHeight="false" outlineLevel="0" collapsed="false">
      <c r="A20" s="6" t="s">
        <v>81</v>
      </c>
      <c r="B20" s="10" t="s">
        <v>60</v>
      </c>
      <c r="C20" s="8"/>
      <c r="D20" s="6"/>
      <c r="E20" s="6" t="s">
        <v>69</v>
      </c>
      <c r="F20" s="6" t="s">
        <v>82</v>
      </c>
      <c r="G20" s="6"/>
      <c r="H20" s="6"/>
      <c r="I20" s="6"/>
      <c r="J20" s="9" t="str">
        <f aca="false">IF(C20="yes",_xlfn.CONCAT($N$2,E20,IF(F20="","","&lt;img src=Images\line.png&gt;"),F20,IF(G20="","","&lt;img src=Images\line.png&gt;"),G20,IF(H20="","","&lt;img src=Images\line.png&gt;"),H20,),_xlfn.CONCAT($M$2,E20,IF(F20="","","&lt;img src=Images\line.png&gt;"),F20,IF(G20="","","&lt;img src=Images\line.png&gt;"),G20,IF(H20="","","&lt;img src=Images\line.png&gt;"),H20,))</f>
        <v>&lt;p style="font-size:14px;"&gt;&lt;br&gt;Shape = Hex1b&lt;img src=Images\line.png&gt;Each hex may be &lt;br&gt;&lt;b&gt;Excavated: 3AP or 1 weirdT and 1AP&lt;/b&gt;&lt;br&gt; Replenish a spent charge token on a card and destroy that hex</v>
      </c>
    </row>
    <row r="21" customFormat="false" ht="33.7" hidden="false" customHeight="false" outlineLevel="0" collapsed="false">
      <c r="A21" s="6" t="s">
        <v>83</v>
      </c>
      <c r="B21" s="10" t="s">
        <v>60</v>
      </c>
      <c r="C21" s="8"/>
      <c r="D21" s="6"/>
      <c r="E21" s="6" t="s">
        <v>53</v>
      </c>
      <c r="F21" s="6" t="s">
        <v>84</v>
      </c>
      <c r="G21" s="6"/>
      <c r="H21" s="6"/>
      <c r="I21" s="6"/>
      <c r="J21" s="9" t="str">
        <f aca="false">IF(C21="yes",_xlfn.CONCAT($N$2,E21,IF(F21="","","&lt;img src=Images\line.png&gt;"),F21,IF(G21="","","&lt;img src=Images\line.png&gt;"),G21,IF(H21="","","&lt;img src=Images\line.png&gt;"),H21,),_xlfn.CONCAT($M$2,E21,IF(F21="","","&lt;img src=Images\line.png&gt;"),F21,IF(G21="","","&lt;img src=Images\line.png&gt;"),G21,IF(H21="","","&lt;img src=Images\line.png&gt;"),H21,))</f>
        <v>&lt;p style="font-size:14px;"&gt;&lt;br&gt;Shape = Hex1a&lt;img src=Images\line.png&gt;&lt;b&gt;Sacrifice: 1AP + a wound to a stat of your choice&lt;/b&gt;&lt;br&gt; Draw an impression. You may equip it.</v>
      </c>
    </row>
    <row r="22" customFormat="false" ht="33.7" hidden="false" customHeight="false" outlineLevel="0" collapsed="false">
      <c r="A22" s="6" t="s">
        <v>85</v>
      </c>
      <c r="B22" s="10" t="s">
        <v>60</v>
      </c>
      <c r="C22" s="8"/>
      <c r="D22" s="6"/>
      <c r="E22" s="6" t="s">
        <v>53</v>
      </c>
      <c r="F22" s="6" t="s">
        <v>86</v>
      </c>
      <c r="G22" s="6"/>
      <c r="H22" s="6"/>
      <c r="I22" s="6"/>
      <c r="J22" s="9" t="str">
        <f aca="false">IF(C22="yes",_xlfn.CONCAT($N$2,E22,IF(F22="","","&lt;img src=Images\line.png&gt;"),F22,IF(G22="","","&lt;img src=Images\line.png&gt;"),G22,IF(H22="","","&lt;img src=Images\line.png&gt;"),H22,),_xlfn.CONCAT($M$2,E22,IF(F22="","","&lt;img src=Images\line.png&gt;"),F22,IF(G22="","","&lt;img src=Images\line.png&gt;"),G22,IF(H22="","","&lt;img src=Images\line.png&gt;"),H22,))</f>
        <v>&lt;p style="font-size:14px;"&gt;&lt;br&gt;Shape = Hex1a&lt;img src=Images\line.png&gt;&lt;b&gt;Imbibe: 2AP + 1 weirdT&lt;/b&gt;&lt;br&gt; Destroy this and gain the Imbued status</v>
      </c>
    </row>
    <row r="23" customFormat="false" ht="33.7" hidden="false" customHeight="false" outlineLevel="0" collapsed="false">
      <c r="A23" s="6" t="s">
        <v>87</v>
      </c>
      <c r="B23" s="10" t="s">
        <v>60</v>
      </c>
      <c r="C23" s="8"/>
      <c r="D23" s="6"/>
      <c r="E23" s="6" t="s">
        <v>88</v>
      </c>
      <c r="F23" s="6" t="s">
        <v>89</v>
      </c>
      <c r="G23" s="6" t="s">
        <v>90</v>
      </c>
      <c r="H23" s="6"/>
      <c r="I23" s="6"/>
      <c r="J23" s="9"/>
    </row>
    <row r="24" customFormat="false" ht="15" hidden="false" customHeight="false" outlineLevel="0" collapsed="false">
      <c r="A24" s="6"/>
      <c r="B24" s="8"/>
      <c r="C24" s="8"/>
      <c r="D24" s="6"/>
      <c r="E24" s="6"/>
      <c r="F24" s="6"/>
      <c r="G24" s="6"/>
      <c r="H24" s="6"/>
      <c r="I24" s="6"/>
      <c r="J24" s="9"/>
    </row>
    <row r="25" customFormat="false" ht="15" hidden="false" customHeight="false" outlineLevel="0" collapsed="false">
      <c r="A25" s="6"/>
      <c r="B25" s="8"/>
      <c r="C25" s="8"/>
      <c r="D25" s="6"/>
      <c r="E25" s="6"/>
      <c r="F25" s="6"/>
      <c r="G25" s="6"/>
      <c r="H25" s="6"/>
      <c r="I25" s="6"/>
      <c r="J25" s="9"/>
    </row>
    <row r="26" customFormat="false" ht="15" hidden="false" customHeight="false" outlineLevel="0" collapsed="false">
      <c r="A26" s="6"/>
      <c r="B26" s="8"/>
      <c r="C26" s="8"/>
      <c r="D26" s="6"/>
      <c r="E26" s="6"/>
      <c r="F26" s="6"/>
      <c r="G26" s="6"/>
      <c r="H26" s="6"/>
      <c r="I26" s="6"/>
      <c r="J26" s="9"/>
    </row>
    <row r="27" customFormat="false" ht="15" hidden="false" customHeight="false" outlineLevel="0" collapsed="false">
      <c r="A27" s="6"/>
      <c r="B27" s="8"/>
      <c r="C27" s="8"/>
      <c r="D27" s="6"/>
      <c r="E27" s="6"/>
      <c r="F27" s="6"/>
      <c r="G27" s="6"/>
      <c r="H27" s="6"/>
      <c r="I27" s="6"/>
      <c r="J27" s="9"/>
    </row>
    <row r="28" customFormat="false" ht="15" hidden="false" customHeight="false" outlineLevel="0" collapsed="false">
      <c r="A28" s="6"/>
      <c r="B28" s="8"/>
      <c r="C28" s="8"/>
      <c r="D28" s="6"/>
      <c r="E28" s="6"/>
      <c r="F28" s="6"/>
      <c r="G28" s="6"/>
      <c r="H28" s="6"/>
      <c r="I28" s="6"/>
      <c r="J28" s="9"/>
    </row>
    <row r="29" customFormat="false" ht="15" hidden="false" customHeight="false" outlineLevel="0" collapsed="false">
      <c r="A29" s="6"/>
      <c r="B29" s="8"/>
      <c r="C29" s="8"/>
      <c r="D29" s="6"/>
      <c r="E29" s="6"/>
      <c r="F29" s="6"/>
      <c r="G29" s="6"/>
      <c r="H29" s="6"/>
      <c r="I29" s="6"/>
      <c r="J29" s="9"/>
    </row>
    <row r="30" customFormat="false" ht="15" hidden="false" customHeight="false" outlineLevel="0" collapsed="false">
      <c r="A30" s="6"/>
      <c r="B30" s="8"/>
      <c r="C30" s="8"/>
      <c r="D30" s="6"/>
      <c r="E30" s="6"/>
      <c r="F30" s="6"/>
      <c r="G30" s="6"/>
      <c r="H30" s="6"/>
      <c r="I30" s="6"/>
      <c r="J30" s="9"/>
    </row>
    <row r="31" customFormat="false" ht="15" hidden="false" customHeight="false" outlineLevel="0" collapsed="false">
      <c r="A31" s="6"/>
      <c r="B31" s="8"/>
      <c r="C31" s="8"/>
      <c r="D31" s="6"/>
      <c r="E31" s="6"/>
      <c r="F31" s="6"/>
      <c r="G31" s="6"/>
      <c r="H31" s="6"/>
      <c r="I31" s="6"/>
      <c r="J31" s="9"/>
    </row>
    <row r="32" customFormat="false" ht="15" hidden="false" customHeight="false" outlineLevel="0" collapsed="false">
      <c r="A32" s="6"/>
      <c r="B32" s="8"/>
      <c r="C32" s="8"/>
      <c r="D32" s="6"/>
      <c r="E32" s="6"/>
      <c r="F32" s="6"/>
      <c r="G32" s="6"/>
      <c r="H32" s="6"/>
      <c r="I32" s="6"/>
      <c r="J32" s="9"/>
    </row>
    <row r="33" customFormat="false" ht="15" hidden="false" customHeight="false" outlineLevel="0" collapsed="false">
      <c r="A33" s="6"/>
      <c r="B33" s="8"/>
      <c r="C33" s="8"/>
      <c r="D33" s="6"/>
      <c r="E33" s="6"/>
      <c r="F33" s="6"/>
      <c r="G33" s="6"/>
      <c r="H33" s="6"/>
      <c r="I33" s="6"/>
      <c r="J33" s="9"/>
    </row>
    <row r="34" customFormat="false" ht="15" hidden="false" customHeight="false" outlineLevel="0" collapsed="false">
      <c r="A34" s="6"/>
      <c r="B34" s="8"/>
      <c r="C34" s="8"/>
      <c r="D34" s="6"/>
      <c r="E34" s="6"/>
      <c r="F34" s="6"/>
      <c r="G34" s="6"/>
      <c r="H34" s="6"/>
      <c r="I34" s="6"/>
      <c r="J34" s="9"/>
    </row>
    <row r="35" customFormat="false" ht="15" hidden="false" customHeight="false" outlineLevel="0" collapsed="false">
      <c r="A35" s="6"/>
      <c r="B35" s="8"/>
      <c r="C35" s="8"/>
      <c r="D35" s="6"/>
      <c r="E35" s="6"/>
      <c r="F35" s="6"/>
      <c r="G35" s="6"/>
      <c r="H35" s="6"/>
      <c r="I35" s="6"/>
      <c r="J35" s="9"/>
    </row>
    <row r="36" customFormat="false" ht="15" hidden="false" customHeight="false" outlineLevel="0" collapsed="false">
      <c r="A36" s="6"/>
      <c r="B36" s="8"/>
      <c r="C36" s="8"/>
      <c r="D36" s="6"/>
      <c r="E36" s="6"/>
      <c r="F36" s="6"/>
      <c r="G36" s="6"/>
      <c r="H36" s="6"/>
      <c r="I36" s="6"/>
      <c r="J36" s="9"/>
    </row>
    <row r="37" customFormat="false" ht="15" hidden="false" customHeight="false" outlineLevel="0" collapsed="false">
      <c r="A37" s="6"/>
      <c r="B37" s="8"/>
      <c r="C37" s="8"/>
      <c r="D37" s="6"/>
      <c r="E37" s="6"/>
      <c r="F37" s="6"/>
      <c r="G37" s="6"/>
      <c r="H37" s="6"/>
      <c r="I37" s="6"/>
      <c r="J37" s="9"/>
    </row>
    <row r="38" customFormat="false" ht="15" hidden="false" customHeight="false" outlineLevel="0" collapsed="false">
      <c r="A38" s="6"/>
      <c r="B38" s="8"/>
      <c r="C38" s="8"/>
      <c r="D38" s="6"/>
      <c r="E38" s="6"/>
      <c r="F38" s="6"/>
      <c r="G38" s="6"/>
      <c r="H38" s="6"/>
      <c r="I38" s="6"/>
      <c r="J38" s="9"/>
    </row>
    <row r="39" customFormat="false" ht="15" hidden="false" customHeight="false" outlineLevel="0" collapsed="false">
      <c r="A39" s="6"/>
      <c r="B39" s="8"/>
      <c r="C39" s="8"/>
      <c r="D39" s="6"/>
      <c r="E39" s="6"/>
      <c r="F39" s="6"/>
      <c r="G39" s="6"/>
      <c r="H39" s="6"/>
      <c r="I39" s="6"/>
      <c r="J39" s="9"/>
    </row>
  </sheetData>
  <conditionalFormatting sqref="B1:C39">
    <cfRule type="containsText" priority="2" operator="containsText" aboveAverage="0" equalAverage="0" bottom="0" percent="0" rank="0" text="Accessory" dxfId="6">
      <formula>NOT(ISERROR(SEARCH("Accessory",B1)))</formula>
    </cfRule>
    <cfRule type="containsText" priority="3" operator="containsText" aboveAverage="0" equalAverage="0" bottom="0" percent="0" rank="0" text="Armour" dxfId="7">
      <formula>NOT(ISERROR(SEARCH("Armour",B1)))</formula>
    </cfRule>
    <cfRule type="containsText" priority="4" operator="containsText" aboveAverage="0" equalAverage="0" bottom="0" percent="0" rank="0" text="Equipment" dxfId="8">
      <formula>NOT(ISERROR(SEARCH("Equipment",B1)))</formula>
    </cfRule>
    <cfRule type="containsText" priority="5" operator="containsText" aboveAverage="0" equalAverage="0" bottom="0" percent="0" rank="0" text="Impression" dxfId="9">
      <formula>NOT(ISERROR(SEARCH("Impression",B1)))</formula>
    </cfRule>
    <cfRule type="containsText" priority="6" operator="containsText" aboveAverage="0" equalAverage="0" bottom="0" percent="0" rank="0" text="Spell" dxfId="10">
      <formula>NOT(ISERROR(SEARCH("Spell",B1)))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2EB742E1A5654587064A46DDB6CD15" ma:contentTypeVersion="1" ma:contentTypeDescription="Create a new document." ma:contentTypeScope="" ma:versionID="e55e2f9787318b7f716360a3e6de5d16">
  <xsd:schema xmlns:xsd="http://www.w3.org/2001/XMLSchema" xmlns:xs="http://www.w3.org/2001/XMLSchema" xmlns:p="http://schemas.microsoft.com/office/2006/metadata/properties" xmlns:ns3="d3d2b77b-9d76-4307-b430-cfd0491e2700" targetNamespace="http://schemas.microsoft.com/office/2006/metadata/properties" ma:root="true" ma:fieldsID="5c7964d0f203b5786a93e8b285789b37" ns3:_="">
    <xsd:import namespace="d3d2b77b-9d76-4307-b430-cfd0491e2700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2b77b-9d76-4307-b430-cfd0491e2700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DBD9A44-7659-4E3D-A8AD-0FE8F40955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9C2C9E0-1F0F-46F6-8F71-1762C6A86D23}">
  <ds:schemaRefs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CE2D555B-6F02-459E-B070-D7B6B8E41DF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3d2b77b-9d76-4307-b430-cfd0491e270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LibreOffice/25.2.5.2$Windows_X86_64 LibreOffice_project/03d19516eb2e1dd5d4ccd751a0d6f35f35e08022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2025-06-22T09:18:10Z</dcterms:created>
  <dc:creator>NTK</dc:creator>
  <dc:description/>
  <dc:language>en-NZ</dc:language>
  <cp:lastModifiedBy/>
  <dcterms:modified xsi:type="dcterms:W3CDTF">2025-08-31T12:04:19Z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0x010100B72EB742E1A5654587064A46DDB6CD15</vt:lpwstr>
  </property>
</Properties>
</file>