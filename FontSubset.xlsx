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age\Documents\GitHub\Sculpt\"/>
    </mc:Choice>
  </mc:AlternateContent>
  <xr:revisionPtr revIDLastSave="0" documentId="13_ncr:1_{57819DEC-2343-43D9-9E5D-5774540C561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3" sheetId="1" r:id="rId1"/>
  </sheets>
  <definedNames>
    <definedName name="Break">#REF!</definedName>
    <definedName name="start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A3" i="1" l="1"/>
  <c r="Y3" i="1" s="1"/>
  <c r="Z3" i="1" s="1"/>
  <c r="AD3" i="1"/>
  <c r="AB3" i="1" s="1"/>
  <c r="AC3" i="1" s="1"/>
  <c r="AG3" i="1"/>
  <c r="AE3" i="1" s="1"/>
  <c r="AF3" i="1" s="1"/>
  <c r="AA4" i="1"/>
  <c r="Y4" i="1" s="1"/>
  <c r="Z4" i="1" s="1"/>
  <c r="AD4" i="1"/>
  <c r="AB4" i="1" s="1"/>
  <c r="AC4" i="1" s="1"/>
  <c r="AG4" i="1"/>
  <c r="AE4" i="1" s="1"/>
  <c r="AF4" i="1" s="1"/>
  <c r="AA5" i="1"/>
  <c r="Y5" i="1" s="1"/>
  <c r="Z5" i="1" s="1"/>
  <c r="AD5" i="1"/>
  <c r="AB5" i="1" s="1"/>
  <c r="AC5" i="1" s="1"/>
  <c r="AG5" i="1"/>
  <c r="AE5" i="1" s="1"/>
  <c r="AF5" i="1" s="1"/>
  <c r="AA6" i="1"/>
  <c r="Y6" i="1" s="1"/>
  <c r="Z6" i="1" s="1"/>
  <c r="AD6" i="1"/>
  <c r="AB6" i="1" s="1"/>
  <c r="AC6" i="1" s="1"/>
  <c r="AG6" i="1"/>
  <c r="AE6" i="1" s="1"/>
  <c r="AF6" i="1" s="1"/>
  <c r="AA7" i="1"/>
  <c r="Y7" i="1" s="1"/>
  <c r="Z7" i="1" s="1"/>
  <c r="AD7" i="1"/>
  <c r="AB7" i="1" s="1"/>
  <c r="AC7" i="1" s="1"/>
  <c r="AG7" i="1"/>
  <c r="AE7" i="1" s="1"/>
  <c r="AF7" i="1" s="1"/>
  <c r="AA8" i="1"/>
  <c r="Y8" i="1" s="1"/>
  <c r="Z8" i="1" s="1"/>
  <c r="AD8" i="1"/>
  <c r="AB8" i="1" s="1"/>
  <c r="AC8" i="1" s="1"/>
  <c r="AG8" i="1"/>
  <c r="AE8" i="1" s="1"/>
  <c r="AF8" i="1" s="1"/>
  <c r="AA9" i="1"/>
  <c r="Y9" i="1" s="1"/>
  <c r="Z9" i="1" s="1"/>
  <c r="AD9" i="1"/>
  <c r="AB9" i="1" s="1"/>
  <c r="AC9" i="1" s="1"/>
  <c r="AG9" i="1"/>
  <c r="AE9" i="1" s="1"/>
  <c r="AF9" i="1" s="1"/>
  <c r="AA10" i="1"/>
  <c r="Y10" i="1" s="1"/>
  <c r="Z10" i="1" s="1"/>
  <c r="AD10" i="1"/>
  <c r="AB10" i="1" s="1"/>
  <c r="AC10" i="1" s="1"/>
  <c r="AG10" i="1"/>
  <c r="AE10" i="1" s="1"/>
  <c r="AF10" i="1" s="1"/>
  <c r="AA2" i="1"/>
  <c r="Y2" i="1" s="1"/>
  <c r="Z2" i="1" s="1"/>
  <c r="AD2" i="1"/>
  <c r="AB2" i="1" s="1"/>
  <c r="AC2" i="1" s="1"/>
  <c r="AG2" i="1"/>
  <c r="AE2" i="1" s="1"/>
  <c r="AF2" i="1" s="1"/>
</calcChain>
</file>

<file path=xl/sharedStrings.xml><?xml version="1.0" encoding="utf-8"?>
<sst xmlns="http://schemas.openxmlformats.org/spreadsheetml/2006/main" count="120" uniqueCount="94">
  <si>
    <t>Name</t>
  </si>
  <si>
    <t>Type</t>
  </si>
  <si>
    <t>Charges</t>
  </si>
  <si>
    <t>Effect 1 Y</t>
  </si>
  <si>
    <t>Effect 1 Type</t>
  </si>
  <si>
    <t>Effect 1 Title</t>
  </si>
  <si>
    <t>Effect 1</t>
  </si>
  <si>
    <t>Effect 2 Y</t>
  </si>
  <si>
    <t>Effect 2 Type</t>
  </si>
  <si>
    <t>Effect 2 Title</t>
  </si>
  <si>
    <t>Effect 2</t>
  </si>
  <si>
    <t>Effect 3 Y</t>
  </si>
  <si>
    <t>Effect 3 Type</t>
  </si>
  <si>
    <t>Effect 3 Title</t>
  </si>
  <si>
    <t>Effect 3</t>
  </si>
  <si>
    <t>Ypos</t>
  </si>
  <si>
    <t>Linewidth</t>
  </si>
  <si>
    <t>Ability Offset</t>
  </si>
  <si>
    <t>Border Offset</t>
  </si>
  <si>
    <t>Title Offset</t>
  </si>
  <si>
    <t>E1TY</t>
  </si>
  <si>
    <t>E1BY</t>
  </si>
  <si>
    <t>E1Y</t>
  </si>
  <si>
    <t>E2TY</t>
  </si>
  <si>
    <t>E2BY</t>
  </si>
  <si>
    <t>E2Y</t>
  </si>
  <si>
    <t>E3TY</t>
  </si>
  <si>
    <t>E3BY</t>
  </si>
  <si>
    <t>E3Y</t>
  </si>
  <si>
    <t>Form</t>
  </si>
  <si>
    <t>Passive</t>
  </si>
  <si>
    <t>Active</t>
  </si>
  <si>
    <t>Glowing Kintsugi</t>
  </si>
  <si>
    <t>At the start of your turn, gain 
&lt;br&gt;tempct tempct. Temporary composure can stack from any source up to a cap of 5.</t>
  </si>
  <si>
    <t>&lt;b&gt;Light Beam:&lt;/b&gt; 1 tempct</t>
  </si>
  <si>
    <t>Do one of the following:
&lt;br&gt;&lt;b&gt;Scamper:&lt;/b&gt; Move 1 tile.
&lt;br&gt;&lt;b&gt;Focus:&lt;/b&gt; Increase your attack roll by 1. Once per attack.
&lt;br&gt;&lt;b&gt;Calm:&lt;/b&gt; Restore comptcompt.</t>
  </si>
  <si>
    <t>Hag</t>
  </si>
  <si>
    <t>For every status effect you are afflicted with, reduce damage taken from all sources by 1.</t>
  </si>
  <si>
    <t>Impression</t>
  </si>
  <si>
    <t>Assertive</t>
  </si>
  <si>
    <t>Reaction</t>
  </si>
  <si>
    <t>Dancer</t>
  </si>
  <si>
    <t>Your attacks have the Crit Option &lt;br&gt;&lt;b&gt;Pirouette:&lt;/b&gt; Move hexes up to your  &lt;span style="color:#27ae60"&gt;&lt;strong&gt;Jazz&lt;/strong&gt;&lt;/span&gt;.</t>
  </si>
  <si>
    <t>Whenever you gain temporary composure, you may move that many hexes.</t>
  </si>
  <si>
    <t>I'm Normal</t>
  </si>
  <si>
    <t>Replace your  &lt;span style="color:#3366cc"&gt;&lt;strong&gt;Weird&lt;/strong&gt;&lt;/span&gt; with &lt;span style="color:#d964d4"&gt;&lt;strong&gt;Normal&lt;/strong&gt;&lt;/span&gt;. You cannot spend weirdt any more.</t>
  </si>
  <si>
    <t>Ignore the effects of an ability with weirdt in its cost (even if no weirdT was spent).</t>
  </si>
  <si>
    <t>Gain the &lt;b&gt;Well rested&lt;/b&gt; status effect.</t>
  </si>
  <si>
    <t>Baleful Eye</t>
  </si>
  <si>
    <t>Limb</t>
  </si>
  <si>
    <t>&lt;b&gt;Rancor:&lt;/b&gt; 2 AP + weirdTJazzT</t>
  </si>
  <si>
    <t>Mark a target as your hated target. You can only have one target at a time.</t>
  </si>
  <si>
    <t>Attack</t>
  </si>
  <si>
    <t>&lt;b&gt;Scorn:&lt;/b&gt; 2 AP</t>
  </si>
  <si>
    <t>&lt;b&gt;Damage = 4, Ranged&lt;/b&gt;
&lt;br&gt;This attack can only target your hated target.</t>
  </si>
  <si>
    <t>Crit</t>
  </si>
  <si>
    <t>&lt;b&gt;Omen:&lt;/b&gt; inflict the &lt;b&gt;Cursed&lt;/b&gt; status effect.</t>
  </si>
  <si>
    <t>&lt;b&gt;Damage = 3, Close&lt;/b&gt;</t>
  </si>
  <si>
    <t>Doomtouch</t>
  </si>
  <si>
    <t>&lt;b&gt;Thwack:&lt;/b&gt; 1 AP</t>
  </si>
  <si>
    <t>&lt;b&gt;Damage = 1, Close&lt;/b&gt;</t>
  </si>
  <si>
    <t>Inflict the &lt;b&gt;Cursed&lt;/b&gt; status effect on a target in Melee.</t>
  </si>
  <si>
    <t>&lt;b&gt;Omen:&lt;/b&gt; Inflict the &lt;b&gt;Cursed&lt;/b&gt; status effect.</t>
  </si>
  <si>
    <t>Needle Mouthed</t>
  </si>
  <si>
    <t>&lt;b&gt;Nip:&lt;/b&gt; 2 AP</t>
  </si>
  <si>
    <t>Wounds inflicted by this limb's attacks always target the stat of your choice.</t>
  </si>
  <si>
    <t>&lt;b&gt;Strike:&lt;/b&gt; +1 damage.</t>
  </si>
  <si>
    <t>Column1</t>
  </si>
  <si>
    <t>.</t>
  </si>
  <si>
    <t>.2</t>
  </si>
  <si>
    <t>.3</t>
  </si>
  <si>
    <t>When you make an attack, you may move 2 tiles before attacking.</t>
  </si>
  <si>
    <r>
      <t xml:space="preserve">&lt;b&gt;Increase damage taken by 1.&lt;/b&gt;
&lt;br&gt;-1 </t>
    </r>
    <r>
      <rPr>
        <sz val="11"/>
        <color theme="1"/>
        <rFont val="Aptos Narrow"/>
        <family val="2"/>
      </rPr>
      <t>Movement Speed</t>
    </r>
    <r>
      <rPr>
        <sz val="11"/>
        <color theme="1"/>
        <rFont val="Aptos Narrow"/>
        <family val="2"/>
        <charset val="1"/>
      </rPr>
      <t>.</t>
    </r>
  </si>
  <si>
    <t>You may clear a status effect (except &lt;b&gt;Exhausted&lt;/b&gt;) to refresh a token of your choice.</t>
  </si>
  <si>
    <t>&lt;b&gt;Smear:&lt;/b&gt; 2 AP + weirdTweirdT</t>
  </si>
  <si>
    <t>Storm Conduit</t>
  </si>
  <si>
    <t>&lt;b&gt;Channel Storm:&lt;/b&gt; 2AP + weirdT</t>
  </si>
  <si>
    <t>Create a 1 hex storm cloud at target empty hex.</t>
  </si>
  <si>
    <t>Whenever you spend weirdT, all beings underneath a storm cloud take 4 damage. This damage cannot be reduced.</t>
  </si>
  <si>
    <t>Wretched</t>
  </si>
  <si>
    <t>&lt;b&gt;Cup of Tea: &lt;/b&gt;1 AP + 1 &lt;span style="color:#d964d4"&gt;&lt;strong&gt;Normal&lt;/strong&gt;&lt;/span&gt;</t>
  </si>
  <si>
    <t>Electrified</t>
  </si>
  <si>
    <t>Twisted</t>
  </si>
  <si>
    <t>Warm Glow</t>
  </si>
  <si>
    <t>Decrepit</t>
  </si>
  <si>
    <t>Charger</t>
  </si>
  <si>
    <t xml:space="preserve"> Flow State</t>
  </si>
  <si>
    <t>Normality</t>
  </si>
  <si>
    <t>Growing Storm</t>
  </si>
  <si>
    <t>Precise</t>
  </si>
  <si>
    <t>On the Move</t>
  </si>
  <si>
    <t>&lt;b&gt;&lt;i&gt;Assert Reality:&lt;/i&gt;&lt;/b&gt; 1 &lt;span style="color:#d964d4"&gt;&lt;strong&gt;Normal&lt;/strong&gt;&lt;/span&gt;</t>
  </si>
  <si>
    <t>At the start of your turn, each storm cloud grows by one hex in all directions.</t>
  </si>
  <si>
    <t>Critical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</si>
</sst>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Aptos Narrow"/>
      <family val="2"/>
    </font>
    <font>
      <sz val="8"/>
      <name val="Aptos Narrow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B4C6E7"/>
      </patternFill>
    </fill>
    <fill>
      <patternFill patternType="solid">
        <fgColor rgb="FF808080"/>
        <bgColor rgb="FF969696"/>
      </patternFill>
    </fill>
    <fill>
      <patternFill patternType="solid">
        <fgColor rgb="FFEEEEEE"/>
        <bgColor rgb="FFFFFFFF"/>
      </patternFill>
    </fill>
    <fill>
      <patternFill patternType="solid">
        <fgColor rgb="FFFFFFA6"/>
        <bgColor rgb="FFFFE699"/>
      </patternFill>
    </fill>
    <fill>
      <patternFill patternType="solid">
        <fgColor rgb="FFFFA6A6"/>
        <bgColor rgb="FFF6B0DD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top" wrapText="1" readingOrder="1"/>
    </xf>
    <xf numFmtId="0" fontId="0" fillId="5" borderId="1" xfId="0" applyFill="1" applyBorder="1" applyAlignment="1">
      <alignment horizontal="left" vertical="top" wrapText="1" readingOrder="1"/>
    </xf>
    <xf numFmtId="0" fontId="0" fillId="0" borderId="1" xfId="0" applyBorder="1" applyAlignment="1">
      <alignment horizontal="left" vertical="top" wrapText="1" readingOrder="1"/>
    </xf>
    <xf numFmtId="0" fontId="0" fillId="3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 readingOrder="1"/>
    </xf>
    <xf numFmtId="0" fontId="0" fillId="6" borderId="1" xfId="0" applyFill="1" applyBorder="1" applyAlignment="1">
      <alignment horizontal="left" vertical="top" wrapText="1" readingOrder="1"/>
    </xf>
    <xf numFmtId="0" fontId="0" fillId="0" borderId="0" xfId="0" applyAlignment="1">
      <alignment horizontal="left" vertical="top" wrapText="1" readingOrder="1"/>
    </xf>
    <xf numFmtId="0" fontId="0" fillId="0" borderId="0" xfId="0" applyAlignment="1">
      <alignment horizontal="left" vertical="top" wrapText="1"/>
    </xf>
    <xf numFmtId="0" fontId="1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 wrapText="1" readingOrder="1"/>
    </xf>
    <xf numFmtId="0" fontId="0" fillId="0" borderId="3" xfId="0" applyBorder="1" applyAlignment="1">
      <alignment horizontal="left" vertical="top" wrapText="1" readingOrder="1"/>
    </xf>
    <xf numFmtId="0" fontId="0" fillId="0" borderId="3" xfId="0" applyBorder="1"/>
    <xf numFmtId="0" fontId="1" fillId="3" borderId="1" xfId="0" quotePrefix="1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 readingOrder="1"/>
    </xf>
  </cellXfs>
  <cellStyles count="1">
    <cellStyle name="Normal" xfId="0" builtinId="0"/>
  </cellStyles>
  <dxfs count="16">
    <dxf>
      <fill>
        <patternFill>
          <bgColor rgb="FFB4C6E7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6B0DD"/>
        </patternFill>
      </fill>
    </dxf>
    <dxf>
      <fill>
        <patternFill>
          <bgColor rgb="FFB4C6E7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6B0DD"/>
        </patternFill>
      </fill>
    </dxf>
    <dxf>
      <fill>
        <patternFill>
          <bgColor rgb="FFB4C6E7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6B0DD"/>
        </patternFill>
      </fill>
    </dxf>
    <dxf>
      <border diagonalUp="0" diagonalDown="0">
        <right style="thin">
          <color indexed="64"/>
        </right>
        <vertical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EEEEEE"/>
      <rgbColor rgb="FFFFE699"/>
      <rgbColor rgb="FF660066"/>
      <rgbColor rgb="FFFF8080"/>
      <rgbColor rgb="FF0066CC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A6"/>
      <rgbColor rgb="FF99CCFF"/>
      <rgbColor rgb="FFFFA6A6"/>
      <rgbColor rgb="FFF6B0DD"/>
      <rgbColor rgb="FFF8CBAD"/>
      <rgbColor rgb="FF3366FF"/>
      <rgbColor rgb="FF33CCCC"/>
      <rgbColor rgb="FF8ED973"/>
      <rgbColor rgb="FFFFCC00"/>
      <rgbColor rgb="FFFF9900"/>
      <rgbColor rgb="FFFF6600"/>
      <rgbColor rgb="FF666699"/>
      <rgbColor rgb="FF969696"/>
      <rgbColor rgb="FF003366"/>
      <rgbColor rgb="FF4E95D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1:AG89" totalsRowShown="0">
  <autoFilter ref="A1:AG89" xr:uid="{00000000-0009-0000-0100-000001000000}"/>
  <sortState xmlns:xlrd2="http://schemas.microsoft.com/office/spreadsheetml/2017/richdata2" ref="A2:AG89">
    <sortCondition ref="B1:B89"/>
  </sortState>
  <tableColumns count="33">
    <tableColumn id="1" xr3:uid="{00000000-0010-0000-0000-000001000000}" name="Name"/>
    <tableColumn id="2" xr3:uid="{00000000-0010-0000-0000-000002000000}" name="Type"/>
    <tableColumn id="3" xr3:uid="{00000000-0010-0000-0000-000003000000}" name="Charges"/>
    <tableColumn id="4" xr3:uid="{00000000-0010-0000-0000-000004000000}" name="Column1"/>
    <tableColumn id="5" xr3:uid="{00000000-0010-0000-0000-000005000000}" name="Effect 1 Y"/>
    <tableColumn id="6" xr3:uid="{00000000-0010-0000-0000-000006000000}" name="Effect 1 Type"/>
    <tableColumn id="7" xr3:uid="{00000000-0010-0000-0000-000007000000}" name="Effect 1 Title"/>
    <tableColumn id="8" xr3:uid="{00000000-0010-0000-0000-000008000000}" name="Effect 1"/>
    <tableColumn id="9" xr3:uid="{00000000-0010-0000-0000-000009000000}" name="."/>
    <tableColumn id="10" xr3:uid="{00000000-0010-0000-0000-00000A000000}" name="Effect 2 Y"/>
    <tableColumn id="11" xr3:uid="{00000000-0010-0000-0000-00000B000000}" name="Effect 2 Type"/>
    <tableColumn id="12" xr3:uid="{00000000-0010-0000-0000-00000C000000}" name="Effect 2 Title"/>
    <tableColumn id="13" xr3:uid="{00000000-0010-0000-0000-00000D000000}" name="Effect 2" dataDxfId="15"/>
    <tableColumn id="14" xr3:uid="{00000000-0010-0000-0000-00000E000000}" name=".2"/>
    <tableColumn id="15" xr3:uid="{00000000-0010-0000-0000-00000F000000}" name="Effect 3 Y"/>
    <tableColumn id="16" xr3:uid="{00000000-0010-0000-0000-000010000000}" name="Effect 3 Type"/>
    <tableColumn id="17" xr3:uid="{00000000-0010-0000-0000-000011000000}" name="Effect 3 Title"/>
    <tableColumn id="18" xr3:uid="{00000000-0010-0000-0000-000012000000}" name="Effect 3"/>
    <tableColumn id="19" xr3:uid="{00000000-0010-0000-0000-000013000000}" name=".3"/>
    <tableColumn id="20" xr3:uid="{00000000-0010-0000-0000-000014000000}" name="Ypos"/>
    <tableColumn id="21" xr3:uid="{00000000-0010-0000-0000-000015000000}" name="Linewidth"/>
    <tableColumn id="22" xr3:uid="{00000000-0010-0000-0000-000016000000}" name="Ability Offset"/>
    <tableColumn id="23" xr3:uid="{00000000-0010-0000-0000-000017000000}" name="Border Offset"/>
    <tableColumn id="24" xr3:uid="{00000000-0010-0000-0000-000018000000}" name="Title Offset"/>
    <tableColumn id="25" xr3:uid="{00000000-0010-0000-0000-000019000000}" name="E1TY"/>
    <tableColumn id="26" xr3:uid="{00000000-0010-0000-0000-00001A000000}" name="E1BY"/>
    <tableColumn id="27" xr3:uid="{00000000-0010-0000-0000-00001B000000}" name="E1Y"/>
    <tableColumn id="28" xr3:uid="{00000000-0010-0000-0000-00001C000000}" name="E2TY"/>
    <tableColumn id="29" xr3:uid="{00000000-0010-0000-0000-00001D000000}" name="E2BY"/>
    <tableColumn id="30" xr3:uid="{00000000-0010-0000-0000-00001E000000}" name="E2Y"/>
    <tableColumn id="31" xr3:uid="{00000000-0010-0000-0000-00001F000000}" name="E3TY"/>
    <tableColumn id="32" xr3:uid="{00000000-0010-0000-0000-000020000000}" name="E3BY"/>
    <tableColumn id="33" xr3:uid="{00000000-0010-0000-0000-000021000000}" name="E3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98"/>
  <sheetViews>
    <sheetView tabSelected="1" zoomScale="85" zoomScaleNormal="85" workbookViewId="0">
      <pane xSplit="2" ySplit="1" topLeftCell="L2" activePane="bottomRight" state="frozen"/>
      <selection pane="topRight" activeCell="C1" sqref="C1"/>
      <selection pane="bottomLeft" activeCell="A109" sqref="A109"/>
      <selection pane="bottomRight" activeCell="U3" sqref="U3"/>
    </sheetView>
  </sheetViews>
  <sheetFormatPr defaultColWidth="8.5703125" defaultRowHeight="15" customHeight="1" x14ac:dyDescent="0.25"/>
  <cols>
    <col min="1" max="1" width="11" customWidth="1"/>
    <col min="2" max="2" width="10" customWidth="1"/>
    <col min="3" max="3" width="17.140625" customWidth="1"/>
    <col min="4" max="4" width="1.42578125" customWidth="1"/>
    <col min="5" max="5" width="4.28515625" customWidth="1"/>
    <col min="6" max="6" width="8.28515625" customWidth="1"/>
    <col min="7" max="7" width="33" customWidth="1"/>
    <col min="8" max="8" width="42.42578125" customWidth="1"/>
    <col min="9" max="9" width="1.42578125" customWidth="1"/>
    <col min="10" max="10" width="6.85546875" customWidth="1"/>
    <col min="11" max="11" width="14.85546875" customWidth="1"/>
    <col min="12" max="12" width="31.7109375" customWidth="1"/>
    <col min="13" max="13" width="37.85546875" style="17" customWidth="1"/>
    <col min="14" max="14" width="1.42578125" customWidth="1"/>
    <col min="15" max="15" width="6.5703125" customWidth="1"/>
    <col min="16" max="16" width="8.42578125" customWidth="1"/>
    <col min="17" max="17" width="25.5703125" customWidth="1"/>
    <col min="18" max="18" width="35.140625" customWidth="1"/>
    <col min="19" max="19" width="1.42578125" customWidth="1"/>
    <col min="20" max="20" width="10" customWidth="1"/>
    <col min="21" max="21" width="38" customWidth="1"/>
    <col min="24" max="31" width="10.5703125" customWidth="1"/>
  </cols>
  <sheetData>
    <row r="1" spans="1:33" ht="35.25" customHeight="1" x14ac:dyDescent="0.25">
      <c r="A1" s="1" t="s">
        <v>0</v>
      </c>
      <c r="B1" s="2" t="s">
        <v>1</v>
      </c>
      <c r="C1" s="2" t="s">
        <v>2</v>
      </c>
      <c r="D1" s="3" t="s">
        <v>67</v>
      </c>
      <c r="E1" s="2" t="s">
        <v>3</v>
      </c>
      <c r="F1" s="2" t="s">
        <v>4</v>
      </c>
      <c r="G1" s="2" t="s">
        <v>5</v>
      </c>
      <c r="H1" s="1" t="s">
        <v>6</v>
      </c>
      <c r="I1" s="18" t="s">
        <v>68</v>
      </c>
      <c r="J1" s="2" t="s">
        <v>7</v>
      </c>
      <c r="K1" s="1" t="s">
        <v>8</v>
      </c>
      <c r="L1" s="1" t="s">
        <v>9</v>
      </c>
      <c r="M1" s="1" t="s">
        <v>10</v>
      </c>
      <c r="N1" s="13" t="s">
        <v>69</v>
      </c>
      <c r="O1" s="2" t="s">
        <v>11</v>
      </c>
      <c r="P1" s="2" t="s">
        <v>12</v>
      </c>
      <c r="Q1" s="2" t="s">
        <v>13</v>
      </c>
      <c r="R1" s="1" t="s">
        <v>14</v>
      </c>
      <c r="S1" s="3" t="s">
        <v>70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2" t="s">
        <v>25</v>
      </c>
      <c r="AE1" s="2" t="s">
        <v>26</v>
      </c>
      <c r="AF1" s="2" t="s">
        <v>27</v>
      </c>
      <c r="AG1" s="2" t="s">
        <v>28</v>
      </c>
    </row>
    <row r="2" spans="1:33" ht="75" x14ac:dyDescent="0.25">
      <c r="A2" s="19" t="s">
        <v>32</v>
      </c>
      <c r="B2" s="5" t="s">
        <v>29</v>
      </c>
      <c r="C2" s="6"/>
      <c r="D2" s="7"/>
      <c r="E2" s="6">
        <v>1</v>
      </c>
      <c r="F2" s="8" t="s">
        <v>30</v>
      </c>
      <c r="G2" s="8" t="s">
        <v>83</v>
      </c>
      <c r="H2" s="8" t="s">
        <v>33</v>
      </c>
      <c r="I2" s="7"/>
      <c r="J2" s="6">
        <v>6</v>
      </c>
      <c r="K2" s="8" t="s">
        <v>31</v>
      </c>
      <c r="L2" s="8" t="s">
        <v>34</v>
      </c>
      <c r="M2" s="6" t="s">
        <v>35</v>
      </c>
      <c r="N2" s="14"/>
      <c r="O2" s="6"/>
      <c r="P2" s="8"/>
      <c r="Q2" s="8"/>
      <c r="R2" s="6"/>
      <c r="S2" s="7"/>
      <c r="T2" s="6">
        <v>2.96</v>
      </c>
      <c r="U2" s="6">
        <v>0.43</v>
      </c>
      <c r="V2" s="6">
        <v>0.3</v>
      </c>
      <c r="W2" s="6">
        <v>-0.11</v>
      </c>
      <c r="X2" s="6">
        <v>-0.6</v>
      </c>
      <c r="Y2" s="6">
        <f>Table3[[#This Row],[E1Y]]+X$2</f>
        <v>2.36</v>
      </c>
      <c r="Z2" s="6">
        <f>Table3[[#This Row],[E1TY]]+W$2</f>
        <v>2.25</v>
      </c>
      <c r="AA2" s="6">
        <f>T$2+U$2*(Table3[[#This Row],[Effect 1 Y]]-1)</f>
        <v>2.96</v>
      </c>
      <c r="AB2" s="6">
        <f>Table3[[#This Row],[E2Y]]+X$2</f>
        <v>4.8099999999999996</v>
      </c>
      <c r="AC2" s="6">
        <f>Table3[[#This Row],[E2TY]]+W$2</f>
        <v>4.6999999999999993</v>
      </c>
      <c r="AD2" s="6">
        <f>T$2+U$2*(Table3[[#This Row],[Effect 2 Y]]-1)+V$2</f>
        <v>5.4099999999999993</v>
      </c>
      <c r="AE2" s="6">
        <f>Table3[[#This Row],[E3Y]]+X$2</f>
        <v>2.5299999999999998</v>
      </c>
      <c r="AF2" s="6">
        <f>Table3[[#This Row],[E3TY]]+W$2</f>
        <v>2.42</v>
      </c>
      <c r="AG2" s="8">
        <f>T$2+U$2*(Table3[[#This Row],[Effect 3 Y]]-1)+2*V$2</f>
        <v>3.13</v>
      </c>
    </row>
    <row r="3" spans="1:33" ht="45" x14ac:dyDescent="0.25">
      <c r="A3" s="4" t="s">
        <v>36</v>
      </c>
      <c r="B3" s="5" t="s">
        <v>29</v>
      </c>
      <c r="C3" s="6"/>
      <c r="D3" s="7"/>
      <c r="E3" s="6">
        <v>1</v>
      </c>
      <c r="F3" s="8" t="s">
        <v>30</v>
      </c>
      <c r="G3" s="8" t="s">
        <v>84</v>
      </c>
      <c r="H3" s="8" t="s">
        <v>72</v>
      </c>
      <c r="I3" s="7"/>
      <c r="J3" s="6">
        <v>4</v>
      </c>
      <c r="K3" s="8" t="s">
        <v>30</v>
      </c>
      <c r="L3" s="8" t="s">
        <v>82</v>
      </c>
      <c r="M3" s="6" t="s">
        <v>37</v>
      </c>
      <c r="N3" s="14"/>
      <c r="O3" s="6">
        <v>8</v>
      </c>
      <c r="P3" s="8" t="s">
        <v>30</v>
      </c>
      <c r="Q3" s="8" t="s">
        <v>79</v>
      </c>
      <c r="R3" s="6" t="s">
        <v>73</v>
      </c>
      <c r="S3" s="7"/>
      <c r="T3" s="6"/>
      <c r="U3" s="6"/>
      <c r="V3" s="6"/>
      <c r="W3" s="6"/>
      <c r="X3" s="6"/>
      <c r="Y3" s="6">
        <f>Table3[[#This Row],[E1Y]]+X$2</f>
        <v>2.36</v>
      </c>
      <c r="Z3" s="6">
        <f>Table3[[#This Row],[E1TY]]+W$2</f>
        <v>2.25</v>
      </c>
      <c r="AA3" s="6">
        <f>T$2+U$2*(Table3[[#This Row],[Effect 1 Y]]-1)</f>
        <v>2.96</v>
      </c>
      <c r="AB3" s="6">
        <f>Table3[[#This Row],[E2Y]]+X$2</f>
        <v>3.9499999999999997</v>
      </c>
      <c r="AC3" s="6">
        <f>Table3[[#This Row],[E2TY]]+W$2</f>
        <v>3.84</v>
      </c>
      <c r="AD3" s="6">
        <f>T$2+U$2*(Table3[[#This Row],[Effect 2 Y]]-1)+V$2</f>
        <v>4.55</v>
      </c>
      <c r="AE3" s="6">
        <f>Table3[[#This Row],[E3Y]]+X$2</f>
        <v>5.97</v>
      </c>
      <c r="AF3" s="6">
        <f>Table3[[#This Row],[E3TY]]+W$2</f>
        <v>5.8599999999999994</v>
      </c>
      <c r="AG3" s="8">
        <f>T$2+U$2*(Table3[[#This Row],[Effect 3 Y]]-1)+2*V$2</f>
        <v>6.5699999999999994</v>
      </c>
    </row>
    <row r="4" spans="1:33" ht="30" x14ac:dyDescent="0.25">
      <c r="A4" s="4" t="s">
        <v>39</v>
      </c>
      <c r="B4" s="6" t="s">
        <v>38</v>
      </c>
      <c r="C4" s="6"/>
      <c r="D4" s="9"/>
      <c r="E4" s="6">
        <v>1</v>
      </c>
      <c r="F4" s="8" t="s">
        <v>30</v>
      </c>
      <c r="G4" s="6" t="s">
        <v>85</v>
      </c>
      <c r="H4" s="6" t="s">
        <v>71</v>
      </c>
      <c r="I4" s="9"/>
      <c r="J4" s="6"/>
      <c r="K4" s="6"/>
      <c r="L4" s="6"/>
      <c r="M4" s="6"/>
      <c r="N4" s="15"/>
      <c r="O4" s="6"/>
      <c r="P4" s="6"/>
      <c r="Q4" s="6"/>
      <c r="R4" s="6"/>
      <c r="S4" s="7"/>
      <c r="T4" s="6"/>
      <c r="U4" s="6"/>
      <c r="V4" s="6"/>
      <c r="W4" s="6"/>
      <c r="X4" s="6"/>
      <c r="Y4" s="6">
        <f>Table3[[#This Row],[E1Y]]+X$2</f>
        <v>2.36</v>
      </c>
      <c r="Z4" s="6">
        <f>Table3[[#This Row],[E1TY]]+W$2</f>
        <v>2.25</v>
      </c>
      <c r="AA4" s="6">
        <f>T$2+U$2*(Table3[[#This Row],[Effect 1 Y]]-1)</f>
        <v>2.96</v>
      </c>
      <c r="AB4" s="6">
        <f>Table3[[#This Row],[E2Y]]+X$2</f>
        <v>2.2299999999999995</v>
      </c>
      <c r="AC4" s="6">
        <f>Table3[[#This Row],[E2TY]]+W$2</f>
        <v>2.1199999999999997</v>
      </c>
      <c r="AD4" s="6">
        <f>T$2+U$2*(Table3[[#This Row],[Effect 2 Y]]-1)+V$2</f>
        <v>2.8299999999999996</v>
      </c>
      <c r="AE4" s="6">
        <f>Table3[[#This Row],[E3Y]]+X$2</f>
        <v>2.5299999999999998</v>
      </c>
      <c r="AF4" s="6">
        <f>Table3[[#This Row],[E3TY]]+W$2</f>
        <v>2.42</v>
      </c>
      <c r="AG4" s="8">
        <f>T$2+U$2*(Table3[[#This Row],[Effect 3 Y]]-1)+2*V$2</f>
        <v>3.13</v>
      </c>
    </row>
    <row r="5" spans="1:33" ht="75" x14ac:dyDescent="0.25">
      <c r="A5" s="4" t="s">
        <v>41</v>
      </c>
      <c r="B5" s="6" t="s">
        <v>38</v>
      </c>
      <c r="C5" s="6"/>
      <c r="D5" s="7"/>
      <c r="E5" s="6">
        <v>1</v>
      </c>
      <c r="F5" s="8" t="s">
        <v>30</v>
      </c>
      <c r="G5" s="8" t="s">
        <v>86</v>
      </c>
      <c r="H5" s="8" t="s">
        <v>42</v>
      </c>
      <c r="I5" s="7"/>
      <c r="J5" s="6">
        <v>5</v>
      </c>
      <c r="K5" s="8" t="s">
        <v>30</v>
      </c>
      <c r="L5" s="8" t="s">
        <v>90</v>
      </c>
      <c r="M5" s="6" t="s">
        <v>43</v>
      </c>
      <c r="N5" s="14"/>
      <c r="O5" s="6"/>
      <c r="P5" s="8"/>
      <c r="Q5" s="8"/>
      <c r="R5" s="6"/>
      <c r="S5" s="9"/>
      <c r="T5" s="6"/>
      <c r="U5" s="6"/>
      <c r="V5" s="6"/>
      <c r="W5" s="6"/>
      <c r="X5" s="6"/>
      <c r="Y5" s="6">
        <f>Table3[[#This Row],[E1Y]]+X$2</f>
        <v>2.36</v>
      </c>
      <c r="Z5" s="6">
        <f>Table3[[#This Row],[E1TY]]+W$2</f>
        <v>2.25</v>
      </c>
      <c r="AA5" s="6">
        <f>T$2+U$2*(Table3[[#This Row],[Effect 1 Y]]-1)</f>
        <v>2.96</v>
      </c>
      <c r="AB5" s="6">
        <f>Table3[[#This Row],[E2Y]]+X$2</f>
        <v>4.38</v>
      </c>
      <c r="AC5" s="6">
        <f>Table3[[#This Row],[E2TY]]+W$2</f>
        <v>4.2699999999999996</v>
      </c>
      <c r="AD5" s="6">
        <f>T$2+U$2*(Table3[[#This Row],[Effect 2 Y]]-1)+V$2</f>
        <v>4.9799999999999995</v>
      </c>
      <c r="AE5" s="6">
        <f>Table3[[#This Row],[E3Y]]+X$2</f>
        <v>2.5299999999999998</v>
      </c>
      <c r="AF5" s="6">
        <f>Table3[[#This Row],[E3TY]]+W$2</f>
        <v>2.42</v>
      </c>
      <c r="AG5" s="8">
        <f>T$2+U$2*(Table3[[#This Row],[Effect 3 Y]]-1)+2*V$2</f>
        <v>3.13</v>
      </c>
    </row>
    <row r="6" spans="1:33" ht="90" x14ac:dyDescent="0.25">
      <c r="A6" s="4" t="s">
        <v>44</v>
      </c>
      <c r="B6" s="6" t="s">
        <v>38</v>
      </c>
      <c r="C6" s="6"/>
      <c r="D6" s="7"/>
      <c r="E6" s="6">
        <v>1</v>
      </c>
      <c r="F6" s="8" t="s">
        <v>30</v>
      </c>
      <c r="G6" s="8" t="s">
        <v>87</v>
      </c>
      <c r="H6" s="8" t="s">
        <v>45</v>
      </c>
      <c r="I6" s="7"/>
      <c r="J6" s="6">
        <v>4</v>
      </c>
      <c r="K6" s="8" t="s">
        <v>40</v>
      </c>
      <c r="L6" s="8" t="s">
        <v>91</v>
      </c>
      <c r="M6" s="6" t="s">
        <v>46</v>
      </c>
      <c r="N6" s="14"/>
      <c r="O6" s="6">
        <v>8</v>
      </c>
      <c r="P6" s="6" t="s">
        <v>31</v>
      </c>
      <c r="Q6" s="8" t="s">
        <v>80</v>
      </c>
      <c r="R6" s="6" t="s">
        <v>47</v>
      </c>
      <c r="S6" s="7"/>
      <c r="T6" s="6"/>
      <c r="U6" s="6"/>
      <c r="V6" s="6"/>
      <c r="W6" s="6"/>
      <c r="X6" s="6"/>
      <c r="Y6" s="6">
        <f>Table3[[#This Row],[E1Y]]+X$2</f>
        <v>2.36</v>
      </c>
      <c r="Z6" s="6">
        <f>Table3[[#This Row],[E1TY]]+W$2</f>
        <v>2.25</v>
      </c>
      <c r="AA6" s="6">
        <f>T$2+U$2*(Table3[[#This Row],[Effect 1 Y]]-1)</f>
        <v>2.96</v>
      </c>
      <c r="AB6" s="6">
        <f>Table3[[#This Row],[E2Y]]+X$2</f>
        <v>3.9499999999999997</v>
      </c>
      <c r="AC6" s="6">
        <f>Table3[[#This Row],[E2TY]]+W$2</f>
        <v>3.84</v>
      </c>
      <c r="AD6" s="6">
        <f>T$2+U$2*(Table3[[#This Row],[Effect 2 Y]]-1)+V$2</f>
        <v>4.55</v>
      </c>
      <c r="AE6" s="6">
        <f>Table3[[#This Row],[E3Y]]+X$2</f>
        <v>5.97</v>
      </c>
      <c r="AF6" s="6">
        <f>Table3[[#This Row],[E3TY]]+W$2</f>
        <v>5.8599999999999994</v>
      </c>
      <c r="AG6" s="8">
        <f>T$2+U$2*(Table3[[#This Row],[Effect 3 Y]]-1)+2*V$2</f>
        <v>6.5699999999999994</v>
      </c>
    </row>
    <row r="7" spans="1:33" ht="45" x14ac:dyDescent="0.25">
      <c r="A7" s="4" t="s">
        <v>48</v>
      </c>
      <c r="B7" s="10" t="s">
        <v>49</v>
      </c>
      <c r="C7" s="6"/>
      <c r="D7" s="9"/>
      <c r="E7" s="6">
        <v>1</v>
      </c>
      <c r="F7" s="6" t="s">
        <v>31</v>
      </c>
      <c r="G7" s="6" t="s">
        <v>50</v>
      </c>
      <c r="H7" s="6" t="s">
        <v>51</v>
      </c>
      <c r="I7" s="9"/>
      <c r="J7" s="6">
        <v>5</v>
      </c>
      <c r="K7" s="6" t="s">
        <v>52</v>
      </c>
      <c r="L7" s="6" t="s">
        <v>53</v>
      </c>
      <c r="M7" s="6" t="s">
        <v>54</v>
      </c>
      <c r="N7" s="15"/>
      <c r="O7" s="6">
        <v>10</v>
      </c>
      <c r="P7" s="6" t="s">
        <v>55</v>
      </c>
      <c r="Q7" s="6" t="s">
        <v>93</v>
      </c>
      <c r="R7" s="6" t="s">
        <v>56</v>
      </c>
      <c r="S7" s="7"/>
      <c r="T7" s="6"/>
      <c r="U7" s="6"/>
      <c r="V7" s="6"/>
      <c r="W7" s="6"/>
      <c r="X7" s="6"/>
      <c r="Y7" s="6">
        <f>Table3[[#This Row],[E1Y]]+X$2</f>
        <v>2.36</v>
      </c>
      <c r="Z7" s="6">
        <f>Table3[[#This Row],[E1TY]]+W$2</f>
        <v>2.25</v>
      </c>
      <c r="AA7" s="6">
        <f>T$2+U$2*(Table3[[#This Row],[Effect 1 Y]]-1)</f>
        <v>2.96</v>
      </c>
      <c r="AB7" s="6">
        <f>Table3[[#This Row],[E2Y]]+X$2</f>
        <v>4.38</v>
      </c>
      <c r="AC7" s="6">
        <f>Table3[[#This Row],[E2TY]]+W$2</f>
        <v>4.2699999999999996</v>
      </c>
      <c r="AD7" s="6">
        <f>T$2+U$2*(Table3[[#This Row],[Effect 2 Y]]-1)+V$2</f>
        <v>4.9799999999999995</v>
      </c>
      <c r="AE7" s="6">
        <f>Table3[[#This Row],[E3Y]]+X$2</f>
        <v>6.83</v>
      </c>
      <c r="AF7" s="6">
        <f>Table3[[#This Row],[E3TY]]+W$2</f>
        <v>6.72</v>
      </c>
      <c r="AG7" s="8">
        <f>T$2+U$2*(Table3[[#This Row],[Effect 3 Y]]-1)+2*V$2</f>
        <v>7.43</v>
      </c>
    </row>
    <row r="8" spans="1:33" ht="30" x14ac:dyDescent="0.25">
      <c r="A8" s="4" t="s">
        <v>58</v>
      </c>
      <c r="B8" s="10" t="s">
        <v>49</v>
      </c>
      <c r="C8" s="6"/>
      <c r="D8" s="7"/>
      <c r="E8" s="6">
        <v>1</v>
      </c>
      <c r="F8" s="8" t="s">
        <v>52</v>
      </c>
      <c r="G8" s="8" t="s">
        <v>59</v>
      </c>
      <c r="H8" s="8" t="s">
        <v>60</v>
      </c>
      <c r="I8" s="7"/>
      <c r="J8" s="8">
        <v>3</v>
      </c>
      <c r="K8" s="6" t="s">
        <v>31</v>
      </c>
      <c r="L8" s="6" t="s">
        <v>74</v>
      </c>
      <c r="M8" s="6" t="s">
        <v>61</v>
      </c>
      <c r="N8" s="14"/>
      <c r="O8" s="6">
        <v>10</v>
      </c>
      <c r="P8" s="6" t="s">
        <v>55</v>
      </c>
      <c r="Q8" s="6" t="s">
        <v>93</v>
      </c>
      <c r="R8" s="6" t="s">
        <v>62</v>
      </c>
      <c r="S8" s="7"/>
      <c r="T8" s="6"/>
      <c r="U8" s="6"/>
      <c r="V8" s="6"/>
      <c r="W8" s="6"/>
      <c r="X8" s="6"/>
      <c r="Y8" s="6">
        <f>Table3[[#This Row],[E1Y]]+X$2</f>
        <v>2.36</v>
      </c>
      <c r="Z8" s="6">
        <f>Table3[[#This Row],[E1TY]]+W$2</f>
        <v>2.25</v>
      </c>
      <c r="AA8" s="6">
        <f>T$2+U$2*(Table3[[#This Row],[Effect 1 Y]]-1)</f>
        <v>2.96</v>
      </c>
      <c r="AB8" s="6">
        <f>Table3[[#This Row],[E2Y]]+X$2</f>
        <v>3.52</v>
      </c>
      <c r="AC8" s="6">
        <f>Table3[[#This Row],[E2TY]]+W$2</f>
        <v>3.41</v>
      </c>
      <c r="AD8" s="6">
        <f>T$2+U$2*(Table3[[#This Row],[Effect 2 Y]]-1)+V$2</f>
        <v>4.12</v>
      </c>
      <c r="AE8" s="6">
        <f>Table3[[#This Row],[E3Y]]+X$2</f>
        <v>6.83</v>
      </c>
      <c r="AF8" s="6">
        <f>Table3[[#This Row],[E3TY]]+W$2</f>
        <v>6.72</v>
      </c>
      <c r="AG8" s="8">
        <f>T$2+U$2*(Table3[[#This Row],[Effect 3 Y]]-1)+2*V$2</f>
        <v>7.43</v>
      </c>
    </row>
    <row r="9" spans="1:33" ht="30" x14ac:dyDescent="0.25">
      <c r="A9" s="4" t="s">
        <v>63</v>
      </c>
      <c r="B9" s="10" t="s">
        <v>49</v>
      </c>
      <c r="C9" s="6"/>
      <c r="D9" s="7"/>
      <c r="E9" s="6">
        <v>1</v>
      </c>
      <c r="F9" s="8" t="s">
        <v>52</v>
      </c>
      <c r="G9" s="8" t="s">
        <v>64</v>
      </c>
      <c r="H9" s="8" t="s">
        <v>57</v>
      </c>
      <c r="I9" s="7"/>
      <c r="J9" s="6">
        <v>3</v>
      </c>
      <c r="K9" s="6" t="s">
        <v>30</v>
      </c>
      <c r="L9" s="6" t="s">
        <v>89</v>
      </c>
      <c r="M9" s="6" t="s">
        <v>65</v>
      </c>
      <c r="N9" s="14"/>
      <c r="O9" s="6">
        <v>11</v>
      </c>
      <c r="P9" s="6" t="s">
        <v>55</v>
      </c>
      <c r="Q9" s="6" t="s">
        <v>93</v>
      </c>
      <c r="R9" s="6" t="s">
        <v>66</v>
      </c>
      <c r="S9" s="7"/>
      <c r="T9" s="6"/>
      <c r="U9" s="6"/>
      <c r="V9" s="6"/>
      <c r="W9" s="6"/>
      <c r="X9" s="6"/>
      <c r="Y9" s="6">
        <f>Table3[[#This Row],[E1Y]]+X$2</f>
        <v>2.36</v>
      </c>
      <c r="Z9" s="6">
        <f>Table3[[#This Row],[E1TY]]+W$2</f>
        <v>2.25</v>
      </c>
      <c r="AA9" s="6">
        <f>T$2+U$2*(Table3[[#This Row],[Effect 1 Y]]-1)</f>
        <v>2.96</v>
      </c>
      <c r="AB9" s="6">
        <f>Table3[[#This Row],[E2Y]]+X$2</f>
        <v>3.52</v>
      </c>
      <c r="AC9" s="6">
        <f>Table3[[#This Row],[E2TY]]+W$2</f>
        <v>3.41</v>
      </c>
      <c r="AD9" s="6">
        <f>T$2+U$2*(Table3[[#This Row],[Effect 2 Y]]-1)+V$2</f>
        <v>4.12</v>
      </c>
      <c r="AE9" s="6">
        <f>Table3[[#This Row],[E3Y]]+X$2</f>
        <v>7.26</v>
      </c>
      <c r="AF9" s="6">
        <f>Table3[[#This Row],[E3TY]]+W$2</f>
        <v>7.1499999999999995</v>
      </c>
      <c r="AG9" s="8">
        <f>T$2+U$2*(Table3[[#This Row],[Effect 3 Y]]-1)+2*V$2</f>
        <v>7.8599999999999994</v>
      </c>
    </row>
    <row r="10" spans="1:33" ht="60" x14ac:dyDescent="0.25">
      <c r="A10" s="4" t="s">
        <v>75</v>
      </c>
      <c r="B10" s="10" t="s">
        <v>49</v>
      </c>
      <c r="C10" s="6"/>
      <c r="D10" s="7"/>
      <c r="E10" s="6">
        <v>1</v>
      </c>
      <c r="F10" s="8" t="s">
        <v>31</v>
      </c>
      <c r="G10" s="8" t="s">
        <v>76</v>
      </c>
      <c r="H10" s="8" t="s">
        <v>77</v>
      </c>
      <c r="I10" s="7"/>
      <c r="J10" s="6">
        <v>4</v>
      </c>
      <c r="K10" s="6" t="s">
        <v>30</v>
      </c>
      <c r="L10" s="6" t="s">
        <v>88</v>
      </c>
      <c r="M10" s="6" t="s">
        <v>92</v>
      </c>
      <c r="N10" s="14"/>
      <c r="O10" s="6">
        <v>8</v>
      </c>
      <c r="P10" s="6" t="s">
        <v>30</v>
      </c>
      <c r="Q10" s="6" t="s">
        <v>81</v>
      </c>
      <c r="R10" s="6" t="s">
        <v>78</v>
      </c>
      <c r="S10" s="7"/>
      <c r="T10" s="6"/>
      <c r="U10" s="6"/>
      <c r="V10" s="6"/>
      <c r="W10" s="6"/>
      <c r="X10" s="6"/>
      <c r="Y10" s="6">
        <f>Table3[[#This Row],[E1Y]]+X$2</f>
        <v>2.36</v>
      </c>
      <c r="Z10" s="6">
        <f>Table3[[#This Row],[E1TY]]+W$2</f>
        <v>2.25</v>
      </c>
      <c r="AA10" s="6">
        <f>T$2+U$2*(Table3[[#This Row],[Effect 1 Y]]-1)</f>
        <v>2.96</v>
      </c>
      <c r="AB10" s="6">
        <f>Table3[[#This Row],[E2Y]]+X$2</f>
        <v>3.9499999999999997</v>
      </c>
      <c r="AC10" s="6">
        <f>Table3[[#This Row],[E2TY]]+W$2</f>
        <v>3.84</v>
      </c>
      <c r="AD10" s="6">
        <f>T$2+U$2*(Table3[[#This Row],[Effect 2 Y]]-1)+V$2</f>
        <v>4.55</v>
      </c>
      <c r="AE10" s="6">
        <f>Table3[[#This Row],[E3Y]]+X$2</f>
        <v>5.97</v>
      </c>
      <c r="AF10" s="6">
        <f>Table3[[#This Row],[E3TY]]+W$2</f>
        <v>5.8599999999999994</v>
      </c>
      <c r="AG10" s="8">
        <f>T$2+U$2*(Table3[[#This Row],[Effect 3 Y]]-1)+2*V$2</f>
        <v>6.5699999999999994</v>
      </c>
    </row>
    <row r="11" spans="1:33" x14ac:dyDescent="0.25">
      <c r="A11" s="11"/>
      <c r="B11" s="11"/>
      <c r="C11" s="11"/>
      <c r="D11" s="11"/>
      <c r="E11" s="11"/>
      <c r="F11" s="12"/>
      <c r="G11" s="12"/>
      <c r="H11" s="11"/>
      <c r="I11" s="11"/>
      <c r="J11" s="11"/>
      <c r="K11" s="12"/>
      <c r="L11" s="12"/>
      <c r="M11" s="16"/>
      <c r="N11" s="11"/>
      <c r="O11" s="11"/>
      <c r="P11" s="12"/>
      <c r="Q11" s="12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2"/>
    </row>
    <row r="12" spans="1:33" x14ac:dyDescent="0.25">
      <c r="A12" s="11"/>
      <c r="B12" s="11"/>
      <c r="C12" s="11"/>
      <c r="D12" s="11"/>
      <c r="E12" s="11"/>
      <c r="F12" s="12"/>
      <c r="G12" s="12"/>
      <c r="H12" s="11"/>
      <c r="I12" s="11"/>
      <c r="J12" s="11"/>
      <c r="K12" s="12"/>
      <c r="L12" s="12"/>
      <c r="M12" s="16"/>
      <c r="N12" s="11"/>
      <c r="O12" s="11"/>
      <c r="P12" s="12"/>
      <c r="Q12" s="12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2"/>
    </row>
    <row r="13" spans="1:33" x14ac:dyDescent="0.25">
      <c r="A13" s="11"/>
      <c r="B13" s="11"/>
      <c r="C13" s="11"/>
      <c r="D13" s="11"/>
      <c r="E13" s="11"/>
      <c r="F13" s="12"/>
      <c r="G13" s="12"/>
      <c r="H13" s="11"/>
      <c r="I13" s="11"/>
      <c r="J13" s="11"/>
      <c r="K13" s="12"/>
      <c r="L13" s="12"/>
      <c r="M13" s="16"/>
      <c r="N13" s="11"/>
      <c r="O13" s="11"/>
      <c r="P13" s="12"/>
      <c r="Q13" s="12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2"/>
    </row>
    <row r="14" spans="1:33" x14ac:dyDescent="0.25">
      <c r="A14" s="11"/>
      <c r="B14" s="11"/>
      <c r="C14" s="11"/>
      <c r="D14" s="11"/>
      <c r="E14" s="11"/>
      <c r="F14" s="12"/>
      <c r="G14" s="12"/>
      <c r="H14" s="11"/>
      <c r="I14" s="11"/>
      <c r="J14" s="11"/>
      <c r="K14" s="12"/>
      <c r="L14" s="12"/>
      <c r="M14" s="16"/>
      <c r="N14" s="11"/>
      <c r="O14" s="11"/>
      <c r="P14" s="12"/>
      <c r="Q14" s="12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2"/>
    </row>
    <row r="15" spans="1:33" x14ac:dyDescent="0.25">
      <c r="A15" s="11"/>
      <c r="B15" s="11"/>
      <c r="C15" s="11"/>
      <c r="D15" s="11"/>
      <c r="E15" s="11"/>
      <c r="F15" s="12"/>
      <c r="G15" s="12"/>
      <c r="H15" s="11"/>
      <c r="I15" s="11"/>
      <c r="J15" s="11"/>
      <c r="K15" s="12"/>
      <c r="L15" s="12"/>
      <c r="M15" s="16"/>
      <c r="N15" s="11"/>
      <c r="O15" s="11"/>
      <c r="P15" s="12"/>
      <c r="Q15" s="12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2"/>
    </row>
    <row r="16" spans="1:33" x14ac:dyDescent="0.25">
      <c r="A16" s="11"/>
      <c r="B16" s="11"/>
      <c r="C16" s="11"/>
      <c r="D16" s="11"/>
      <c r="E16" s="11"/>
      <c r="F16" s="12"/>
      <c r="G16" s="12"/>
      <c r="H16" s="11"/>
      <c r="I16" s="11"/>
      <c r="J16" s="11"/>
      <c r="K16" s="12"/>
      <c r="L16" s="12"/>
      <c r="M16" s="16"/>
      <c r="N16" s="11"/>
      <c r="O16" s="11"/>
      <c r="P16" s="12"/>
      <c r="Q16" s="12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2"/>
    </row>
    <row r="17" spans="1:33" x14ac:dyDescent="0.25">
      <c r="A17" s="11"/>
      <c r="B17" s="11"/>
      <c r="C17" s="11"/>
      <c r="D17" s="11"/>
      <c r="E17" s="11"/>
      <c r="F17" s="12"/>
      <c r="G17" s="12"/>
      <c r="H17" s="11"/>
      <c r="I17" s="11"/>
      <c r="J17" s="11"/>
      <c r="K17" s="12"/>
      <c r="L17" s="12"/>
      <c r="M17" s="16"/>
      <c r="N17" s="11"/>
      <c r="O17" s="11"/>
      <c r="P17" s="12"/>
      <c r="Q17" s="12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2"/>
    </row>
    <row r="18" spans="1:33" x14ac:dyDescent="0.25">
      <c r="A18" s="11"/>
      <c r="B18" s="11"/>
      <c r="C18" s="11"/>
      <c r="D18" s="11"/>
      <c r="E18" s="11"/>
      <c r="F18" s="12"/>
      <c r="G18" s="12"/>
      <c r="H18" s="11"/>
      <c r="I18" s="11"/>
      <c r="J18" s="11"/>
      <c r="K18" s="12"/>
      <c r="L18" s="12"/>
      <c r="M18" s="16"/>
      <c r="N18" s="11"/>
      <c r="O18" s="11"/>
      <c r="P18" s="12"/>
      <c r="Q18" s="12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2"/>
    </row>
    <row r="19" spans="1:33" x14ac:dyDescent="0.25">
      <c r="A19" s="11"/>
      <c r="B19" s="11"/>
      <c r="C19" s="11"/>
      <c r="D19" s="11"/>
      <c r="E19" s="11"/>
      <c r="F19" s="12"/>
      <c r="G19" s="12"/>
      <c r="H19" s="11"/>
      <c r="I19" s="11"/>
      <c r="J19" s="11"/>
      <c r="K19" s="12"/>
      <c r="L19" s="12"/>
      <c r="M19" s="16"/>
      <c r="N19" s="11"/>
      <c r="O19" s="11"/>
      <c r="P19" s="12"/>
      <c r="Q19" s="12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2"/>
    </row>
    <row r="20" spans="1:33" x14ac:dyDescent="0.25">
      <c r="A20" s="11"/>
      <c r="B20" s="11"/>
      <c r="C20" s="11"/>
      <c r="D20" s="11"/>
      <c r="E20" s="11"/>
      <c r="F20" s="12"/>
      <c r="G20" s="12"/>
      <c r="H20" s="11"/>
      <c r="I20" s="11"/>
      <c r="J20" s="11"/>
      <c r="K20" s="12"/>
      <c r="L20" s="12"/>
      <c r="M20" s="16"/>
      <c r="N20" s="11"/>
      <c r="O20" s="11"/>
      <c r="P20" s="12"/>
      <c r="Q20" s="12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2"/>
    </row>
    <row r="21" spans="1:33" x14ac:dyDescent="0.25">
      <c r="A21" s="11"/>
      <c r="B21" s="11"/>
      <c r="C21" s="11"/>
      <c r="D21" s="11"/>
      <c r="E21" s="11"/>
      <c r="F21" s="12"/>
      <c r="G21" s="12"/>
      <c r="H21" s="11"/>
      <c r="I21" s="11"/>
      <c r="J21" s="11"/>
      <c r="K21" s="12"/>
      <c r="L21" s="12"/>
      <c r="M21" s="16"/>
      <c r="N21" s="11"/>
      <c r="O21" s="11"/>
      <c r="P21" s="12"/>
      <c r="Q21" s="12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2"/>
    </row>
    <row r="22" spans="1:33" x14ac:dyDescent="0.25">
      <c r="A22" s="11"/>
      <c r="B22" s="11"/>
      <c r="C22" s="11"/>
      <c r="D22" s="11"/>
      <c r="E22" s="11"/>
      <c r="F22" s="12"/>
      <c r="G22" s="12"/>
      <c r="H22" s="11"/>
      <c r="I22" s="11"/>
      <c r="J22" s="11"/>
      <c r="K22" s="12"/>
      <c r="L22" s="12"/>
      <c r="M22" s="16"/>
      <c r="N22" s="11"/>
      <c r="O22" s="11"/>
      <c r="P22" s="12"/>
      <c r="Q22" s="12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2"/>
    </row>
    <row r="23" spans="1:33" x14ac:dyDescent="0.25">
      <c r="A23" s="11"/>
      <c r="B23" s="11"/>
      <c r="C23" s="11"/>
      <c r="D23" s="11"/>
      <c r="E23" s="11"/>
      <c r="F23" s="12"/>
      <c r="G23" s="12"/>
      <c r="H23" s="11"/>
      <c r="I23" s="11"/>
      <c r="J23" s="11"/>
      <c r="K23" s="12"/>
      <c r="L23" s="12"/>
      <c r="M23" s="16"/>
      <c r="N23" s="11"/>
      <c r="O23" s="11"/>
      <c r="P23" s="12"/>
      <c r="Q23" s="12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2"/>
    </row>
    <row r="24" spans="1:33" x14ac:dyDescent="0.25">
      <c r="A24" s="11"/>
      <c r="B24" s="11"/>
      <c r="C24" s="11"/>
      <c r="D24" s="11"/>
      <c r="E24" s="11"/>
      <c r="F24" s="12"/>
      <c r="G24" s="12"/>
      <c r="H24" s="11"/>
      <c r="I24" s="11"/>
      <c r="J24" s="11"/>
      <c r="K24" s="12"/>
      <c r="L24" s="12"/>
      <c r="M24" s="16"/>
      <c r="N24" s="11"/>
      <c r="O24" s="11"/>
      <c r="P24" s="12"/>
      <c r="Q24" s="12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2"/>
    </row>
    <row r="25" spans="1:33" x14ac:dyDescent="0.25">
      <c r="A25" s="11"/>
      <c r="B25" s="11"/>
      <c r="C25" s="11"/>
      <c r="D25" s="11"/>
      <c r="E25" s="11"/>
      <c r="F25" s="12"/>
      <c r="G25" s="12"/>
      <c r="H25" s="11"/>
      <c r="I25" s="11"/>
      <c r="J25" s="11"/>
      <c r="K25" s="12"/>
      <c r="L25" s="12"/>
      <c r="M25" s="16"/>
      <c r="N25" s="11"/>
      <c r="O25" s="11"/>
      <c r="P25" s="12"/>
      <c r="Q25" s="12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2"/>
    </row>
    <row r="26" spans="1:33" x14ac:dyDescent="0.25">
      <c r="A26" s="11"/>
      <c r="B26" s="11"/>
      <c r="C26" s="11"/>
      <c r="D26" s="11"/>
      <c r="E26" s="11"/>
      <c r="F26" s="12"/>
      <c r="G26" s="12"/>
      <c r="H26" s="11"/>
      <c r="I26" s="11"/>
      <c r="J26" s="11"/>
      <c r="K26" s="12"/>
      <c r="L26" s="12"/>
      <c r="M26" s="16"/>
      <c r="N26" s="11"/>
      <c r="O26" s="11"/>
      <c r="P26" s="12"/>
      <c r="Q26" s="12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2"/>
    </row>
    <row r="27" spans="1:33" x14ac:dyDescent="0.25">
      <c r="A27" s="11"/>
      <c r="B27" s="11"/>
      <c r="C27" s="11"/>
      <c r="D27" s="11"/>
      <c r="E27" s="11"/>
      <c r="F27" s="12"/>
      <c r="G27" s="12"/>
      <c r="H27" s="11"/>
      <c r="I27" s="11"/>
      <c r="J27" s="11"/>
      <c r="K27" s="12"/>
      <c r="L27" s="12"/>
      <c r="M27" s="16"/>
      <c r="N27" s="11"/>
      <c r="O27" s="11"/>
      <c r="P27" s="12"/>
      <c r="Q27" s="12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2"/>
    </row>
    <row r="28" spans="1:33" x14ac:dyDescent="0.25">
      <c r="A28" s="11"/>
      <c r="B28" s="11"/>
      <c r="C28" s="11"/>
      <c r="D28" s="11"/>
      <c r="E28" s="11"/>
      <c r="F28" s="12"/>
      <c r="G28" s="12"/>
      <c r="H28" s="11"/>
      <c r="I28" s="11"/>
      <c r="J28" s="11"/>
      <c r="K28" s="12"/>
      <c r="L28" s="12"/>
      <c r="M28" s="16"/>
      <c r="N28" s="11"/>
      <c r="O28" s="11"/>
      <c r="P28" s="12"/>
      <c r="Q28" s="12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2"/>
    </row>
    <row r="29" spans="1:33" x14ac:dyDescent="0.25">
      <c r="A29" s="11"/>
      <c r="B29" s="11"/>
      <c r="C29" s="11"/>
      <c r="D29" s="11"/>
      <c r="E29" s="11"/>
      <c r="F29" s="12"/>
      <c r="G29" s="12"/>
      <c r="H29" s="11"/>
      <c r="I29" s="11"/>
      <c r="J29" s="11"/>
      <c r="K29" s="12"/>
      <c r="L29" s="12"/>
      <c r="M29" s="16"/>
      <c r="N29" s="11"/>
      <c r="O29" s="11"/>
      <c r="P29" s="12"/>
      <c r="Q29" s="12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2"/>
    </row>
    <row r="30" spans="1:33" x14ac:dyDescent="0.25">
      <c r="A30" s="11"/>
      <c r="B30" s="11"/>
      <c r="C30" s="11"/>
      <c r="D30" s="11"/>
      <c r="E30" s="11"/>
      <c r="F30" s="12"/>
      <c r="G30" s="12"/>
      <c r="H30" s="11"/>
      <c r="I30" s="11"/>
      <c r="J30" s="11"/>
      <c r="K30" s="12"/>
      <c r="L30" s="12"/>
      <c r="M30" s="16"/>
      <c r="N30" s="11"/>
      <c r="O30" s="11"/>
      <c r="P30" s="12"/>
      <c r="Q30" s="12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2"/>
    </row>
    <row r="31" spans="1:33" x14ac:dyDescent="0.25">
      <c r="A31" s="11"/>
      <c r="B31" s="11"/>
      <c r="C31" s="11"/>
      <c r="D31" s="11"/>
      <c r="E31" s="11"/>
      <c r="F31" s="12"/>
      <c r="G31" s="12"/>
      <c r="H31" s="11"/>
      <c r="I31" s="11"/>
      <c r="J31" s="11"/>
      <c r="K31" s="12"/>
      <c r="L31" s="12"/>
      <c r="M31" s="16"/>
      <c r="N31" s="11"/>
      <c r="O31" s="11"/>
      <c r="P31" s="12"/>
      <c r="Q31" s="12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2"/>
    </row>
    <row r="32" spans="1:33" x14ac:dyDescent="0.25">
      <c r="A32" s="11"/>
      <c r="B32" s="11"/>
      <c r="C32" s="11"/>
      <c r="D32" s="11"/>
      <c r="E32" s="11"/>
      <c r="F32" s="12"/>
      <c r="G32" s="12"/>
      <c r="H32" s="11"/>
      <c r="I32" s="11"/>
      <c r="J32" s="11"/>
      <c r="K32" s="12"/>
      <c r="L32" s="12"/>
      <c r="M32" s="16"/>
      <c r="N32" s="11"/>
      <c r="O32" s="11"/>
      <c r="P32" s="12"/>
      <c r="Q32" s="12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2"/>
    </row>
    <row r="33" spans="1:33" x14ac:dyDescent="0.25">
      <c r="A33" s="11"/>
      <c r="B33" s="11"/>
      <c r="C33" s="11"/>
      <c r="D33" s="11"/>
      <c r="E33" s="11"/>
      <c r="F33" s="12"/>
      <c r="G33" s="12"/>
      <c r="H33" s="11"/>
      <c r="I33" s="11"/>
      <c r="J33" s="11"/>
      <c r="K33" s="12"/>
      <c r="L33" s="12"/>
      <c r="M33" s="16"/>
      <c r="N33" s="11"/>
      <c r="O33" s="11"/>
      <c r="P33" s="12"/>
      <c r="Q33" s="12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2"/>
    </row>
    <row r="34" spans="1:33" x14ac:dyDescent="0.25">
      <c r="A34" s="11"/>
      <c r="B34" s="11"/>
      <c r="C34" s="11"/>
      <c r="D34" s="11"/>
      <c r="E34" s="11"/>
      <c r="F34" s="12"/>
      <c r="G34" s="12"/>
      <c r="H34" s="11"/>
      <c r="I34" s="11"/>
      <c r="J34" s="11"/>
      <c r="K34" s="12"/>
      <c r="L34" s="12"/>
      <c r="M34" s="16"/>
      <c r="N34" s="11"/>
      <c r="O34" s="11"/>
      <c r="P34" s="12"/>
      <c r="Q34" s="12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2"/>
    </row>
    <row r="35" spans="1:33" x14ac:dyDescent="0.25">
      <c r="A35" s="11"/>
      <c r="B35" s="11"/>
      <c r="C35" s="11"/>
      <c r="D35" s="11"/>
      <c r="E35" s="11"/>
      <c r="F35" s="12"/>
      <c r="G35" s="12"/>
      <c r="H35" s="11"/>
      <c r="I35" s="11"/>
      <c r="J35" s="11"/>
      <c r="K35" s="12"/>
      <c r="L35" s="12"/>
      <c r="M35" s="16"/>
      <c r="N35" s="11"/>
      <c r="O35" s="11"/>
      <c r="P35" s="12"/>
      <c r="Q35" s="12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2"/>
    </row>
    <row r="36" spans="1:33" x14ac:dyDescent="0.25">
      <c r="A36" s="11"/>
      <c r="B36" s="11"/>
      <c r="C36" s="11"/>
      <c r="D36" s="11"/>
      <c r="E36" s="11"/>
      <c r="F36" s="12"/>
      <c r="G36" s="12"/>
      <c r="H36" s="11"/>
      <c r="I36" s="11"/>
      <c r="J36" s="11"/>
      <c r="K36" s="12"/>
      <c r="L36" s="12"/>
      <c r="M36" s="16"/>
      <c r="N36" s="11"/>
      <c r="O36" s="11"/>
      <c r="P36" s="12"/>
      <c r="Q36" s="12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2"/>
    </row>
    <row r="37" spans="1:33" x14ac:dyDescent="0.25">
      <c r="A37" s="11"/>
      <c r="B37" s="11"/>
      <c r="C37" s="11"/>
      <c r="D37" s="11"/>
      <c r="E37" s="11"/>
      <c r="F37" s="12"/>
      <c r="G37" s="12"/>
      <c r="H37" s="11"/>
      <c r="I37" s="11"/>
      <c r="J37" s="11"/>
      <c r="K37" s="12"/>
      <c r="L37" s="12"/>
      <c r="M37" s="16"/>
      <c r="N37" s="11"/>
      <c r="O37" s="11"/>
      <c r="P37" s="12"/>
      <c r="Q37" s="12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2"/>
    </row>
    <row r="38" spans="1:33" x14ac:dyDescent="0.25">
      <c r="A38" s="11"/>
      <c r="B38" s="11"/>
      <c r="C38" s="11"/>
      <c r="D38" s="11"/>
      <c r="E38" s="11"/>
      <c r="F38" s="12"/>
      <c r="G38" s="12"/>
      <c r="H38" s="11"/>
      <c r="I38" s="11"/>
      <c r="J38" s="11"/>
      <c r="K38" s="12"/>
      <c r="L38" s="12"/>
      <c r="M38" s="16"/>
      <c r="N38" s="11"/>
      <c r="O38" s="11"/>
      <c r="P38" s="12"/>
      <c r="Q38" s="12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2"/>
    </row>
    <row r="39" spans="1:33" x14ac:dyDescent="0.25">
      <c r="A39" s="11"/>
      <c r="B39" s="11"/>
      <c r="C39" s="11"/>
      <c r="D39" s="11"/>
      <c r="E39" s="11"/>
      <c r="F39" s="12"/>
      <c r="G39" s="12"/>
      <c r="H39" s="11"/>
      <c r="I39" s="11"/>
      <c r="J39" s="11"/>
      <c r="K39" s="12"/>
      <c r="L39" s="12"/>
      <c r="M39" s="16"/>
      <c r="N39" s="11"/>
      <c r="O39" s="11"/>
      <c r="P39" s="12"/>
      <c r="Q39" s="12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2"/>
    </row>
    <row r="40" spans="1:33" x14ac:dyDescent="0.25">
      <c r="A40" s="11"/>
      <c r="B40" s="11"/>
      <c r="C40" s="11"/>
      <c r="D40" s="11"/>
      <c r="E40" s="11"/>
      <c r="F40" s="12"/>
      <c r="G40" s="12"/>
      <c r="H40" s="11"/>
      <c r="I40" s="11"/>
      <c r="J40" s="11"/>
      <c r="K40" s="12"/>
      <c r="L40" s="12"/>
      <c r="M40" s="16"/>
      <c r="N40" s="11"/>
      <c r="O40" s="11"/>
      <c r="P40" s="12"/>
      <c r="Q40" s="12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2"/>
    </row>
    <row r="41" spans="1:33" x14ac:dyDescent="0.25">
      <c r="A41" s="11"/>
      <c r="B41" s="11"/>
      <c r="C41" s="11"/>
      <c r="D41" s="11"/>
      <c r="E41" s="11"/>
      <c r="F41" s="12"/>
      <c r="G41" s="12"/>
      <c r="H41" s="11"/>
      <c r="I41" s="11"/>
      <c r="J41" s="11"/>
      <c r="K41" s="12"/>
      <c r="L41" s="12"/>
      <c r="M41" s="16"/>
      <c r="N41" s="11"/>
      <c r="O41" s="11"/>
      <c r="P41" s="12"/>
      <c r="Q41" s="12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2"/>
    </row>
    <row r="42" spans="1:33" x14ac:dyDescent="0.25">
      <c r="A42" s="11"/>
      <c r="B42" s="11"/>
      <c r="C42" s="11"/>
      <c r="D42" s="11"/>
      <c r="E42" s="11"/>
      <c r="F42" s="12"/>
      <c r="G42" s="12"/>
      <c r="H42" s="11"/>
      <c r="I42" s="11"/>
      <c r="J42" s="11"/>
      <c r="K42" s="12"/>
      <c r="L42" s="12"/>
      <c r="M42" s="16"/>
      <c r="N42" s="11"/>
      <c r="O42" s="11"/>
      <c r="P42" s="12"/>
      <c r="Q42" s="12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2"/>
    </row>
    <row r="43" spans="1:33" x14ac:dyDescent="0.25">
      <c r="A43" s="11"/>
      <c r="B43" s="11"/>
      <c r="C43" s="11"/>
      <c r="D43" s="11"/>
      <c r="E43" s="11"/>
      <c r="F43" s="12"/>
      <c r="G43" s="12"/>
      <c r="H43" s="11"/>
      <c r="I43" s="11"/>
      <c r="J43" s="11"/>
      <c r="K43" s="12"/>
      <c r="L43" s="12"/>
      <c r="M43" s="16"/>
      <c r="N43" s="11"/>
      <c r="O43" s="11"/>
      <c r="P43" s="12"/>
      <c r="Q43" s="12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2"/>
    </row>
    <row r="44" spans="1:33" x14ac:dyDescent="0.25">
      <c r="A44" s="11"/>
      <c r="B44" s="11"/>
      <c r="C44" s="11"/>
      <c r="D44" s="11"/>
      <c r="E44" s="11"/>
      <c r="F44" s="12"/>
      <c r="G44" s="12"/>
      <c r="H44" s="11"/>
      <c r="I44" s="11"/>
      <c r="J44" s="11"/>
      <c r="K44" s="12"/>
      <c r="L44" s="12"/>
      <c r="M44" s="16"/>
      <c r="N44" s="11"/>
      <c r="O44" s="11"/>
      <c r="P44" s="12"/>
      <c r="Q44" s="12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2"/>
    </row>
    <row r="45" spans="1:33" x14ac:dyDescent="0.25">
      <c r="A45" s="11"/>
      <c r="B45" s="11"/>
      <c r="C45" s="11"/>
      <c r="D45" s="11"/>
      <c r="E45" s="11"/>
      <c r="F45" s="12"/>
      <c r="G45" s="12"/>
      <c r="H45" s="11"/>
      <c r="I45" s="11"/>
      <c r="J45" s="11"/>
      <c r="K45" s="12"/>
      <c r="L45" s="12"/>
      <c r="M45" s="16"/>
      <c r="N45" s="11"/>
      <c r="O45" s="11"/>
      <c r="P45" s="12"/>
      <c r="Q45" s="12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2"/>
    </row>
    <row r="46" spans="1:33" x14ac:dyDescent="0.25">
      <c r="A46" s="11"/>
      <c r="B46" s="11"/>
      <c r="C46" s="11"/>
      <c r="D46" s="11"/>
      <c r="E46" s="11"/>
      <c r="F46" s="12"/>
      <c r="G46" s="12"/>
      <c r="H46" s="11"/>
      <c r="I46" s="11"/>
      <c r="J46" s="11"/>
      <c r="K46" s="12"/>
      <c r="L46" s="12"/>
      <c r="M46" s="16"/>
      <c r="N46" s="11"/>
      <c r="O46" s="11"/>
      <c r="P46" s="12"/>
      <c r="Q46" s="12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2"/>
    </row>
    <row r="47" spans="1:33" x14ac:dyDescent="0.25">
      <c r="A47" s="11"/>
      <c r="B47" s="11"/>
      <c r="C47" s="11"/>
      <c r="D47" s="11"/>
      <c r="E47" s="11"/>
      <c r="F47" s="12"/>
      <c r="G47" s="12"/>
      <c r="H47" s="11"/>
      <c r="I47" s="11"/>
      <c r="J47" s="11"/>
      <c r="K47" s="12"/>
      <c r="L47" s="12"/>
      <c r="M47" s="16"/>
      <c r="N47" s="11"/>
      <c r="O47" s="11"/>
      <c r="P47" s="12"/>
      <c r="Q47" s="12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2"/>
    </row>
    <row r="48" spans="1:33" x14ac:dyDescent="0.25">
      <c r="A48" s="11"/>
      <c r="B48" s="11"/>
      <c r="C48" s="11"/>
      <c r="D48" s="11"/>
      <c r="E48" s="11"/>
      <c r="F48" s="12"/>
      <c r="G48" s="12"/>
      <c r="H48" s="11"/>
      <c r="I48" s="11"/>
      <c r="J48" s="11"/>
      <c r="K48" s="12"/>
      <c r="L48" s="12"/>
      <c r="M48" s="16"/>
      <c r="N48" s="11"/>
      <c r="O48" s="11"/>
      <c r="P48" s="12"/>
      <c r="Q48" s="12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2"/>
    </row>
    <row r="49" spans="1:33" x14ac:dyDescent="0.25">
      <c r="A49" s="11"/>
      <c r="B49" s="11"/>
      <c r="C49" s="11"/>
      <c r="D49" s="11"/>
      <c r="E49" s="11"/>
      <c r="F49" s="12"/>
      <c r="G49" s="12"/>
      <c r="H49" s="11"/>
      <c r="I49" s="11"/>
      <c r="J49" s="11"/>
      <c r="K49" s="12"/>
      <c r="L49" s="12"/>
      <c r="M49" s="16"/>
      <c r="N49" s="11"/>
      <c r="O49" s="11"/>
      <c r="P49" s="12"/>
      <c r="Q49" s="12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2"/>
    </row>
    <row r="50" spans="1:33" x14ac:dyDescent="0.25">
      <c r="A50" s="11"/>
      <c r="B50" s="11"/>
      <c r="C50" s="11"/>
      <c r="D50" s="11"/>
      <c r="E50" s="11"/>
      <c r="F50" s="12"/>
      <c r="G50" s="12"/>
      <c r="H50" s="11"/>
      <c r="I50" s="11"/>
      <c r="J50" s="11"/>
      <c r="K50" s="12"/>
      <c r="L50" s="12"/>
      <c r="M50" s="16"/>
      <c r="N50" s="11"/>
      <c r="O50" s="11"/>
      <c r="P50" s="12"/>
      <c r="Q50" s="12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2"/>
    </row>
    <row r="51" spans="1:33" x14ac:dyDescent="0.25">
      <c r="A51" s="11"/>
      <c r="B51" s="11"/>
      <c r="C51" s="11"/>
      <c r="D51" s="11"/>
      <c r="E51" s="11"/>
      <c r="F51" s="12"/>
      <c r="G51" s="12"/>
      <c r="H51" s="11"/>
      <c r="I51" s="11"/>
      <c r="J51" s="11"/>
      <c r="K51" s="12"/>
      <c r="L51" s="12"/>
      <c r="M51" s="16"/>
      <c r="N51" s="11"/>
      <c r="O51" s="11"/>
      <c r="P51" s="12"/>
      <c r="Q51" s="12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2"/>
    </row>
    <row r="52" spans="1:33" x14ac:dyDescent="0.25">
      <c r="A52" s="11"/>
      <c r="B52" s="11"/>
      <c r="C52" s="11"/>
      <c r="D52" s="11"/>
      <c r="E52" s="11"/>
      <c r="F52" s="12"/>
      <c r="G52" s="12"/>
      <c r="H52" s="11"/>
      <c r="I52" s="11"/>
      <c r="J52" s="11"/>
      <c r="K52" s="12"/>
      <c r="L52" s="12"/>
      <c r="M52" s="16"/>
      <c r="N52" s="11"/>
      <c r="O52" s="11"/>
      <c r="P52" s="12"/>
      <c r="Q52" s="12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2"/>
    </row>
    <row r="53" spans="1:33" x14ac:dyDescent="0.25">
      <c r="A53" s="11"/>
      <c r="B53" s="11"/>
      <c r="C53" s="11"/>
      <c r="D53" s="11"/>
      <c r="E53" s="11"/>
      <c r="F53" s="12"/>
      <c r="G53" s="12"/>
      <c r="H53" s="11"/>
      <c r="I53" s="11"/>
      <c r="J53" s="11"/>
      <c r="K53" s="12"/>
      <c r="L53" s="12"/>
      <c r="M53" s="16"/>
      <c r="N53" s="11"/>
      <c r="O53" s="11"/>
      <c r="P53" s="12"/>
      <c r="Q53" s="12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2"/>
    </row>
    <row r="54" spans="1:33" x14ac:dyDescent="0.25">
      <c r="A54" s="11"/>
      <c r="B54" s="11"/>
      <c r="C54" s="11"/>
      <c r="D54" s="11"/>
      <c r="E54" s="11"/>
      <c r="F54" s="12"/>
      <c r="G54" s="12"/>
      <c r="H54" s="11"/>
      <c r="I54" s="11"/>
      <c r="J54" s="11"/>
      <c r="K54" s="12"/>
      <c r="L54" s="12"/>
      <c r="M54" s="16"/>
      <c r="N54" s="11"/>
      <c r="O54" s="11"/>
      <c r="P54" s="12"/>
      <c r="Q54" s="12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2"/>
    </row>
    <row r="55" spans="1:33" x14ac:dyDescent="0.25">
      <c r="A55" s="11"/>
      <c r="B55" s="11"/>
      <c r="C55" s="11"/>
      <c r="D55" s="11"/>
      <c r="E55" s="11"/>
      <c r="F55" s="12"/>
      <c r="G55" s="12"/>
      <c r="H55" s="11"/>
      <c r="I55" s="11"/>
      <c r="J55" s="11"/>
      <c r="K55" s="12"/>
      <c r="L55" s="12"/>
      <c r="M55" s="16"/>
      <c r="N55" s="11"/>
      <c r="O55" s="11"/>
      <c r="P55" s="12"/>
      <c r="Q55" s="12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2"/>
    </row>
    <row r="56" spans="1:33" x14ac:dyDescent="0.25">
      <c r="A56" s="11"/>
      <c r="B56" s="11"/>
      <c r="C56" s="11"/>
      <c r="D56" s="11"/>
      <c r="E56" s="11"/>
      <c r="F56" s="12"/>
      <c r="G56" s="12"/>
      <c r="H56" s="11"/>
      <c r="I56" s="11"/>
      <c r="J56" s="11"/>
      <c r="K56" s="12"/>
      <c r="L56" s="12"/>
      <c r="M56" s="16"/>
      <c r="N56" s="11"/>
      <c r="O56" s="11"/>
      <c r="P56" s="12"/>
      <c r="Q56" s="12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2"/>
    </row>
    <row r="57" spans="1:33" x14ac:dyDescent="0.25">
      <c r="A57" s="11"/>
      <c r="B57" s="11"/>
      <c r="C57" s="11"/>
      <c r="D57" s="11"/>
      <c r="E57" s="11"/>
      <c r="F57" s="12"/>
      <c r="G57" s="12"/>
      <c r="H57" s="11"/>
      <c r="I57" s="11"/>
      <c r="J57" s="11"/>
      <c r="K57" s="12"/>
      <c r="L57" s="12"/>
      <c r="M57" s="16"/>
      <c r="N57" s="11"/>
      <c r="O57" s="11"/>
      <c r="P57" s="12"/>
      <c r="Q57" s="12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2"/>
    </row>
    <row r="58" spans="1:33" x14ac:dyDescent="0.25">
      <c r="A58" s="11"/>
      <c r="B58" s="11"/>
      <c r="C58" s="11"/>
      <c r="D58" s="11"/>
      <c r="E58" s="11"/>
      <c r="F58" s="12"/>
      <c r="G58" s="12"/>
      <c r="H58" s="11"/>
      <c r="I58" s="11"/>
      <c r="J58" s="11"/>
      <c r="K58" s="12"/>
      <c r="L58" s="12"/>
      <c r="M58" s="16"/>
      <c r="N58" s="11"/>
      <c r="O58" s="11"/>
      <c r="P58" s="12"/>
      <c r="Q58" s="12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2"/>
    </row>
    <row r="59" spans="1:33" x14ac:dyDescent="0.25">
      <c r="A59" s="11"/>
      <c r="B59" s="11"/>
      <c r="C59" s="11"/>
      <c r="D59" s="11"/>
      <c r="E59" s="11"/>
      <c r="F59" s="12"/>
      <c r="G59" s="12"/>
      <c r="H59" s="11"/>
      <c r="I59" s="11"/>
      <c r="J59" s="11"/>
      <c r="K59" s="12"/>
      <c r="L59" s="12"/>
      <c r="M59" s="16"/>
      <c r="N59" s="11"/>
      <c r="O59" s="11"/>
      <c r="P59" s="12"/>
      <c r="Q59" s="12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2"/>
    </row>
    <row r="60" spans="1:33" x14ac:dyDescent="0.25">
      <c r="A60" s="11"/>
      <c r="B60" s="11"/>
      <c r="C60" s="11"/>
      <c r="D60" s="11"/>
      <c r="E60" s="11"/>
      <c r="F60" s="12"/>
      <c r="G60" s="12"/>
      <c r="H60" s="11"/>
      <c r="I60" s="11"/>
      <c r="J60" s="11"/>
      <c r="K60" s="12"/>
      <c r="L60" s="12"/>
      <c r="M60" s="16"/>
      <c r="N60" s="11"/>
      <c r="O60" s="11"/>
      <c r="P60" s="12"/>
      <c r="Q60" s="12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2"/>
    </row>
    <row r="61" spans="1:33" x14ac:dyDescent="0.25">
      <c r="A61" s="11"/>
      <c r="B61" s="11"/>
      <c r="C61" s="11"/>
      <c r="D61" s="11"/>
      <c r="E61" s="11"/>
      <c r="F61" s="12"/>
      <c r="G61" s="12"/>
      <c r="H61" s="11"/>
      <c r="I61" s="11"/>
      <c r="J61" s="11"/>
      <c r="K61" s="12"/>
      <c r="L61" s="12"/>
      <c r="M61" s="16"/>
      <c r="N61" s="11"/>
      <c r="O61" s="11"/>
      <c r="P61" s="12"/>
      <c r="Q61" s="12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2"/>
    </row>
    <row r="62" spans="1:33" x14ac:dyDescent="0.25">
      <c r="A62" s="11"/>
      <c r="B62" s="11"/>
      <c r="C62" s="11"/>
      <c r="D62" s="11"/>
      <c r="E62" s="11"/>
      <c r="F62" s="12"/>
      <c r="G62" s="12"/>
      <c r="H62" s="11"/>
      <c r="I62" s="11"/>
      <c r="J62" s="11"/>
      <c r="K62" s="12"/>
      <c r="L62" s="12"/>
      <c r="M62" s="16"/>
      <c r="N62" s="11"/>
      <c r="O62" s="11"/>
      <c r="P62" s="12"/>
      <c r="Q62" s="12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2"/>
    </row>
    <row r="63" spans="1:33" x14ac:dyDescent="0.25">
      <c r="A63" s="11"/>
      <c r="B63" s="11"/>
      <c r="C63" s="11"/>
      <c r="D63" s="11"/>
      <c r="E63" s="11"/>
      <c r="F63" s="12"/>
      <c r="G63" s="12"/>
      <c r="H63" s="11"/>
      <c r="I63" s="11"/>
      <c r="J63" s="11"/>
      <c r="K63" s="12"/>
      <c r="L63" s="12"/>
      <c r="M63" s="16"/>
      <c r="N63" s="11"/>
      <c r="O63" s="11"/>
      <c r="P63" s="12"/>
      <c r="Q63" s="12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2"/>
    </row>
    <row r="64" spans="1:33" x14ac:dyDescent="0.25">
      <c r="A64" s="11"/>
      <c r="B64" s="11"/>
      <c r="C64" s="11"/>
      <c r="D64" s="11"/>
      <c r="E64" s="11"/>
      <c r="F64" s="12"/>
      <c r="G64" s="12"/>
      <c r="H64" s="11"/>
      <c r="I64" s="11"/>
      <c r="J64" s="11"/>
      <c r="K64" s="12"/>
      <c r="L64" s="12"/>
      <c r="M64" s="16"/>
      <c r="N64" s="11"/>
      <c r="O64" s="11"/>
      <c r="P64" s="12"/>
      <c r="Q64" s="12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2"/>
    </row>
    <row r="65" spans="1:33" x14ac:dyDescent="0.25">
      <c r="A65" s="11"/>
      <c r="B65" s="11"/>
      <c r="C65" s="11"/>
      <c r="D65" s="11"/>
      <c r="E65" s="11"/>
      <c r="F65" s="12"/>
      <c r="G65" s="12"/>
      <c r="H65" s="11"/>
      <c r="I65" s="11"/>
      <c r="J65" s="11"/>
      <c r="K65" s="12"/>
      <c r="L65" s="12"/>
      <c r="M65" s="16"/>
      <c r="N65" s="11"/>
      <c r="O65" s="11"/>
      <c r="P65" s="12"/>
      <c r="Q65" s="12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2"/>
    </row>
    <row r="66" spans="1:33" x14ac:dyDescent="0.25">
      <c r="A66" s="11"/>
      <c r="B66" s="11"/>
      <c r="C66" s="11"/>
      <c r="D66" s="11"/>
      <c r="E66" s="11"/>
      <c r="F66" s="12"/>
      <c r="G66" s="12"/>
      <c r="H66" s="11"/>
      <c r="I66" s="11"/>
      <c r="J66" s="11"/>
      <c r="K66" s="12"/>
      <c r="L66" s="12"/>
      <c r="M66" s="16"/>
      <c r="N66" s="11"/>
      <c r="O66" s="11"/>
      <c r="P66" s="12"/>
      <c r="Q66" s="12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2"/>
    </row>
    <row r="67" spans="1:33" x14ac:dyDescent="0.25">
      <c r="A67" s="11"/>
      <c r="B67" s="11"/>
      <c r="C67" s="11"/>
      <c r="D67" s="11"/>
      <c r="E67" s="11"/>
      <c r="F67" s="12"/>
      <c r="G67" s="12"/>
      <c r="H67" s="11"/>
      <c r="I67" s="11"/>
      <c r="J67" s="11"/>
      <c r="K67" s="12"/>
      <c r="L67" s="12"/>
      <c r="M67" s="16"/>
      <c r="N67" s="11"/>
      <c r="O67" s="11"/>
      <c r="P67" s="12"/>
      <c r="Q67" s="12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2"/>
    </row>
    <row r="68" spans="1:33" x14ac:dyDescent="0.25">
      <c r="A68" s="11"/>
      <c r="B68" s="11"/>
      <c r="C68" s="11"/>
      <c r="D68" s="11"/>
      <c r="E68" s="11"/>
      <c r="F68" s="12"/>
      <c r="G68" s="12"/>
      <c r="H68" s="11"/>
      <c r="I68" s="11"/>
      <c r="J68" s="11"/>
      <c r="K68" s="12"/>
      <c r="L68" s="12"/>
      <c r="M68" s="16"/>
      <c r="N68" s="11"/>
      <c r="O68" s="11"/>
      <c r="P68" s="12"/>
      <c r="Q68" s="12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2"/>
    </row>
    <row r="69" spans="1:33" x14ac:dyDescent="0.25">
      <c r="A69" s="11"/>
      <c r="B69" s="11"/>
      <c r="C69" s="11"/>
      <c r="D69" s="11"/>
      <c r="E69" s="11"/>
      <c r="F69" s="12"/>
      <c r="G69" s="12"/>
      <c r="H69" s="11"/>
      <c r="I69" s="11"/>
      <c r="J69" s="11"/>
      <c r="K69" s="12"/>
      <c r="L69" s="12"/>
      <c r="M69" s="16"/>
      <c r="N69" s="11"/>
      <c r="O69" s="11"/>
      <c r="P69" s="12"/>
      <c r="Q69" s="12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2"/>
    </row>
    <row r="70" spans="1:33" x14ac:dyDescent="0.25">
      <c r="A70" s="11"/>
      <c r="B70" s="11"/>
      <c r="C70" s="11"/>
      <c r="D70" s="11"/>
      <c r="E70" s="11"/>
      <c r="F70" s="12"/>
      <c r="G70" s="12"/>
      <c r="H70" s="11"/>
      <c r="I70" s="11"/>
      <c r="J70" s="11"/>
      <c r="K70" s="12"/>
      <c r="L70" s="12"/>
      <c r="M70" s="16"/>
      <c r="N70" s="11"/>
      <c r="O70" s="11"/>
      <c r="P70" s="12"/>
      <c r="Q70" s="12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2"/>
    </row>
    <row r="71" spans="1:33" x14ac:dyDescent="0.25">
      <c r="A71" s="11"/>
      <c r="B71" s="11"/>
      <c r="C71" s="11"/>
      <c r="D71" s="11"/>
      <c r="E71" s="11"/>
      <c r="F71" s="12"/>
      <c r="G71" s="12"/>
      <c r="H71" s="11"/>
      <c r="I71" s="11"/>
      <c r="J71" s="11"/>
      <c r="K71" s="12"/>
      <c r="L71" s="12"/>
      <c r="M71" s="16"/>
      <c r="N71" s="11"/>
      <c r="O71" s="11"/>
      <c r="P71" s="12"/>
      <c r="Q71" s="12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2"/>
    </row>
    <row r="72" spans="1:33" x14ac:dyDescent="0.25">
      <c r="A72" s="11"/>
      <c r="B72" s="11"/>
      <c r="C72" s="11"/>
      <c r="D72" s="11"/>
      <c r="E72" s="11"/>
      <c r="F72" s="12"/>
      <c r="G72" s="12"/>
      <c r="H72" s="11"/>
      <c r="I72" s="11"/>
      <c r="J72" s="11"/>
      <c r="K72" s="12"/>
      <c r="L72" s="12"/>
      <c r="M72" s="16"/>
      <c r="N72" s="11"/>
      <c r="O72" s="11"/>
      <c r="P72" s="12"/>
      <c r="Q72" s="12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2"/>
    </row>
    <row r="73" spans="1:33" x14ac:dyDescent="0.25">
      <c r="A73" s="11"/>
      <c r="B73" s="11"/>
      <c r="C73" s="11"/>
      <c r="D73" s="11"/>
      <c r="E73" s="11"/>
      <c r="F73" s="12"/>
      <c r="G73" s="12"/>
      <c r="H73" s="11"/>
      <c r="I73" s="11"/>
      <c r="J73" s="11"/>
      <c r="K73" s="12"/>
      <c r="L73" s="12"/>
      <c r="M73" s="16"/>
      <c r="N73" s="11"/>
      <c r="O73" s="11"/>
      <c r="P73" s="12"/>
      <c r="Q73" s="12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2"/>
    </row>
    <row r="74" spans="1:33" x14ac:dyDescent="0.25">
      <c r="A74" s="11"/>
      <c r="B74" s="11"/>
      <c r="C74" s="11"/>
      <c r="D74" s="11"/>
      <c r="E74" s="11"/>
      <c r="F74" s="12"/>
      <c r="G74" s="12"/>
      <c r="H74" s="11"/>
      <c r="I74" s="11"/>
      <c r="J74" s="11"/>
      <c r="K74" s="12"/>
      <c r="L74" s="12"/>
      <c r="M74" s="16"/>
      <c r="N74" s="11"/>
      <c r="O74" s="11"/>
      <c r="P74" s="12"/>
      <c r="Q74" s="12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2"/>
    </row>
    <row r="75" spans="1:33" x14ac:dyDescent="0.25">
      <c r="A75" s="11"/>
      <c r="B75" s="11"/>
      <c r="C75" s="11"/>
      <c r="D75" s="11"/>
      <c r="E75" s="11"/>
      <c r="F75" s="12"/>
      <c r="G75" s="12"/>
      <c r="H75" s="11"/>
      <c r="I75" s="11"/>
      <c r="J75" s="11"/>
      <c r="K75" s="12"/>
      <c r="L75" s="12"/>
      <c r="M75" s="16"/>
      <c r="N75" s="11"/>
      <c r="O75" s="11"/>
      <c r="P75" s="12"/>
      <c r="Q75" s="12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2"/>
    </row>
    <row r="76" spans="1:33" x14ac:dyDescent="0.25">
      <c r="A76" s="11"/>
      <c r="B76" s="11"/>
      <c r="C76" s="11"/>
      <c r="D76" s="11"/>
      <c r="E76" s="11"/>
      <c r="F76" s="12"/>
      <c r="G76" s="12"/>
      <c r="H76" s="11"/>
      <c r="I76" s="11"/>
      <c r="J76" s="11"/>
      <c r="K76" s="12"/>
      <c r="L76" s="12"/>
      <c r="M76" s="16"/>
      <c r="N76" s="11"/>
      <c r="O76" s="11"/>
      <c r="P76" s="12"/>
      <c r="Q76" s="12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2"/>
    </row>
    <row r="77" spans="1:33" x14ac:dyDescent="0.25">
      <c r="A77" s="11"/>
      <c r="B77" s="11"/>
      <c r="C77" s="11"/>
      <c r="D77" s="11"/>
      <c r="E77" s="11"/>
      <c r="F77" s="12"/>
      <c r="G77" s="12"/>
      <c r="H77" s="11"/>
      <c r="I77" s="11"/>
      <c r="J77" s="11"/>
      <c r="K77" s="12"/>
      <c r="L77" s="12"/>
      <c r="M77" s="16"/>
      <c r="N77" s="11"/>
      <c r="O77" s="11"/>
      <c r="P77" s="12"/>
      <c r="Q77" s="12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2"/>
    </row>
    <row r="78" spans="1:33" x14ac:dyDescent="0.25">
      <c r="A78" s="11"/>
      <c r="B78" s="11"/>
      <c r="C78" s="11"/>
      <c r="D78" s="11"/>
      <c r="E78" s="11"/>
      <c r="F78" s="12"/>
      <c r="G78" s="12"/>
      <c r="H78" s="11"/>
      <c r="I78" s="11"/>
      <c r="J78" s="11"/>
      <c r="K78" s="12"/>
      <c r="L78" s="12"/>
      <c r="M78" s="16"/>
      <c r="N78" s="11"/>
      <c r="O78" s="11"/>
      <c r="P78" s="12"/>
      <c r="Q78" s="12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2"/>
    </row>
    <row r="79" spans="1:33" x14ac:dyDescent="0.25">
      <c r="A79" s="11"/>
      <c r="B79" s="11"/>
      <c r="C79" s="11"/>
      <c r="D79" s="11"/>
      <c r="E79" s="11"/>
      <c r="F79" s="12"/>
      <c r="G79" s="12"/>
      <c r="H79" s="11"/>
      <c r="I79" s="11"/>
      <c r="J79" s="11"/>
      <c r="K79" s="12"/>
      <c r="L79" s="12"/>
      <c r="M79" s="16"/>
      <c r="N79" s="11"/>
      <c r="O79" s="11"/>
      <c r="P79" s="12"/>
      <c r="Q79" s="12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2"/>
    </row>
    <row r="80" spans="1:33" x14ac:dyDescent="0.25">
      <c r="A80" s="11"/>
      <c r="B80" s="11"/>
      <c r="C80" s="11"/>
      <c r="D80" s="11"/>
      <c r="E80" s="11"/>
      <c r="F80" s="12"/>
      <c r="G80" s="12"/>
      <c r="H80" s="11"/>
      <c r="I80" s="11"/>
      <c r="J80" s="11"/>
      <c r="K80" s="12"/>
      <c r="L80" s="12"/>
      <c r="M80" s="16"/>
      <c r="N80" s="11"/>
      <c r="O80" s="11"/>
      <c r="P80" s="12"/>
      <c r="Q80" s="12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2"/>
    </row>
    <row r="81" spans="1:33" x14ac:dyDescent="0.25">
      <c r="A81" s="11"/>
      <c r="B81" s="11"/>
      <c r="C81" s="11"/>
      <c r="D81" s="11"/>
      <c r="E81" s="11"/>
      <c r="F81" s="12"/>
      <c r="G81" s="12"/>
      <c r="H81" s="11"/>
      <c r="I81" s="11"/>
      <c r="J81" s="11"/>
      <c r="K81" s="12"/>
      <c r="L81" s="12"/>
      <c r="M81" s="16"/>
      <c r="N81" s="11"/>
      <c r="O81" s="11"/>
      <c r="P81" s="12"/>
      <c r="Q81" s="12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2"/>
    </row>
    <row r="82" spans="1:33" x14ac:dyDescent="0.25">
      <c r="A82" s="11"/>
      <c r="B82" s="11"/>
      <c r="C82" s="11"/>
      <c r="D82" s="11"/>
      <c r="E82" s="11"/>
      <c r="F82" s="12"/>
      <c r="G82" s="12"/>
      <c r="H82" s="11"/>
      <c r="I82" s="11"/>
      <c r="J82" s="11"/>
      <c r="K82" s="12"/>
      <c r="L82" s="12"/>
      <c r="M82" s="16"/>
      <c r="N82" s="11"/>
      <c r="O82" s="11"/>
      <c r="P82" s="12"/>
      <c r="Q82" s="12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2"/>
    </row>
    <row r="83" spans="1:33" x14ac:dyDescent="0.25">
      <c r="A83" s="11"/>
      <c r="B83" s="11"/>
      <c r="C83" s="11"/>
      <c r="D83" s="11"/>
      <c r="E83" s="11"/>
      <c r="F83" s="12"/>
      <c r="G83" s="12"/>
      <c r="H83" s="11"/>
      <c r="I83" s="11"/>
      <c r="J83" s="11"/>
      <c r="K83" s="12"/>
      <c r="L83" s="12"/>
      <c r="M83" s="16"/>
      <c r="N83" s="11"/>
      <c r="O83" s="11"/>
      <c r="P83" s="12"/>
      <c r="Q83" s="12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2"/>
    </row>
    <row r="84" spans="1:33" x14ac:dyDescent="0.25">
      <c r="A84" s="11"/>
      <c r="B84" s="11"/>
      <c r="C84" s="11"/>
      <c r="D84" s="11"/>
      <c r="E84" s="11"/>
      <c r="F84" s="12"/>
      <c r="G84" s="12"/>
      <c r="H84" s="11"/>
      <c r="I84" s="11"/>
      <c r="J84" s="11"/>
      <c r="K84" s="12"/>
      <c r="L84" s="12"/>
      <c r="M84" s="16"/>
      <c r="N84" s="11"/>
      <c r="O84" s="11"/>
      <c r="P84" s="12"/>
      <c r="Q84" s="12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2"/>
    </row>
    <row r="85" spans="1:33" x14ac:dyDescent="0.25">
      <c r="A85" s="11"/>
      <c r="B85" s="11"/>
      <c r="C85" s="11"/>
      <c r="D85" s="11"/>
      <c r="E85" s="11"/>
      <c r="F85" s="12"/>
      <c r="G85" s="12"/>
      <c r="H85" s="11"/>
      <c r="I85" s="11"/>
      <c r="J85" s="11"/>
      <c r="K85" s="12"/>
      <c r="L85" s="12"/>
      <c r="M85" s="16"/>
      <c r="N85" s="11"/>
      <c r="O85" s="11"/>
      <c r="P85" s="12"/>
      <c r="Q85" s="12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2"/>
    </row>
    <row r="86" spans="1:33" x14ac:dyDescent="0.25">
      <c r="A86" s="11"/>
      <c r="B86" s="11"/>
      <c r="C86" s="11"/>
      <c r="D86" s="11"/>
      <c r="E86" s="11"/>
      <c r="F86" s="12"/>
      <c r="G86" s="12"/>
      <c r="H86" s="11"/>
      <c r="I86" s="11"/>
      <c r="J86" s="11"/>
      <c r="K86" s="12"/>
      <c r="L86" s="12"/>
      <c r="M86" s="16"/>
      <c r="N86" s="11"/>
      <c r="O86" s="11"/>
      <c r="P86" s="12"/>
      <c r="Q86" s="12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2"/>
    </row>
    <row r="87" spans="1:33" x14ac:dyDescent="0.25">
      <c r="A87" s="11"/>
      <c r="B87" s="11"/>
      <c r="C87" s="11"/>
      <c r="D87" s="11"/>
      <c r="E87" s="11"/>
      <c r="F87" s="12"/>
      <c r="G87" s="12"/>
      <c r="H87" s="11"/>
      <c r="I87" s="11"/>
      <c r="J87" s="11"/>
      <c r="K87" s="12"/>
      <c r="L87" s="12"/>
      <c r="M87" s="16"/>
      <c r="N87" s="11"/>
      <c r="O87" s="11"/>
      <c r="P87" s="12"/>
      <c r="Q87" s="12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2"/>
    </row>
    <row r="88" spans="1:33" x14ac:dyDescent="0.25">
      <c r="A88" s="11"/>
      <c r="B88" s="11"/>
      <c r="C88" s="11"/>
      <c r="D88" s="11"/>
      <c r="E88" s="11"/>
      <c r="F88" s="12"/>
      <c r="G88" s="12"/>
      <c r="H88" s="11"/>
      <c r="I88" s="11"/>
      <c r="J88" s="11"/>
      <c r="K88" s="12"/>
      <c r="L88" s="12"/>
      <c r="M88" s="16"/>
      <c r="N88" s="11"/>
      <c r="O88" s="11"/>
      <c r="P88" s="12"/>
      <c r="Q88" s="12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2"/>
    </row>
    <row r="89" spans="1:33" x14ac:dyDescent="0.25">
      <c r="A89" s="11"/>
      <c r="B89" s="11"/>
      <c r="C89" s="11"/>
      <c r="D89" s="11"/>
      <c r="E89" s="11"/>
      <c r="F89" s="12"/>
      <c r="G89" s="12"/>
      <c r="H89" s="11"/>
      <c r="I89" s="11"/>
      <c r="J89" s="11"/>
      <c r="K89" s="12"/>
      <c r="L89" s="12"/>
      <c r="M89" s="16"/>
      <c r="N89" s="11"/>
      <c r="O89" s="11"/>
      <c r="P89" s="12"/>
      <c r="Q89" s="12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2"/>
    </row>
    <row r="90" spans="1:33" x14ac:dyDescent="0.25"/>
    <row r="91" spans="1:33" x14ac:dyDescent="0.25"/>
    <row r="92" spans="1:33" x14ac:dyDescent="0.25"/>
    <row r="93" spans="1:33" x14ac:dyDescent="0.25"/>
    <row r="94" spans="1:33" x14ac:dyDescent="0.25"/>
    <row r="95" spans="1:33" x14ac:dyDescent="0.25"/>
    <row r="96" spans="1:33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</sheetData>
  <phoneticPr fontId="3" type="noConversion"/>
  <conditionalFormatting sqref="A1:C1 J1:M1 O1:R1 T1:AG1 B2:B8">
    <cfRule type="containsText" dxfId="14" priority="17" operator="containsText" text="Accessory">
      <formula>NOT(ISERROR(SEARCH("Accessory",A1)))</formula>
    </cfRule>
    <cfRule type="containsText" dxfId="13" priority="18" operator="containsText" text="Armour">
      <formula>NOT(ISERROR(SEARCH("Armour",A1)))</formula>
    </cfRule>
    <cfRule type="containsText" dxfId="12" priority="19" operator="containsText" text="Equipment">
      <formula>NOT(ISERROR(SEARCH("Equipment",A1)))</formula>
    </cfRule>
    <cfRule type="containsText" dxfId="11" priority="20" operator="containsText" text="Impression">
      <formula>NOT(ISERROR(SEARCH("Impression",A1)))</formula>
    </cfRule>
    <cfRule type="containsText" dxfId="10" priority="21" operator="containsText" text="Spell">
      <formula>NOT(ISERROR(SEARCH("Spell",A1)))</formula>
    </cfRule>
  </conditionalFormatting>
  <conditionalFormatting sqref="B11:B89">
    <cfRule type="containsText" dxfId="9" priority="7" operator="containsText" text="Accessory">
      <formula>NOT(ISERROR(SEARCH("Accessory",B11)))</formula>
    </cfRule>
    <cfRule type="containsText" dxfId="8" priority="8" operator="containsText" text="Armour">
      <formula>NOT(ISERROR(SEARCH("Armour",B11)))</formula>
    </cfRule>
    <cfRule type="containsText" dxfId="7" priority="9" operator="containsText" text="Equipment">
      <formula>NOT(ISERROR(SEARCH("Equipment",B11)))</formula>
    </cfRule>
    <cfRule type="containsText" dxfId="6" priority="10" operator="containsText" text="Impression">
      <formula>NOT(ISERROR(SEARCH("Impression",B11)))</formula>
    </cfRule>
    <cfRule type="containsText" dxfId="5" priority="11" operator="containsText" text="Spell">
      <formula>NOT(ISERROR(SEARCH("Spell",B11)))</formula>
    </cfRule>
  </conditionalFormatting>
  <conditionalFormatting sqref="D1:I1 N1 S1">
    <cfRule type="containsText" dxfId="4" priority="22" operator="containsText" text="Accessory">
      <formula>NOT(ISERROR(SEARCH("Accessory",D1)))</formula>
    </cfRule>
    <cfRule type="containsText" dxfId="3" priority="23" operator="containsText" text="Armour">
      <formula>NOT(ISERROR(SEARCH("Armour",D1)))</formula>
    </cfRule>
    <cfRule type="containsText" dxfId="2" priority="24" operator="containsText" text="Equipment">
      <formula>NOT(ISERROR(SEARCH("Equipment",D1)))</formula>
    </cfRule>
    <cfRule type="containsText" dxfId="1" priority="25" operator="containsText" text="Impression">
      <formula>NOT(ISERROR(SEARCH("Impression",D1)))</formula>
    </cfRule>
    <cfRule type="containsText" dxfId="0" priority="26" operator="containsText" text="Spell">
      <formula>NOT(ISERROR(SEARCH("Spell",D1)))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BD9A44-7659-4E3D-A8AD-0FE8F40955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NTK</dc:creator>
  <dc:description/>
  <cp:lastModifiedBy>NTK</cp:lastModifiedBy>
  <cp:revision>2</cp:revision>
  <dcterms:created xsi:type="dcterms:W3CDTF">2025-06-22T09:18:10Z</dcterms:created>
  <dcterms:modified xsi:type="dcterms:W3CDTF">2026-02-05T06:11:07Z</dcterms:modified>
  <dc:language>en-NZ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0x010100B72EB742E1A5654587064A46DDB6CD15</vt:lpwstr>
  </property>
</Properties>
</file>