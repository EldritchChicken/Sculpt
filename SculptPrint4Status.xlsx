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ge\Desktop\Sculpt\Sculpt\Fresh\"/>
    </mc:Choice>
  </mc:AlternateContent>
  <xr:revisionPtr revIDLastSave="0" documentId="13_ncr:1_{1EC9ECDC-BBF0-4FE1-BDF5-7417B141FBAB}" xr6:coauthVersionLast="47" xr6:coauthVersionMax="47" xr10:uidLastSave="{00000000-0000-0000-0000-000000000000}"/>
  <bookViews>
    <workbookView xWindow="-120" yWindow="-120" windowWidth="29040" windowHeight="15720" xr2:uid="{87154B46-1978-4705-BC0C-6EE1FCF75E48}"/>
  </bookViews>
  <sheets>
    <sheet name="Sheet3" sheetId="3" r:id="rId1"/>
  </sheets>
  <definedNames>
    <definedName name="Break">#REF!</definedName>
    <definedName name="st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</calcChain>
</file>

<file path=xl/sharedStrings.xml><?xml version="1.0" encoding="utf-8"?>
<sst xmlns="http://schemas.openxmlformats.org/spreadsheetml/2006/main" count="46" uniqueCount="39">
  <si>
    <t>Name</t>
  </si>
  <si>
    <t>Type</t>
  </si>
  <si>
    <t>TopRightText</t>
  </si>
  <si>
    <t>Effect 1</t>
  </si>
  <si>
    <t>Effect 2</t>
  </si>
  <si>
    <t>Effect 3</t>
  </si>
  <si>
    <t>Effect 4</t>
  </si>
  <si>
    <t>Flavour Text</t>
  </si>
  <si>
    <t>Body HTML</t>
  </si>
  <si>
    <t>&lt;span style="color:#3366cc"&gt;&lt;strong&gt;Weird&lt;/strong&gt;&lt;/span&gt;</t>
  </si>
  <si>
    <t>&lt;p style="font-size:12px;"&gt;&lt;br&gt;</t>
  </si>
  <si>
    <t>SmallTextTag</t>
  </si>
  <si>
    <t>&lt;p style="font-size:14px;"&gt;&lt;br&gt;</t>
  </si>
  <si>
    <t>&lt;span style="color:#e74c3c"&gt;&lt;strong&gt;Flesh&lt;/strong&gt;&lt;/span&gt;</t>
  </si>
  <si>
    <t xml:space="preserve"> &lt;span style="color:#27ae60"&gt;&lt;strong&gt;Jazz&lt;/strong&gt;&lt;/span&gt;</t>
  </si>
  <si>
    <t>Well Rested</t>
  </si>
  <si>
    <t>Burning</t>
  </si>
  <si>
    <t>Entangled</t>
  </si>
  <si>
    <t>Cursed</t>
  </si>
  <si>
    <t>Stunned</t>
  </si>
  <si>
    <t>Embued</t>
  </si>
  <si>
    <t>Monstrous</t>
  </si>
  <si>
    <t>Portent</t>
  </si>
  <si>
    <t>Status</t>
  </si>
  <si>
    <t>When you gain &lt;b&gt;Portent&lt;/b&gt; roll a D12 and store it on this status card.</t>
  </si>
  <si>
    <t xml:space="preserve">&lt;i&gt;Reaction&lt;/i&gt; - &lt;b&gt;Foretold&lt;/b&gt;:&lt;br&gt;When an attack roll would be made, spend a portent die to make the result the die value instead of rolling. </t>
  </si>
  <si>
    <t xml:space="preserve">The covered limb or impression cannot be used and does not trigger effects. </t>
  </si>
  <si>
    <t>This card must cover a limb or impression card when applied to you.</t>
  </si>
  <si>
    <t>&lt;b&gt;Cleanse&lt;/b&gt; stunned at the end of your turn.</t>
  </si>
  <si>
    <t>If you have no portent die left, &lt;b&gt;cleanse&lt;/b&gt; this status, you can store multiple die.</t>
  </si>
  <si>
    <t>Your movement speed is set to 0, and you may not &lt;b&gt;reposition&lt;/b&gt;</t>
  </si>
  <si>
    <t>At the end of your turn, take 2 damage, this damage cannot be reduced by effects.</t>
  </si>
  <si>
    <t>&lt;b&gt;Purify: Cleanse&lt;/b&gt; this status.&lt;br&gt;&lt;b&gt;Cleanse&lt;/b&gt; another status you have.</t>
  </si>
  <si>
    <t>&lt;b&gt;Wriggle out:&lt;/b&gt; jazztjazzt or 2 AP&lt;br&gt;&lt;b&gt;Cleanse&lt;/b&gt; this status.</t>
  </si>
  <si>
    <t>&lt;b&gt;Douse:&lt;/b&gt; 2 AP&lt;br&gt;&lt;b&gt;Cleanse&lt;/b&gt; this status.</t>
  </si>
  <si>
    <t>&lt;b&gt;Second Wind: Cleanse&lt;/b&gt; this status.&lt;br&gt;Gain + 1 AP immediately.</t>
  </si>
  <si>
    <t>Deal + 1 damage on all attacks, effects that deal direct damage also benefit from this.</t>
  </si>
  <si>
    <t>If you take a wound, &lt;b&gt;cleanse&lt;/b&gt; this status.</t>
  </si>
  <si>
    <t>Your maximum composure is reduced by 1, remove one of your composure tokens to indicate this. You get it back if this status is &lt;b&gt;cleansed&lt;/b&gt;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</si>
</sst>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F6B0DD"/>
      </patternFill>
    </fill>
    <fill>
      <patternFill patternType="solid">
        <fgColor theme="4"/>
        <bgColor rgb="FFF6B0DD"/>
      </patternFill>
    </fill>
    <fill>
      <patternFill patternType="solid">
        <fgColor theme="4"/>
        <bgColor rgb="FFE7E6E6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0" fillId="2" borderId="3" xfId="0" applyFill="1" applyBorder="1" applyAlignment="1">
      <alignment horizontal="left" vertical="top" wrapText="1" readingOrder="1"/>
    </xf>
    <xf numFmtId="0" fontId="0" fillId="0" borderId="0" xfId="0" applyAlignment="1">
      <alignment horizontal="left" wrapText="1" readingOrder="1"/>
    </xf>
    <xf numFmtId="0" fontId="1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 readingOrder="1"/>
    </xf>
    <xf numFmtId="0" fontId="1" fillId="2" borderId="0" xfId="0" applyFont="1" applyFill="1" applyAlignment="1">
      <alignment horizontal="left" vertical="center" wrapText="1" readingOrder="1"/>
    </xf>
    <xf numFmtId="0" fontId="1" fillId="6" borderId="0" xfId="0" applyFont="1" applyFill="1" applyAlignment="1">
      <alignment horizontal="left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1" fillId="6" borderId="0" xfId="0" applyFont="1" applyFill="1" applyAlignment="1">
      <alignment horizontal="left" vertical="top" wrapText="1" readingOrder="1"/>
    </xf>
    <xf numFmtId="0" fontId="2" fillId="6" borderId="0" xfId="0" applyFont="1" applyFill="1" applyAlignment="1">
      <alignment horizontal="left" wrapText="1" readingOrder="1"/>
    </xf>
    <xf numFmtId="0" fontId="0" fillId="7" borderId="4" xfId="0" applyFill="1" applyBorder="1" applyAlignment="1">
      <alignment horizontal="left" wrapText="1" readingOrder="1"/>
    </xf>
  </cellXfs>
  <cellStyles count="1">
    <cellStyle name="Normal" xfId="0" builtinId="0"/>
  </cellStyles>
  <dxfs count="8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6B0DD"/>
          <bgColor rgb="FFF6B0D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numFmt numFmtId="0" formatCode="General"/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8C9A86-C5E9-457E-BBD5-B0220001E261}" name="Table3" displayName="Table3" ref="A1:J39" totalsRowShown="0" headerRowDxfId="81" dataDxfId="80">
  <autoFilter ref="A1:J39" xr:uid="{3E8C9A86-C5E9-457E-BBD5-B0220001E261}"/>
  <sortState xmlns:xlrd2="http://schemas.microsoft.com/office/spreadsheetml/2017/richdata2" ref="A2:J39">
    <sortCondition ref="A1:A39"/>
  </sortState>
  <tableColumns count="10">
    <tableColumn id="1" xr3:uid="{2106E9E5-042B-46BC-A79A-023C4B055B58}" name="Name" dataDxfId="79"/>
    <tableColumn id="2" xr3:uid="{51D787D7-7F74-4D0C-9CC5-75B89724068E}" name="Type" dataDxfId="78"/>
    <tableColumn id="12" xr3:uid="{B1A988C1-3D5C-4B5D-A68A-B59CD60A03B8}" name="SmallTextTag" dataDxfId="77"/>
    <tableColumn id="3" xr3:uid="{F4BCC86F-3C5A-425D-82DD-3B5BD175EF4C}" name="TopRightText" dataDxfId="76"/>
    <tableColumn id="4" xr3:uid="{2C8A664E-01EA-40CC-908A-DC740012C951}" name="Effect 1" dataDxfId="75"/>
    <tableColumn id="5" xr3:uid="{60B2A177-0ADF-4C4B-94F3-8F1BD080C422}" name="Effect 2" dataDxfId="74"/>
    <tableColumn id="6" xr3:uid="{543397FC-147B-4A30-86F1-BF2D263BF9B7}" name="Effect 3" dataDxfId="73"/>
    <tableColumn id="7" xr3:uid="{678EA5A1-4174-4923-9727-732FE3F06A02}" name="Effect 4" dataDxfId="72"/>
    <tableColumn id="8" xr3:uid="{2AF6C5A0-C3EA-40FC-BC31-6F0603688BDB}" name="Flavour Text" dataDxfId="71"/>
    <tableColumn id="9" xr3:uid="{B49FF617-BB55-4143-87E0-3F91B660543B}" name="Body HTML" dataDxfId="70">
      <calculatedColumnFormula>_xlfn.CONCAT(M$2,E2,IF(F2="","","&lt;img src=Images\line.png&gt;"),F2,IF(G2="","","&lt;img src=Images\line.png&gt;"),G2,IF(H2="","","&lt;img src=Images\line.png&gt;"),H2,)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7CD6-E361-4F06-A63B-173175773D70}">
  <sheetPr codeName="Sheet1"/>
  <dimension ref="A1:N39"/>
  <sheetViews>
    <sheetView tabSelected="1" topLeftCell="A2" workbookViewId="0">
      <selection activeCell="E5" sqref="E5"/>
    </sheetView>
  </sheetViews>
  <sheetFormatPr defaultRowHeight="15" x14ac:dyDescent="0.25"/>
  <cols>
    <col min="1" max="3" width="11" customWidth="1"/>
    <col min="4" max="4" width="25.7109375" customWidth="1"/>
    <col min="5" max="5" width="28.140625" customWidth="1"/>
    <col min="6" max="6" width="25.42578125" customWidth="1"/>
    <col min="7" max="7" width="19.85546875" customWidth="1"/>
    <col min="8" max="8" width="11" customWidth="1"/>
    <col min="9" max="9" width="11.140625" customWidth="1"/>
    <col min="10" max="10" width="54.7109375" customWidth="1"/>
    <col min="11" max="11" width="18.28515625" customWidth="1"/>
  </cols>
  <sheetData>
    <row r="1" spans="1:14" ht="30" x14ac:dyDescent="0.25">
      <c r="A1" s="1" t="s">
        <v>0</v>
      </c>
      <c r="B1" s="6" t="s">
        <v>1</v>
      </c>
      <c r="C1" s="6" t="s">
        <v>11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7" t="s">
        <v>8</v>
      </c>
    </row>
    <row r="2" spans="1:14" ht="165" customHeight="1" x14ac:dyDescent="0.25">
      <c r="A2" s="8" t="s">
        <v>15</v>
      </c>
      <c r="B2" s="8" t="s">
        <v>23</v>
      </c>
      <c r="C2" s="8"/>
      <c r="D2" s="8"/>
      <c r="E2" s="8" t="s">
        <v>35</v>
      </c>
      <c r="F2" s="8"/>
      <c r="G2" s="8"/>
      <c r="H2" s="8"/>
      <c r="I2" s="8"/>
      <c r="J2" s="4" t="str">
        <f t="shared" ref="J2:J29" si="0">IF(C2="yes",_xlfn.CONCAT($N$2,E2,IF(F2="","","&lt;img src=Images\line.png&gt;"),F2,IF(G2="","","&lt;img src=Images\line.png&gt;"),G2,IF(H2="","","&lt;img src=Images\line.png&gt;"),H2,),_xlfn.CONCAT($M$2,E2,IF(F2="","","&lt;img src=Images\line.png&gt;"),F2,IF(G2="","","&lt;img src=Images\line.png&gt;"),G2,IF(H2="","","&lt;img src=Images\line.png&gt;"),H2,))</f>
        <v>&lt;p style="font-size:14px;"&gt;&lt;br&gt;&lt;b&gt;Second Wind: Cleanse&lt;/b&gt; this status.&lt;br&gt;Gain + 1 AP immediately.</v>
      </c>
      <c r="M2" t="s">
        <v>12</v>
      </c>
      <c r="N2" t="s">
        <v>10</v>
      </c>
    </row>
    <row r="3" spans="1:14" ht="60" x14ac:dyDescent="0.25">
      <c r="A3" s="5" t="s">
        <v>16</v>
      </c>
      <c r="B3" s="8" t="s">
        <v>23</v>
      </c>
      <c r="C3" s="5"/>
      <c r="D3" s="5"/>
      <c r="E3" s="5" t="s">
        <v>31</v>
      </c>
      <c r="F3" s="5" t="s">
        <v>34</v>
      </c>
      <c r="G3" s="5"/>
      <c r="H3" s="5"/>
      <c r="I3" s="5"/>
      <c r="J3" s="4" t="str">
        <f t="shared" si="0"/>
        <v>&lt;p style="font-size:14px;"&gt;&lt;br&gt;At the end of your turn, take 2 damage, this damage cannot be reduced by effects.&lt;img src=Images\line.png&gt;&lt;b&gt;Douse:&lt;/b&gt; 2 AP&lt;br&gt;&lt;b&gt;Cleanse&lt;/b&gt; this status.</v>
      </c>
    </row>
    <row r="4" spans="1:14" ht="60" x14ac:dyDescent="0.25">
      <c r="A4" s="5" t="s">
        <v>17</v>
      </c>
      <c r="B4" s="8" t="s">
        <v>23</v>
      </c>
      <c r="C4" s="5"/>
      <c r="D4" s="5"/>
      <c r="E4" s="5" t="s">
        <v>30</v>
      </c>
      <c r="F4" s="5" t="s">
        <v>33</v>
      </c>
      <c r="G4" s="5"/>
      <c r="H4" s="5"/>
      <c r="I4" s="5"/>
      <c r="J4" s="4" t="str">
        <f t="shared" si="0"/>
        <v>&lt;p style="font-size:14px;"&gt;&lt;br&gt;Your movement speed is set to 0, and you may not &lt;b&gt;reposition&lt;/b&gt;&lt;img src=Images\line.png&gt;&lt;b&gt;Wriggle out:&lt;/b&gt; jazztjazzt or 2 AP&lt;br&gt;&lt;b&gt;Cleanse&lt;/b&gt; this status.</v>
      </c>
    </row>
    <row r="5" spans="1:14" ht="75" x14ac:dyDescent="0.25">
      <c r="A5" s="5" t="s">
        <v>18</v>
      </c>
      <c r="B5" s="8" t="s">
        <v>23</v>
      </c>
      <c r="C5" s="5"/>
      <c r="D5" s="5"/>
      <c r="E5" s="5" t="s">
        <v>38</v>
      </c>
      <c r="F5" s="5"/>
      <c r="G5" s="5"/>
      <c r="H5" s="5"/>
      <c r="I5" s="5"/>
      <c r="J5" s="4" t="str">
        <f t="shared" si="0"/>
        <v>&lt;p style="font-size:14px;"&gt;&lt;br&gt;Your maximum composure is reduced by 1, remove one of your composure tokens to indicate this. You get it back if this status is &lt;b&gt;cleansed&lt;/b&gt;</v>
      </c>
    </row>
    <row r="6" spans="1:14" ht="90" x14ac:dyDescent="0.25">
      <c r="A6" s="5" t="s">
        <v>19</v>
      </c>
      <c r="B6" s="8" t="s">
        <v>23</v>
      </c>
      <c r="C6" s="5"/>
      <c r="D6" s="5"/>
      <c r="E6" s="5" t="s">
        <v>27</v>
      </c>
      <c r="F6" s="5" t="s">
        <v>26</v>
      </c>
      <c r="G6" s="5" t="s">
        <v>28</v>
      </c>
      <c r="H6" s="5"/>
      <c r="I6" s="5"/>
      <c r="J6" s="4" t="str">
        <f t="shared" si="0"/>
        <v>&lt;p style="font-size:14px;"&gt;&lt;br&gt;This card must cover a limb or impression card when applied to you.&lt;img src=Images\line.png&gt;The covered limb or impression cannot be used and does not trigger effects. &lt;img src=Images\line.png&gt;&lt;b&gt;Cleanse&lt;/b&gt; stunned at the end of your turn.</v>
      </c>
      <c r="K6" s="14" t="s">
        <v>14</v>
      </c>
    </row>
    <row r="7" spans="1:14" ht="45" x14ac:dyDescent="0.25">
      <c r="A7" s="5" t="s">
        <v>20</v>
      </c>
      <c r="B7" s="8" t="s">
        <v>23</v>
      </c>
      <c r="C7" s="5"/>
      <c r="D7" s="5"/>
      <c r="E7" s="5" t="s">
        <v>32</v>
      </c>
      <c r="F7" s="5"/>
      <c r="G7" s="5"/>
      <c r="H7" s="5"/>
      <c r="I7" s="5"/>
      <c r="J7" s="4" t="str">
        <f t="shared" si="0"/>
        <v>&lt;p style="font-size:14px;"&gt;&lt;br&gt;&lt;b&gt;Purify: Cleanse&lt;/b&gt; this status.&lt;br&gt;&lt;b&gt;Cleanse&lt;/b&gt; another status you have.</v>
      </c>
      <c r="K7" t="s">
        <v>13</v>
      </c>
    </row>
    <row r="8" spans="1:14" ht="60" x14ac:dyDescent="0.25">
      <c r="A8" s="5" t="s">
        <v>21</v>
      </c>
      <c r="B8" s="8" t="s">
        <v>23</v>
      </c>
      <c r="C8" s="5"/>
      <c r="D8" s="5"/>
      <c r="E8" s="5" t="s">
        <v>36</v>
      </c>
      <c r="F8" s="5" t="s">
        <v>37</v>
      </c>
      <c r="G8" s="5"/>
      <c r="H8" s="5"/>
      <c r="I8" s="5"/>
      <c r="J8" s="4" t="str">
        <f t="shared" si="0"/>
        <v>&lt;p style="font-size:14px;"&gt;&lt;br&gt;Deal + 1 damage on all attacks, effects that deal direct damage also benefit from this.&lt;img src=Images\line.png&gt;If you take a wound, &lt;b&gt;cleanse&lt;/b&gt; this status.</v>
      </c>
      <c r="K8" t="s">
        <v>9</v>
      </c>
    </row>
    <row r="9" spans="1:14" ht="105" x14ac:dyDescent="0.25">
      <c r="A9" s="5" t="s">
        <v>22</v>
      </c>
      <c r="B9" s="8" t="s">
        <v>23</v>
      </c>
      <c r="C9" s="5"/>
      <c r="D9" s="5"/>
      <c r="E9" s="5" t="s">
        <v>24</v>
      </c>
      <c r="F9" s="5" t="s">
        <v>25</v>
      </c>
      <c r="G9" s="5" t="s">
        <v>29</v>
      </c>
      <c r="H9" s="5"/>
      <c r="I9" s="5"/>
      <c r="J9" s="4" t="str">
        <f t="shared" si="0"/>
        <v>&lt;p style="font-size:14px;"&gt;&lt;br&gt;When you gain &lt;b&gt;Portent&lt;/b&gt; roll a D12 and store it on this status card.&lt;img src=Images\line.png&gt;&lt;i&gt;Reaction&lt;/i&gt; - &lt;b&gt;Foretold&lt;/b&gt;:&lt;br&gt;When an attack roll would be made, spend a portent die to make the result the die value instead of rolling. &lt;img src=Images\line.png&gt;If you have no portent die left, &lt;b&gt;cleanse&lt;/b&gt; this status, you can store multiple die.</v>
      </c>
    </row>
    <row r="10" spans="1:14" ht="90" x14ac:dyDescent="0.25">
      <c r="A10" s="5"/>
      <c r="B10" s="5"/>
      <c r="C10" s="5"/>
      <c r="D10" s="5"/>
      <c r="E10" s="5"/>
      <c r="F10" s="5"/>
      <c r="G10" s="5"/>
      <c r="H10" s="5"/>
      <c r="I10" s="5"/>
      <c r="J10" s="4" t="str">
        <f t="shared" si="0"/>
        <v>&lt;p style="font-size:14px;"&gt;&lt;br&gt;</v>
      </c>
    </row>
    <row r="11" spans="1:14" ht="90" x14ac:dyDescent="0.25">
      <c r="A11" s="5"/>
      <c r="B11" s="5"/>
      <c r="C11" s="5"/>
      <c r="D11" s="5"/>
      <c r="E11" s="5"/>
      <c r="F11" s="5"/>
      <c r="G11" s="5"/>
      <c r="H11" s="5"/>
      <c r="I11" s="5"/>
      <c r="J11" s="4" t="str">
        <f t="shared" si="0"/>
        <v>&lt;p style="font-size:14px;"&gt;&lt;br&gt;</v>
      </c>
    </row>
    <row r="12" spans="1:14" ht="45" x14ac:dyDescent="0.25">
      <c r="A12" s="5"/>
      <c r="B12" s="8"/>
      <c r="C12" s="5"/>
      <c r="D12" s="5"/>
      <c r="E12" s="5"/>
      <c r="F12" s="5"/>
      <c r="G12" s="5"/>
      <c r="H12" s="5"/>
      <c r="I12" s="5"/>
      <c r="J12" s="4" t="str">
        <f t="shared" si="0"/>
        <v>&lt;p style="font-size:14px;"&gt;&lt;br&gt;</v>
      </c>
    </row>
    <row r="13" spans="1:14" x14ac:dyDescent="0.25">
      <c r="A13" s="5"/>
      <c r="B13" s="5"/>
      <c r="C13" s="5"/>
      <c r="D13" s="5"/>
      <c r="E13" s="5"/>
      <c r="F13" s="5"/>
      <c r="G13" s="5"/>
      <c r="H13" s="5"/>
      <c r="I13" s="5"/>
      <c r="J13" s="4"/>
    </row>
    <row r="14" spans="1:14" x14ac:dyDescent="0.25">
      <c r="A14" s="5"/>
      <c r="B14" s="5"/>
      <c r="C14" s="5"/>
      <c r="D14" s="5"/>
      <c r="E14" s="5"/>
      <c r="F14" s="5"/>
      <c r="G14" s="5"/>
      <c r="H14" s="5"/>
      <c r="I14" s="5"/>
      <c r="J14" s="4"/>
    </row>
    <row r="15" spans="1:14" x14ac:dyDescent="0.25">
      <c r="A15" s="5"/>
      <c r="B15" s="5"/>
      <c r="C15" s="5"/>
      <c r="D15" s="9"/>
      <c r="E15" s="5"/>
      <c r="F15" s="5"/>
      <c r="G15" s="5"/>
      <c r="H15" s="5"/>
      <c r="I15" s="5"/>
      <c r="J15" s="4"/>
    </row>
    <row r="16" spans="1:14" x14ac:dyDescent="0.25">
      <c r="A16" s="5"/>
      <c r="B16" s="5"/>
      <c r="C16" s="5"/>
      <c r="D16" s="5"/>
      <c r="E16" s="5"/>
      <c r="F16" s="5"/>
      <c r="G16" s="5"/>
      <c r="H16" s="5"/>
      <c r="I16" s="5"/>
      <c r="J16" s="4"/>
    </row>
    <row r="17" spans="1:10" x14ac:dyDescent="0.25">
      <c r="A17" s="5"/>
      <c r="B17" s="8"/>
      <c r="C17" s="5"/>
      <c r="D17" s="5"/>
      <c r="E17" s="5"/>
      <c r="F17" s="5"/>
      <c r="G17" s="5"/>
      <c r="H17" s="5"/>
      <c r="I17" s="5"/>
      <c r="J17" s="4"/>
    </row>
    <row r="18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4"/>
    </row>
    <row r="19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4"/>
    </row>
    <row r="20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4"/>
    </row>
    <row r="2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4"/>
    </row>
    <row r="22" spans="1:10" x14ac:dyDescent="0.25">
      <c r="A22" s="5"/>
      <c r="B22" s="8"/>
      <c r="C22" s="5"/>
      <c r="D22" s="5"/>
      <c r="E22" s="5"/>
      <c r="F22" s="5"/>
      <c r="G22" s="5"/>
      <c r="H22" s="5"/>
      <c r="I22" s="5"/>
      <c r="J22" s="4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4"/>
    </row>
    <row r="24" spans="1:10" x14ac:dyDescent="0.25">
      <c r="A24" s="10"/>
      <c r="B24" s="5"/>
      <c r="C24" s="11"/>
      <c r="D24" s="10"/>
      <c r="E24" s="12"/>
      <c r="F24" s="12"/>
      <c r="G24" s="12"/>
      <c r="H24" s="12"/>
      <c r="I24" s="13"/>
      <c r="J24" s="4"/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4"/>
    </row>
    <row r="26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4"/>
    </row>
    <row r="27" spans="1:10" x14ac:dyDescent="0.25">
      <c r="A27" s="5"/>
      <c r="B27" s="8"/>
      <c r="C27" s="5"/>
      <c r="D27" s="5"/>
      <c r="E27" s="5"/>
      <c r="F27" s="5"/>
      <c r="G27" s="5"/>
      <c r="H27" s="5"/>
      <c r="I27" s="5"/>
      <c r="J27" s="4"/>
    </row>
    <row r="28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4"/>
    </row>
    <row r="29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4"/>
    </row>
    <row r="30" spans="1:10" x14ac:dyDescent="0.25">
      <c r="A30" s="5"/>
      <c r="B30" s="5"/>
      <c r="C30" s="5"/>
      <c r="D30" s="5"/>
      <c r="E30" s="5"/>
      <c r="F30" s="5"/>
      <c r="G30" s="5"/>
      <c r="H30" s="5"/>
      <c r="I30" s="5"/>
      <c r="J30" s="4"/>
    </row>
    <row r="31" spans="1:10" x14ac:dyDescent="0.25">
      <c r="A31" s="5"/>
      <c r="B31" s="5"/>
      <c r="C31" s="5"/>
      <c r="D31" s="5"/>
      <c r="E31" s="5"/>
      <c r="F31" s="5"/>
      <c r="G31" s="5"/>
      <c r="H31" s="5"/>
      <c r="I31" s="5"/>
      <c r="J31" s="4"/>
    </row>
    <row r="32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4"/>
    </row>
    <row r="33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4"/>
    </row>
    <row r="34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4"/>
    </row>
    <row r="35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4"/>
    </row>
    <row r="36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4"/>
    </row>
    <row r="37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4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4"/>
    </row>
    <row r="39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4"/>
    </row>
  </sheetData>
  <conditionalFormatting sqref="B12">
    <cfRule type="containsText" dxfId="59" priority="65" operator="containsText" text="Spell">
      <formula>NOT(ISERROR(SEARCH(("Spell"),(B12))))</formula>
    </cfRule>
    <cfRule type="containsText" dxfId="58" priority="64" operator="containsText" text="Impression">
      <formula>NOT(ISERROR(SEARCH(("Impression"),(B12))))</formula>
    </cfRule>
    <cfRule type="containsText" dxfId="57" priority="63" operator="containsText" text="Equipment">
      <formula>NOT(ISERROR(SEARCH(("Equipment"),(B12))))</formula>
    </cfRule>
    <cfRule type="containsText" dxfId="56" priority="62" operator="containsText" text="Armour">
      <formula>NOT(ISERROR(SEARCH(("Armour"),(B12))))</formula>
    </cfRule>
    <cfRule type="containsText" dxfId="55" priority="61" operator="containsText" text="Accessory">
      <formula>NOT(ISERROR(SEARCH(("Accessory"),(B12))))</formula>
    </cfRule>
  </conditionalFormatting>
  <conditionalFormatting sqref="B17">
    <cfRule type="containsText" dxfId="54" priority="56" operator="containsText" text="Accessory">
      <formula>NOT(ISERROR(SEARCH(("Accessory"),(B17))))</formula>
    </cfRule>
    <cfRule type="containsText" dxfId="53" priority="57" operator="containsText" text="Armour">
      <formula>NOT(ISERROR(SEARCH(("Armour"),(B17))))</formula>
    </cfRule>
    <cfRule type="containsText" dxfId="52" priority="58" operator="containsText" text="Equipment">
      <formula>NOT(ISERROR(SEARCH(("Equipment"),(B17))))</formula>
    </cfRule>
    <cfRule type="containsText" dxfId="51" priority="59" operator="containsText" text="Impression">
      <formula>NOT(ISERROR(SEARCH(("Impression"),(B17))))</formula>
    </cfRule>
    <cfRule type="containsText" dxfId="50" priority="60" operator="containsText" text="Spell">
      <formula>NOT(ISERROR(SEARCH(("Spell"),(B17))))</formula>
    </cfRule>
  </conditionalFormatting>
  <conditionalFormatting sqref="B22">
    <cfRule type="containsText" dxfId="49" priority="55" operator="containsText" text="Spell">
      <formula>NOT(ISERROR(SEARCH(("Spell"),(B22))))</formula>
    </cfRule>
    <cfRule type="containsText" dxfId="48" priority="54" operator="containsText" text="Impression">
      <formula>NOT(ISERROR(SEARCH(("Impression"),(B22))))</formula>
    </cfRule>
    <cfRule type="containsText" dxfId="47" priority="53" operator="containsText" text="Equipment">
      <formula>NOT(ISERROR(SEARCH(("Equipment"),(B22))))</formula>
    </cfRule>
    <cfRule type="containsText" dxfId="46" priority="52" operator="containsText" text="Armour">
      <formula>NOT(ISERROR(SEARCH(("Armour"),(B22))))</formula>
    </cfRule>
    <cfRule type="containsText" dxfId="45" priority="51" operator="containsText" text="Accessory">
      <formula>NOT(ISERROR(SEARCH(("Accessory"),(B22))))</formula>
    </cfRule>
  </conditionalFormatting>
  <conditionalFormatting sqref="B27">
    <cfRule type="containsText" dxfId="44" priority="50" operator="containsText" text="Spell">
      <formula>NOT(ISERROR(SEARCH(("Spell"),(B27))))</formula>
    </cfRule>
    <cfRule type="containsText" dxfId="43" priority="49" operator="containsText" text="Impression">
      <formula>NOT(ISERROR(SEARCH(("Impression"),(B27))))</formula>
    </cfRule>
    <cfRule type="containsText" dxfId="42" priority="48" operator="containsText" text="Equipment">
      <formula>NOT(ISERROR(SEARCH(("Equipment"),(B27))))</formula>
    </cfRule>
    <cfRule type="containsText" dxfId="41" priority="47" operator="containsText" text="Armour">
      <formula>NOT(ISERROR(SEARCH(("Armour"),(B27))))</formula>
    </cfRule>
    <cfRule type="containsText" dxfId="40" priority="46" operator="containsText" text="Accessory">
      <formula>NOT(ISERROR(SEARCH(("Accessory"),(B27))))</formula>
    </cfRule>
  </conditionalFormatting>
  <conditionalFormatting sqref="B1:C2">
    <cfRule type="containsText" dxfId="39" priority="71" operator="containsText" text="Accessory">
      <formula>NOT(ISERROR(SEARCH(("Accessory"),(B1))))</formula>
    </cfRule>
    <cfRule type="containsText" dxfId="38" priority="72" operator="containsText" text="Armour">
      <formula>NOT(ISERROR(SEARCH(("Armour"),(B1))))</formula>
    </cfRule>
    <cfRule type="containsText" dxfId="37" priority="73" operator="containsText" text="Equipment">
      <formula>NOT(ISERROR(SEARCH(("Equipment"),(B1))))</formula>
    </cfRule>
    <cfRule type="containsText" dxfId="36" priority="74" operator="containsText" text="Impression">
      <formula>NOT(ISERROR(SEARCH(("Impression"),(B1))))</formula>
    </cfRule>
    <cfRule type="containsText" dxfId="35" priority="75" operator="containsText" text="Spell">
      <formula>NOT(ISERROR(SEARCH(("Spell"),(B1))))</formula>
    </cfRule>
  </conditionalFormatting>
  <conditionalFormatting sqref="B3">
    <cfRule type="containsText" dxfId="34" priority="31" operator="containsText" text="Accessory">
      <formula>NOT(ISERROR(SEARCH(("Accessory"),(B3))))</formula>
    </cfRule>
    <cfRule type="containsText" dxfId="33" priority="32" operator="containsText" text="Armour">
      <formula>NOT(ISERROR(SEARCH(("Armour"),(B3))))</formula>
    </cfRule>
    <cfRule type="containsText" dxfId="32" priority="33" operator="containsText" text="Equipment">
      <formula>NOT(ISERROR(SEARCH(("Equipment"),(B3))))</formula>
    </cfRule>
    <cfRule type="containsText" dxfId="31" priority="34" operator="containsText" text="Impression">
      <formula>NOT(ISERROR(SEARCH(("Impression"),(B3))))</formula>
    </cfRule>
    <cfRule type="containsText" dxfId="30" priority="35" operator="containsText" text="Spell">
      <formula>NOT(ISERROR(SEARCH(("Spell"),(B3))))</formula>
    </cfRule>
  </conditionalFormatting>
  <conditionalFormatting sqref="B4">
    <cfRule type="containsText" dxfId="29" priority="26" operator="containsText" text="Accessory">
      <formula>NOT(ISERROR(SEARCH(("Accessory"),(B4))))</formula>
    </cfRule>
    <cfRule type="containsText" dxfId="28" priority="27" operator="containsText" text="Armour">
      <formula>NOT(ISERROR(SEARCH(("Armour"),(B4))))</formula>
    </cfRule>
    <cfRule type="containsText" dxfId="27" priority="28" operator="containsText" text="Equipment">
      <formula>NOT(ISERROR(SEARCH(("Equipment"),(B4))))</formula>
    </cfRule>
    <cfRule type="containsText" dxfId="26" priority="29" operator="containsText" text="Impression">
      <formula>NOT(ISERROR(SEARCH(("Impression"),(B4))))</formula>
    </cfRule>
    <cfRule type="containsText" dxfId="25" priority="30" operator="containsText" text="Spell">
      <formula>NOT(ISERROR(SEARCH(("Spell"),(B4))))</formula>
    </cfRule>
  </conditionalFormatting>
  <conditionalFormatting sqref="B5">
    <cfRule type="containsText" dxfId="24" priority="21" operator="containsText" text="Accessory">
      <formula>NOT(ISERROR(SEARCH(("Accessory"),(B5))))</formula>
    </cfRule>
    <cfRule type="containsText" dxfId="23" priority="22" operator="containsText" text="Armour">
      <formula>NOT(ISERROR(SEARCH(("Armour"),(B5))))</formula>
    </cfRule>
    <cfRule type="containsText" dxfId="22" priority="23" operator="containsText" text="Equipment">
      <formula>NOT(ISERROR(SEARCH(("Equipment"),(B5))))</formula>
    </cfRule>
    <cfRule type="containsText" dxfId="21" priority="24" operator="containsText" text="Impression">
      <formula>NOT(ISERROR(SEARCH(("Impression"),(B5))))</formula>
    </cfRule>
    <cfRule type="containsText" dxfId="20" priority="25" operator="containsText" text="Spell">
      <formula>NOT(ISERROR(SEARCH(("Spell"),(B5))))</formula>
    </cfRule>
  </conditionalFormatting>
  <conditionalFormatting sqref="B6">
    <cfRule type="containsText" dxfId="19" priority="16" operator="containsText" text="Accessory">
      <formula>NOT(ISERROR(SEARCH(("Accessory"),(B6))))</formula>
    </cfRule>
    <cfRule type="containsText" dxfId="18" priority="17" operator="containsText" text="Armour">
      <formula>NOT(ISERROR(SEARCH(("Armour"),(B6))))</formula>
    </cfRule>
    <cfRule type="containsText" dxfId="17" priority="18" operator="containsText" text="Equipment">
      <formula>NOT(ISERROR(SEARCH(("Equipment"),(B6))))</formula>
    </cfRule>
    <cfRule type="containsText" dxfId="16" priority="19" operator="containsText" text="Impression">
      <formula>NOT(ISERROR(SEARCH(("Impression"),(B6))))</formula>
    </cfRule>
    <cfRule type="containsText" dxfId="15" priority="20" operator="containsText" text="Spell">
      <formula>NOT(ISERROR(SEARCH(("Spell"),(B6))))</formula>
    </cfRule>
  </conditionalFormatting>
  <conditionalFormatting sqref="B7">
    <cfRule type="containsText" dxfId="14" priority="11" operator="containsText" text="Accessory">
      <formula>NOT(ISERROR(SEARCH(("Accessory"),(B7))))</formula>
    </cfRule>
    <cfRule type="containsText" dxfId="13" priority="12" operator="containsText" text="Armour">
      <formula>NOT(ISERROR(SEARCH(("Armour"),(B7))))</formula>
    </cfRule>
    <cfRule type="containsText" dxfId="12" priority="13" operator="containsText" text="Equipment">
      <formula>NOT(ISERROR(SEARCH(("Equipment"),(B7))))</formula>
    </cfRule>
    <cfRule type="containsText" dxfId="11" priority="14" operator="containsText" text="Impression">
      <formula>NOT(ISERROR(SEARCH(("Impression"),(B7))))</formula>
    </cfRule>
    <cfRule type="containsText" dxfId="10" priority="15" operator="containsText" text="Spell">
      <formula>NOT(ISERROR(SEARCH(("Spell"),(B7))))</formula>
    </cfRule>
  </conditionalFormatting>
  <conditionalFormatting sqref="B8">
    <cfRule type="containsText" dxfId="9" priority="6" operator="containsText" text="Accessory">
      <formula>NOT(ISERROR(SEARCH(("Accessory"),(B8))))</formula>
    </cfRule>
    <cfRule type="containsText" dxfId="8" priority="7" operator="containsText" text="Armour">
      <formula>NOT(ISERROR(SEARCH(("Armour"),(B8))))</formula>
    </cfRule>
    <cfRule type="containsText" dxfId="7" priority="8" operator="containsText" text="Equipment">
      <formula>NOT(ISERROR(SEARCH(("Equipment"),(B8))))</formula>
    </cfRule>
    <cfRule type="containsText" dxfId="6" priority="9" operator="containsText" text="Impression">
      <formula>NOT(ISERROR(SEARCH(("Impression"),(B8))))</formula>
    </cfRule>
    <cfRule type="containsText" dxfId="5" priority="10" operator="containsText" text="Spell">
      <formula>NOT(ISERROR(SEARCH(("Spell"),(B8))))</formula>
    </cfRule>
  </conditionalFormatting>
  <conditionalFormatting sqref="B9">
    <cfRule type="containsText" dxfId="4" priority="1" operator="containsText" text="Accessory">
      <formula>NOT(ISERROR(SEARCH(("Accessory"),(B9))))</formula>
    </cfRule>
    <cfRule type="containsText" dxfId="3" priority="2" operator="containsText" text="Armour">
      <formula>NOT(ISERROR(SEARCH(("Armour"),(B9))))</formula>
    </cfRule>
    <cfRule type="containsText" dxfId="2" priority="3" operator="containsText" text="Equipment">
      <formula>NOT(ISERROR(SEARCH(("Equipment"),(B9))))</formula>
    </cfRule>
    <cfRule type="containsText" dxfId="1" priority="4" operator="containsText" text="Impression">
      <formula>NOT(ISERROR(SEARCH(("Impression"),(B9))))</formula>
    </cfRule>
    <cfRule type="containsText" dxfId="0" priority="5" operator="containsText" text="Spell">
      <formula>NOT(ISERROR(SEARCH(("Spell"),(B9))))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EB742E1A5654587064A46DDB6CD15" ma:contentTypeVersion="1" ma:contentTypeDescription="Create a new document." ma:contentTypeScope="" ma:versionID="e55e2f9787318b7f716360a3e6de5d16">
  <xsd:schema xmlns:xsd="http://www.w3.org/2001/XMLSchema" xmlns:xs="http://www.w3.org/2001/XMLSchema" xmlns:p="http://schemas.microsoft.com/office/2006/metadata/properties" xmlns:ns3="d3d2b77b-9d76-4307-b430-cfd0491e2700" targetNamespace="http://schemas.microsoft.com/office/2006/metadata/properties" ma:root="true" ma:fieldsID="5c7964d0f203b5786a93e8b285789b37" ns3:_="">
    <xsd:import namespace="d3d2b77b-9d76-4307-b430-cfd0491e27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b77b-9d76-4307-b430-cfd0491e27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2D555B-6F02-459E-B070-D7B6B8E41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C2C9E0-1F0F-46F6-8F71-1762C6A86D23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</dc:creator>
  <cp:lastModifiedBy>NTK</cp:lastModifiedBy>
  <dcterms:created xsi:type="dcterms:W3CDTF">2025-06-22T09:18:10Z</dcterms:created>
  <dcterms:modified xsi:type="dcterms:W3CDTF">2025-08-29T22:47:28Z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