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3"/>
  </sheets>
  <definedNames>
    <definedName function="false" hidden="false" name="Break" vbProcedure="false">#REF!</definedName>
    <definedName function="false" hidden="false" name="star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<sst xmlns="http://schemas.openxmlformats.org/spreadsheetml/2006/main" count="163" uniqueCount="126">
  <si>
    <t xml:space="preserve">Name</t>
  </si>
  <si>
    <t xml:space="preserve">Type</t>
  </si>
  <si>
    <t xml:space="preserve">SmallTextTag</t>
  </si>
  <si>
    <t xml:space="preserve">TopRightText</t>
  </si>
  <si>
    <t xml:space="preserve">Effect 1</t>
  </si>
  <si>
    <t xml:space="preserve">Effect 2</t>
  </si>
  <si>
    <t xml:space="preserve">Effect 3</t>
  </si>
  <si>
    <t xml:space="preserve">Effect 4</t>
  </si>
  <si>
    <t xml:space="preserve">Flavour Text</t>
  </si>
  <si>
    <t xml:space="preserve">Body HTML</t>
  </si>
  <si>
    <t xml:space="preserve">Baleful Eye</t>
  </si>
  <si>
    <t xml:space="preserve">Limb</t>
  </si>
  <si>
    <t xml:space="preserve">&lt;b&gt;Rancor: &lt;/b&gt;2 AP + weirdTJazzT&lt;br&gt;Mark a target as your hated target. You can only have one target at a time.</t>
  </si>
  <si>
    <t xml:space="preserve">&lt;i&gt;Ranged Attack -&lt;/i&gt;&lt;b&gt; Scorn:&lt;/b&gt; 2 AP&lt;br&gt;This attack can only hit your hated target&lt;br&gt;Damage = 4&lt;br&gt;Crit option&lt;br&gt;&lt;b&gt;Omen:&lt;/b&gt; inflict the &lt;b&gt;Cursed&lt;/b&gt; status effect</t>
  </si>
  <si>
    <t xml:space="preserve">Bladed Fingers</t>
  </si>
  <si>
    <t xml:space="preserve">&lt;i&gt;Melee Attack -&lt;/i&gt;&lt;b&gt; 1000 Cuts: &lt;/b&gt;2 AP&lt;br&gt;Damage = 3 , close range.&lt;br&gt;Critical options:&lt;br&gt;&lt;b&gt;Flurry:&lt;/b&gt;Your next attack costs 1 less AP.&lt;br&gt;&lt;b&gt;Strike:&lt;/b&gt; +1 Damage.</t>
  </si>
  <si>
    <t xml:space="preserve">&lt;p style="font-size:14px;"&gt;&lt;br&gt;</t>
  </si>
  <si>
    <t xml:space="preserve">&lt;p style="font-size:12px;"&gt;&lt;br&gt;</t>
  </si>
  <si>
    <t xml:space="preserve">Chalk Vein</t>
  </si>
  <si>
    <t xml:space="preserve">&lt;b&gt;Create Sigil: &lt;/b&gt;1 AP&lt;br&gt;Draw a sigil on an adjacent tile. You may have a maximum of 3 sigils. Creating more will destroy a sigil of your choice. Other players may spend 3AP to destroy an adjacent sigil</t>
  </si>
  <si>
    <t xml:space="preserve">&lt;b&gt;Siphon: &lt;/b&gt;2 AP + weirdT&lt;br&gt;If there are 3 sigils, deal a random wound to all creatures within the triangle of sigils (edges count). Heal a wound of your choice.</t>
  </si>
  <si>
    <t xml:space="preserve">Cicada Wings</t>
  </si>
  <si>
    <t xml:space="preserve">&lt;b&gt;Fly: &lt;/b&gt;1 AP or  weirdT&lt;br&gt;Make a move action with + 1 speed, ignore terrain during this move (within reason).</t>
  </si>
  <si>
    <t xml:space="preserve">&lt;b&gt;Chirp Tune: &lt;/b&gt;2 AP&lt;br&gt;You and any number of target allies each gain up to 3 temporary composure.</t>
  </si>
  <si>
    <t xml:space="preserve">Clay Exuder</t>
  </si>
  <si>
    <t xml:space="preserve">&lt;b&gt;Coat in Clay: &lt;/b&gt;1 AP +  weirdT&lt;br&gt;A target gains up to 4 temporary composure and -2 speed until the end of their next turn.</t>
  </si>
  <si>
    <t xml:space="preserve">&lt;i&gt;Passive -&lt;b&gt; Spreading clay: &lt;/i&gt;&lt;/b&gt;&lt;br&gt;Whenever you spend weirdt, gain up to 1 temporary composure.</t>
  </si>
  <si>
    <t xml:space="preserve">Clayling</t>
  </si>
  <si>
    <t xml:space="preserve">&lt;i&gt;Passive -&lt;b&gt; Autonomous Limb: &lt;/i&gt;&lt;/b&gt;&lt;br&gt;At the end of your turn, this limb makes an attack for free, it will attack you if there are no other targets available.</t>
  </si>
  <si>
    <t xml:space="preserve">&lt;i&gt;Melee Attack -&lt;/i&gt;&lt;b&gt; Flail:&lt;/b&gt;&lt;br&gt;Damage = 4 , close range.</t>
  </si>
  <si>
    <t xml:space="preserve">Crackling Geode</t>
  </si>
  <si>
    <t xml:space="preserve">Whenever you spend weirdt, deal 1 damage to any target. This damage cannot be reduced.</t>
  </si>
  <si>
    <t xml:space="preserve"> &lt;span style="color:#27ae60"&gt;&lt;strong&gt;Jazz&lt;/strong&gt;&lt;/span&gt;</t>
  </si>
  <si>
    <t xml:space="preserve">Crystal of the Deep</t>
  </si>
  <si>
    <t xml:space="preserve">&lt;b&gt;Embed: &lt;/b&gt;weirdT&lt;br&gt;Place a 1 hex crystal on an adjacent hex. The crystal breaks if it takes damage.</t>
  </si>
  <si>
    <t xml:space="preserve">&lt;i&gt;Passive -&lt;b&gt; Radiance: &lt;/b&gt;&lt;/i&gt;&lt;br&gt;At the end of your turn, if you are adjacent to a crystal, choose one of the following status effects to gain:&lt;br&gt;&lt;b&gt;Monstrous, Well Rested, Imbued.</t>
  </si>
  <si>
    <t xml:space="preserve">&lt;span style="color:#e74c3c"&gt;&lt;strong&gt;Flesh&lt;/strong&gt;&lt;/span&gt;</t>
  </si>
  <si>
    <t xml:space="preserve">Doomtouch</t>
  </si>
  <si>
    <t xml:space="preserve">&lt;i&gt;Melee Attack -&lt;/i&gt;&lt;b&gt; Thwack: &lt;/b&gt;1 AP&lt;br&gt;Damage = 1 , close range.&lt;br&gt;Critical Options:&lt;br&gt;&lt;b&gt;Omen:&lt;/b&gt; Inflict the &lt;b&gt;Cursed&lt;/b&gt; status effect.</t>
  </si>
  <si>
    <t xml:space="preserve">&lt;i&gt;Reaction - &lt;/i&gt;&lt;b&gt;Block:&lt;/b&gt; 1 AP&lt;br&gt;Destroy this card to completely block an incoming attack.</t>
  </si>
  <si>
    <t xml:space="preserve">&lt;span style="color:#3366cc"&gt;&lt;strong&gt;Weird&lt;/strong&gt;&lt;/span&gt;</t>
  </si>
  <si>
    <t xml:space="preserve">Enflamed Lash</t>
  </si>
  <si>
    <t xml:space="preserve">&lt;i&gt;Melee Attack -&lt;/i&gt; &lt;b&gt;Flay:&lt;/b&gt; 2 AP&lt;br&gt;Damage = 3 , close range.&lt;br&gt;Critical Options:&lt;br&gt;&lt;b&gt;Burn:&lt;/b&gt; Inflict the &lt;b&gt;Burning&lt;/b&gt; status effect.</t>
  </si>
  <si>
    <t xml:space="preserve">&lt;b&gt;Stoke the Flames:&lt;/b&gt; WeirdT&lt;br&gt;Your attacks this turn inflict the &lt;b&gt;Burning&lt;/b&gt; status effect on a hit and have + 1 range</t>
  </si>
  <si>
    <t xml:space="preserve">Engraved Slab</t>
  </si>
  <si>
    <t xml:space="preserve">&lt;b&gt;Read the Runes:&lt;/b&gt; weirdT&lt;br&gt;Target being has half speed until the start of your next turn. (each tile moved costs 2)</t>
  </si>
  <si>
    <t xml:space="preserve">Fungal Growth</t>
  </si>
  <si>
    <t xml:space="preserve">chargeBIG CHargeBig</t>
  </si>
  <si>
    <t xml:space="preserve">&lt;b&gt;Puffball:&lt;/b&gt; 1 AP + (chargeT or  weirdT)&lt;br&gt;Place a puffball on an adjacent hex.</t>
  </si>
  <si>
    <t xml:space="preserve">&lt;i&gt;Reaction - &lt;/i&gt;&lt;b&gt;Detonate&lt;/b&gt;&lt;br&gt;All Puffballs on the map explode, adjacent beings take 5 damage and terrain is destroyed, including walls.</t>
  </si>
  <si>
    <t xml:space="preserve">Ceramic Plating</t>
  </si>
  <si>
    <t xml:space="preserve">&lt;i&gt;Reaction -&lt;/i&gt;&lt;b&gt; Burst Block&lt;/b&gt;&lt;br&gt;Destroy this card to completely block an incoming attack and deal 5 damage to all adjacent beings.</t>
  </si>
  <si>
    <t xml:space="preserve">Granite Fists</t>
  </si>
  <si>
    <t xml:space="preserve">&lt;i&gt;Melee Attack - &lt;/i&gt;&lt;b&gt;Crush:&lt;/b&gt; 4 AP or (2 AP + fleshTfleshT)&lt;br&gt;Damage = 8 , close range.&lt;br&gt;Critical Options:&lt;b&gt;&lt;br&gt;Concuss:&lt;/b&gt; Inflict the &lt;b&gt;Stunned&lt;/b&gt; status effect.</t>
  </si>
  <si>
    <t xml:space="preserve">Grasp of Mud</t>
  </si>
  <si>
    <t xml:space="preserve">&lt;i&gt;Melee Attack - &lt;/i&gt;&lt;b&gt;Bludgeon:&lt;/b&gt; 3 AP&lt;br&gt;Damage = 6 , close range.</t>
  </si>
  <si>
    <t xml:space="preserve">&lt;i&gt;Melee Attack - &lt;/i&gt;&lt;b&gt;Whelm:&lt;/b&gt; 2 AP + weirdT&lt;br&gt;Damage = 3 , close range.&lt;br&gt;Inflicts the &lt;b&gt;Entangled&lt;/b&gt; status effect on a hit.</t>
  </si>
  <si>
    <t xml:space="preserve">Horns</t>
  </si>
  <si>
    <t xml:space="preserve">yes</t>
  </si>
  <si>
    <t xml:space="preserve">&lt;i&gt;Melee Attack -&lt;/i&gt;&lt;b&gt; Charge!:&lt;/b&gt; 3 AP or 2 AP +jazzT&lt;br&gt;Damage = hexes moved , close range.&lt;br&gt;You may move any number of hexes in a straight line as part of making the attack. &lt;br&gt;hornshexes</t>
  </si>
  <si>
    <t xml:space="preserve">&lt;i&gt;Melee Attack -&lt;/i&gt;&lt;b&gt; Shove :&lt;/b&gt; 1 AP +fleshT&lt;br&gt;Damage = 2 , close range.&lt;br&gt;On a hit, the target is pushed back hexes equal to your &lt;span style="color:#e74c3c"&gt;&lt;strong&gt;Flesh&lt;/strong&gt;&lt;/span&gt;.</t>
  </si>
  <si>
    <t xml:space="preserve">Huge Pincer</t>
  </si>
  <si>
    <t xml:space="preserve">&lt;i&gt;Melee Attack -&lt;/i&gt;&lt;b&gt; Nip:&lt;/b&gt; 2 AP&lt;br&gt;Damage = &lt;span style="color:#e74c3c"&gt;&lt;strong&gt;Flesh&lt;/strong&gt;&lt;/span&gt; , close range.&lt;br&gt;Critical Option:&lt;br&gt;&lt;b&gt;Restrain: &lt;/b&gt;Inflict the &lt;b&gt;Entangled&lt;/b&gt; status effect.</t>
  </si>
  <si>
    <t xml:space="preserve">&lt;i&gt;Reaction - &lt;/i&gt;&lt;b&gt;Block: &lt;/b&gt;1 AP&lt;br&gt;Destroy this card to completely block an incoming attack.</t>
  </si>
  <si>
    <t xml:space="preserve">Hungering Hand</t>
  </si>
  <si>
    <t xml:space="preserve">&lt;i&gt;Melee Attack -&lt;/i&gt;&lt;b&gt; Bite:&lt;/b&gt; 2 AP&lt;br&gt;Damage = 4 , close range.&lt;br&gt;Critical Option:&lt;br&gt;&lt;b&gt;Exalt:&lt;/b&gt; Restore your composure or gain up to 2 temporary composure.</t>
  </si>
  <si>
    <t xml:space="preserve">&lt;i&gt;Ranged Attack -&lt;/i&gt;&lt;b&gt; Phage: &lt;/b&gt;2 AP&lt;br&gt;Damage = 7 &lt;br&gt;Throw this limb at your target as part of the attack, regardless of attack outcome, they now have Hungering Hand equipped .</t>
  </si>
  <si>
    <t xml:space="preserve">Lanceflower Bloom</t>
  </si>
  <si>
    <t xml:space="preserve">&lt;i&gt;Melee Attack - &lt;/i&gt;&lt;b&gt;Impale: &lt;/b&gt;2 AP&lt;br&gt;Damage = 5 , reach.&lt;br&gt;Must be in lance mode to use.</t>
  </si>
  <si>
    <t xml:space="preserve">&lt;i&gt;Reaction - &lt;/i&gt;&lt;b&gt;Iron Petals: &lt;/b&gt;1 AP&lt;br&gt;Destroy this card to completely block an incoming attack.&lt;br&gt;Must be in flower mode to use.</t>
  </si>
  <si>
    <t xml:space="preserve">&lt;b&gt;Bloom/Wither:&lt;/b&gt; 1 AP&lt;br&gt;Switch this card between lance mode or Flower mode. At the start of the combat Lanceflower Bloom begins in Flower mode.</t>
  </si>
  <si>
    <t xml:space="preserve">Lithium Geode</t>
  </si>
  <si>
    <t xml:space="preserve">ChargeBIGchargebigchargebig</t>
  </si>
  <si>
    <t xml:space="preserve">&lt;b&gt;Splinter Trail:&lt;/b&gt; 1 AP + (chargeT or weirdT)&lt;br&gt;For the rest of your turn, leave a conductive trail behind in any hex you move out of.</t>
  </si>
  <si>
    <t xml:space="preserve">&lt;b&gt;Electrify:&lt;/b&gt; 2 AP&lt;br&gt;Electrify an adjacent hex and all connected conductive hexes. All beings electrified take 3 damage. This damage cannot be reduced. Hexes with water are also conductive.</t>
  </si>
  <si>
    <t xml:space="preserve">Mandibles</t>
  </si>
  <si>
    <t xml:space="preserve">&lt;i&gt;Melee Attack -&lt;/i&gt;&lt;b&gt; Gnaw:&lt;/b&gt; 1 AP&lt;br&gt;Damage = 1 , close range.&lt;br&gt;This attack always hits, do not roll.</t>
  </si>
  <si>
    <t xml:space="preserve">il</t>
  </si>
  <si>
    <t xml:space="preserve">Mantid Scythe</t>
  </si>
  <si>
    <t xml:space="preserve">&lt;i&gt;Melee Attack -&lt;/i&gt;&lt;b&gt; Nasty Stab:&lt;/b&gt; 3 AP&lt;br&gt;Damage = 6 , close range.&lt;br&gt;Crit options:&lt;br&gt;&lt;b&gt;Armour Piercing:&lt;/b&gt; Ignore damage reduction effects.&lt;br&gt;&lt;b&gt;Strike:&lt;/b&gt; +1 damage.</t>
  </si>
  <si>
    <t xml:space="preserve">&lt;i&gt;Melee Attack - &lt;/i&gt;&lt;b&gt;Lance:&lt;/b&gt; 2 AP&lt;br&gt;Damage = 4 , reach.&lt;br&gt;Crit option:&lt;br&gt;&lt;b&gt;Dash&lt;/b&gt; Take a move action for free.</t>
  </si>
  <si>
    <t xml:space="preserve">Monolith of Pain</t>
  </si>
  <si>
    <t xml:space="preserve">&lt;i&gt;Reaction - &lt;/i&gt;&lt;b&gt;Salt in the wound:&lt;/b&gt; 1 AP or weirdT&lt;br&gt;Whenever an adjacent creature takes a wound, you may activate this and inflict the &lt;b&gt;Stunned&lt;/b&gt; status effect on them.</t>
  </si>
  <si>
    <t xml:space="preserve">&lt;i&gt;Passive - &lt;b&gt;Fueled by pain:&lt;/i&gt;&lt;/b&gt;&lt;br&gt;Whenever you take a wound, gain the &lt;b&gt;Well Rested&lt;/b&gt; status effect.</t>
  </si>
  <si>
    <t xml:space="preserve">Needle Mouthed</t>
  </si>
  <si>
    <t xml:space="preserve">&lt;i&gt;Melee Attack -&lt;/i&gt; &lt;b&gt;Nip: &lt;/b&gt;2 AP&lt;br&gt;Damage = 3 , close range.&lt;br&gt;Crit option:&lt;br&gt;&lt;b&gt;Strike:&lt;/b&gt; +1 damage.&lt;br&gt;</t>
  </si>
  <si>
    <t xml:space="preserve">&lt;i&gt;Passive - &lt;b&gt; Precise:&lt;/b&gt;&lt;/i&gt;&lt;br&gt;Wounds inflicted by this limb's attacks always target the stat of your choice.</t>
  </si>
  <si>
    <t xml:space="preserve">Noxious Trunk</t>
  </si>
  <si>
    <t xml:space="preserve">&lt;i&gt;Ranged Attack - &lt;/i&gt;&lt;b&gt;Corrosive spit: &lt;/b&gt;2 AP + weirdT&lt;br&gt;Damage = 4. &lt;br&gt;Ignores damage reduction effects.</t>
  </si>
  <si>
    <t xml:space="preserve">Painted Slab</t>
  </si>
  <si>
    <t xml:space="preserve">&lt;i&gt;Melee Attack -&lt;/i&gt;&lt;b&gt; Slam:&lt;/b&gt; 4 AP&lt;br&gt;Damage = 8, close range.&lt;br&gt;</t>
  </si>
  <si>
    <t xml:space="preserve">&lt;b&gt;Wall of Splendor: &lt;/b&gt;1 AP&lt;br&gt;Place the slab down on an adjacent hex, it extends straight on each side to become a three hex wall, if there is space. This wall blocks vision and is indestructable.</t>
  </si>
  <si>
    <t xml:space="preserve">&lt;b&gt;Reclaim: &lt;/b&gt;3 AP or fleshtfleshtfleshT&lt;br&gt;Pick up a deployed painted slab, any adjacent being can do this.</t>
  </si>
  <si>
    <t xml:space="preserve">Projectile Spines</t>
  </si>
  <si>
    <t xml:space="preserve">&lt;i&gt;Ranged Attack -&lt;/i&gt;&lt;b&gt; Fling:&lt;/b&gt; 2 AP&lt;br&gt;Damage = 4. &lt;br&gt;You take 1 damage when you use this attack.</t>
  </si>
  <si>
    <t xml:space="preserve">Pulsing Heartstone</t>
  </si>
  <si>
    <t xml:space="preserve">&lt;b&gt;Embed:&lt;/b&gt; weirdt&lt;br&gt;Place a 1 hex sized heartstone on an adjacent hex. It will break if it takes damage.</t>
  </si>
  <si>
    <t xml:space="preserve">&lt;i&gt;Passive - &lt;b&gt; Living Rythm:&lt;/i&gt;&lt;/b&gt;&lt;br&gt;While there is at least 1 heartstone on the map, you gain up to 3 temporary composure at the end of your turn.</t>
  </si>
  <si>
    <t xml:space="preserve">Rock Pouch</t>
  </si>
  <si>
    <t xml:space="preserve">chargebigchargebig</t>
  </si>
  <si>
    <t xml:space="preserve">&lt;i&gt;Ranged Attack - &lt;/i&gt;&lt;b&gt;Throw: &lt;/b&gt;1 AP + charget&lt;br&gt;Damage = &lt;span style="color:#e74c3c"&gt;&lt;strong&gt;Flesh&lt;/strong&gt;&lt;/span&gt;.</t>
  </si>
  <si>
    <t xml:space="preserve">&lt;b&gt;Rummage:&lt;/b&gt; 3 AP + fleshT&lt;br&gt;Recharge this item.</t>
  </si>
  <si>
    <t xml:space="preserve">Shovelling talons</t>
  </si>
  <si>
    <t xml:space="preserve">&lt;i&gt;Melee Attack -&lt;/i&gt; &lt;b&gt;Thump: &lt;/b&gt;2 AP&lt;br&gt;Damage =4, close range.&lt;br&gt;Crit Option:&lt;br&gt;&lt;b&gt;Concuss:&lt;/b&gt; Inflict the &lt;b&gt;Stunned&lt;/b&gt; status effect.</t>
  </si>
  <si>
    <t xml:space="preserve">&lt;b&gt;Dig:&lt;/b&gt; 1 AP or fleshT&lt;br&gt;Clear an adjacent hex of any player generated terrain features.</t>
  </si>
  <si>
    <t xml:space="preserve">Sineuous Lash</t>
  </si>
  <si>
    <t xml:space="preserve">&lt;i&gt;Ranged Attack&lt;/i&gt; -&lt;b&gt; Yoink:&lt;/b&gt; 1 AP&lt;br&gt;Damage = 0.&lt;br&gt;Pull the target to an adjacent hex on a hit&lt;br&gt;Crit Option:&lt;br&gt;&lt;b&gt;Entangle:&lt;/b&gt; Inflict the &lt;b&gt;Entangled&lt;/b&gt; status effect.</t>
  </si>
  <si>
    <t xml:space="preserve">Slime Shooter</t>
  </si>
  <si>
    <t xml:space="preserve">&lt;i&gt;Melee Attack -&lt;/i&gt;&lt;b&gt; Slime Glob: &lt;/b&gt;2 AP&lt;br&gt;Damage = 2, reach.&lt;br&gt;Inflicts the &lt;b&gt;Entangled&lt;/b&gt; status effect on a hit.</t>
  </si>
  <si>
    <t xml:space="preserve">&lt;i&gt;Passive - &lt;b&gt; Secretions:&lt;/i&gt;&lt;/b&gt;&lt;br&gt;When you take a move action, you may spend weirdt to leave a trail of goo in all hexes moved out of. Moving through this goo costs 2 hexes of movement per hex.</t>
  </si>
  <si>
    <t xml:space="preserve">Stalagmite</t>
  </si>
  <si>
    <t xml:space="preserve">&lt;i&gt;Melee Attack - &lt;/i&gt;&lt;b&gt;Prod:&lt;/b&gt; 2 AP&lt;br&gt;Damage = 4 , reach.&lt;br&gt;This can only target non-adjacent beings.&lt;br&gt;Crit Option:&lt;br&gt;&lt;b&gt;Impale:&lt;/b&gt; Move to a hex adjacent to the target, deal + 3 damage and restore your composure. This can only be chosen once per attack.</t>
  </si>
  <si>
    <t xml:space="preserve">Storm Conduit</t>
  </si>
  <si>
    <t xml:space="preserve">&lt;i&gt;Melee Attack - &lt;/i&gt;&lt;b&gt;Zap:&lt;/b&gt; 2 AP&lt;br&gt;Damage = 2 , close range.&lt;br&gt;Ignores damage reduction effects.&lt;br&gt;</t>
  </si>
  <si>
    <t xml:space="preserve">&lt;b&gt;Channel Storm -&lt;/b&gt; 2 AP + weirdT:&lt;br&gt;Create a 1 hex strom cloud on target empty hex.</t>
  </si>
  <si>
    <t xml:space="preserve">&lt;i&gt;Passive - &lt;b&gt; Growing storm:&lt;/i&gt;&lt;/b&gt;&lt;br&gt;At the start of your turn, each storm cloud grows by one hex in all directions.</t>
  </si>
  <si>
    <t xml:space="preserve">&lt;i&gt;Passive -&lt;b&gt; Electrified:&lt;/b&gt;&lt;/i&gt;&lt;br&gt;Whenever you spend weirdT, all beings underneath a storm cloud take 3 damage. This ignores damage reduction.</t>
  </si>
  <si>
    <t xml:space="preserve">Thrumming Moonstone</t>
  </si>
  <si>
    <t xml:space="preserve">&lt;i&gt;Melee Attack - &lt;/i&gt;&lt;b&gt;Crush:&lt;/b&gt; 3 AP&lt;br&gt;Damage = 6 , close range.</t>
  </si>
  <si>
    <t xml:space="preserve">&lt;b&gt;Reverberate:&lt;/b&gt; 1 AP or weirdT&lt;br&gt;You and any number of target allies gain the &lt;b&gt;Monstrous&lt;/b&gt; status effect.</t>
  </si>
  <si>
    <t xml:space="preserve">Venemous Tail</t>
  </si>
  <si>
    <t xml:space="preserve">&lt;i&gt;Melee Attack - &lt;/i&gt;&lt;b&gt;Lance: &lt;/b&gt;2 AP&lt;br&gt;Damage = 3 , reach.&lt;br&gt;Crit Option:&lt;br&gt;&lt;b&gt;Venom: &lt;/b&gt;Inflict the &lt;b&gt;Stunned&lt;/b&gt; status effect.</t>
  </si>
  <si>
    <t xml:space="preserve">&lt;i&gt;Reaction - &lt;/i&gt;&lt;b&gt;Jab: &lt;/b&gt;2 AP + jazzt&lt;br&gt;immediately use the Lance attack at no further cost on a being that has entered your attack range for the first time on their turn.</t>
  </si>
  <si>
    <t xml:space="preserve">Willow Parasite</t>
  </si>
  <si>
    <t xml:space="preserve">&lt;i&gt;Melee Attack - &lt;/i&gt;&lt;b&gt;Lash Out:&lt;/b&gt; 2 AP&lt;br&gt;Damage = 4 , reach.</t>
  </si>
  <si>
    <t xml:space="preserve">&lt;b&gt;Summon Saplings:&lt;/b&gt; weirdtweirdT&lt;br&gt;Fill 3 target connected empty hexes with a willow tree which blocks movement and vision. Each hex can be individually destroyed by dealing damage.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</si>
</sst>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  <fill>
      <patternFill patternType="solid">
        <fgColor theme="4" tint="0.7999"/>
        <bgColor rgb="FFCCFFFF"/>
      </patternFill>
    </fill>
    <fill>
      <patternFill patternType="solid">
        <fgColor rgb="FF808080"/>
        <bgColor rgb="FF96969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 readingOrder="1"/>
      <protection locked="true" hidden="false"/>
    </xf>
    <xf numFmtId="164" fontId="0" fillId="3" borderId="3" xfId="0" applyFont="fals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56082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C1E5F5"/>
          <bgColor rgb="FF000000"/>
        </patternFill>
      </fill>
    </dxf>
    <dxf>
      <fill>
        <patternFill>
          <bgColor rgb="FFF6B0D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B4C6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6B0DD"/>
      <rgbColor rgb="FFCC99FF"/>
      <rgbColor rgb="FFF8CBAD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Table3" displayName="Table3" ref="A1:J41" headerRowCount="1" totalsRowCount="0" totalsRowShown="0">
  <autoFilter ref="A1:J41"/>
  <tableColumns count="10">
    <tableColumn id="1" name="Name"/>
    <tableColumn id="2" name="Type"/>
    <tableColumn id="3" name="SmallTextTag"/>
    <tableColumn id="4" name="TopRightText"/>
    <tableColumn id="5" name="Effect 1"/>
    <tableColumn id="6" name="Effect 2"/>
    <tableColumn id="7" name="Effect 3"/>
    <tableColumn id="8" name="Effect 4"/>
    <tableColumn id="9" name="Flavour Text"/>
    <tableColumn id="10" name="Body HTM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F15" activeCellId="0" sqref="F15"/>
    </sheetView>
  </sheetViews>
  <sheetFormatPr defaultColWidth="8.63671875" defaultRowHeight="15" customHeight="tru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25.71"/>
    <col collapsed="false" customWidth="true" hidden="false" outlineLevel="0" max="5" min="5" style="0" width="28.14"/>
    <col collapsed="false" customWidth="true" hidden="false" outlineLevel="0" max="6" min="6" style="0" width="25.42"/>
    <col collapsed="false" customWidth="true" hidden="false" outlineLevel="0" max="7" min="7" style="0" width="19.85"/>
    <col collapsed="false" customWidth="true" hidden="false" outlineLevel="0" max="8" min="8" style="0" width="11"/>
    <col collapsed="false" customWidth="true" hidden="false" outlineLevel="0" max="9" min="9" style="0" width="11.14"/>
    <col collapsed="false" customWidth="true" hidden="false" outlineLevel="0" max="10" min="10" style="0" width="54.72"/>
    <col collapsed="false" customWidth="true" hidden="false" outlineLevel="0" max="11" min="11" style="0" width="18.28"/>
  </cols>
  <sheetData>
    <row r="1" customFormat="false" ht="24.0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</row>
    <row r="2" customFormat="false" ht="87.95" hidden="false" customHeight="false" outlineLevel="0" collapsed="false">
      <c r="A2" s="6" t="s">
        <v>10</v>
      </c>
      <c r="B2" s="6" t="s">
        <v>11</v>
      </c>
      <c r="C2" s="6"/>
      <c r="D2" s="6"/>
      <c r="E2" s="6" t="s">
        <v>12</v>
      </c>
      <c r="F2" s="6" t="s">
        <v>13</v>
      </c>
      <c r="G2" s="6"/>
      <c r="H2" s="6"/>
      <c r="I2" s="6"/>
      <c r="J2" s="7"/>
    </row>
    <row r="3" customFormat="false" ht="66.25" hidden="false" customHeight="false" outlineLevel="0" collapsed="false">
      <c r="A3" s="6" t="s">
        <v>14</v>
      </c>
      <c r="B3" s="6" t="s">
        <v>11</v>
      </c>
      <c r="C3" s="6"/>
      <c r="D3" s="6"/>
      <c r="E3" s="6" t="s">
        <v>15</v>
      </c>
      <c r="F3" s="6"/>
      <c r="G3" s="6"/>
      <c r="H3" s="6"/>
      <c r="I3" s="6"/>
      <c r="J3" s="7" t="str">
        <f aca="false">IF(C3="yes",_xlfn.CONCAT($N$3,E3,IF(F3="","","&lt;img src=Images\line.png&gt;"),F3,IF(G3="","","&lt;img src=Images\line.png&gt;"),G3,IF(H3="","","&lt;img src=Images\line.png&gt;"),H3,),_xlfn.CONCAT($M$3,E3,IF(F3="","","&lt;img src=Images\line.png&gt;"),F3,IF(G3="","","&lt;img src=Images\line.png&gt;"),G3,IF(H3="","","&lt;img src=Images\line.png&gt;"),H3,))</f>
        <v>&lt;p style="font-size:14px;"&gt;&lt;br&gt;&lt;i&gt;Melee Attack -&lt;/i&gt;&lt;b&gt; 1000 Cuts: &lt;/b&gt;2 AP&lt;br&gt;Damage = 3 , close range.&lt;br&gt;Critical options:&lt;br&gt;&lt;b&gt;Flurry:&lt;/b&gt;Your next attack costs 1 less AP.&lt;br&gt;&lt;b&gt;Strike:&lt;/b&gt; +1 Damage.</v>
      </c>
      <c r="M3" s="0" t="s">
        <v>16</v>
      </c>
      <c r="N3" s="0" t="s">
        <v>17</v>
      </c>
    </row>
    <row r="4" customFormat="false" ht="77.1" hidden="false" customHeight="false" outlineLevel="0" collapsed="false">
      <c r="A4" s="6" t="s">
        <v>18</v>
      </c>
      <c r="B4" s="6" t="s">
        <v>11</v>
      </c>
      <c r="C4" s="6"/>
      <c r="D4" s="6"/>
      <c r="E4" s="6" t="s">
        <v>19</v>
      </c>
      <c r="F4" s="6" t="s">
        <v>20</v>
      </c>
      <c r="G4" s="6"/>
      <c r="H4" s="6"/>
      <c r="I4" s="6"/>
      <c r="J4" s="7"/>
    </row>
    <row r="5" customFormat="false" ht="44.55" hidden="false" customHeight="false" outlineLevel="0" collapsed="false">
      <c r="A5" s="6" t="s">
        <v>21</v>
      </c>
      <c r="B5" s="6" t="s">
        <v>11</v>
      </c>
      <c r="C5" s="6"/>
      <c r="D5" s="6"/>
      <c r="E5" s="6" t="s">
        <v>22</v>
      </c>
      <c r="F5" s="6" t="s">
        <v>23</v>
      </c>
      <c r="G5" s="6"/>
      <c r="H5" s="6"/>
      <c r="I5" s="6"/>
      <c r="J5" s="7" t="str">
        <f aca="false">IF(C5="yes",_xlfn.CONCAT($N$3,E5,IF(F5="","","&lt;img src=Images\line.png&gt;"),F5,IF(G5="","","&lt;img src=Images\line.png&gt;"),G5,IF(H5="","","&lt;img src=Images\line.png&gt;"),H5,),_xlfn.CONCAT($M$3,E5,IF(F5="","","&lt;img src=Images\line.png&gt;"),F5,IF(G5="","","&lt;img src=Images\line.png&gt;"),G5,IF(H5="","","&lt;img src=Images\line.png&gt;"),H5,))</f>
        <v>&lt;p style="font-size:14px;"&gt;&lt;br&gt;&lt;b&gt;Fly: &lt;/b&gt;1 AP or  weirdT&lt;br&gt;Make a move action with + 1 speed, ignore terrain during this move (within reason).&lt;img src=Images\line.png&gt;&lt;b&gt;Chirp Tune: &lt;/b&gt;2 AP&lt;br&gt;You and any number of target allies each gain up to 3 temporary composure.</v>
      </c>
    </row>
    <row r="6" customFormat="false" ht="55.4" hidden="false" customHeight="false" outlineLevel="0" collapsed="false">
      <c r="A6" s="6" t="s">
        <v>24</v>
      </c>
      <c r="B6" s="6" t="s">
        <v>11</v>
      </c>
      <c r="C6" s="6"/>
      <c r="D6" s="6"/>
      <c r="E6" s="6" t="s">
        <v>25</v>
      </c>
      <c r="F6" s="6" t="s">
        <v>26</v>
      </c>
      <c r="G6" s="6"/>
      <c r="H6" s="6"/>
      <c r="I6" s="6"/>
      <c r="J6" s="7" t="str">
        <f aca="false">IF(C6="yes",_xlfn.CONCAT($N$3,E6,IF(F6="","","&lt;img src=Images\line.png&gt;"),F6,IF(G6="","","&lt;img src=Images\line.png&gt;"),G6,IF(H6="","","&lt;img src=Images\line.png&gt;"),H6,),_xlfn.CONCAT($M$3,E6,IF(F6="","","&lt;img src=Images\line.png&gt;"),F6,IF(G6="","","&lt;img src=Images\line.png&gt;"),G6,IF(H6="","","&lt;img src=Images\line.png&gt;"),H6,))</f>
        <v>&lt;p style="font-size:14px;"&gt;&lt;br&gt;&lt;b&gt;Coat in Clay: &lt;/b&gt;1 AP +  weirdT&lt;br&gt;A target gains up to 4 temporary composure and -2 speed until the end of their next turn.&lt;img src=Images\line.png&gt;&lt;i&gt;Passive -&lt;b&gt; Spreading clay: &lt;/i&gt;&lt;/b&gt;&lt;br&gt;Whenever you spend weirdt, gain up to 1 temporary composure.</v>
      </c>
    </row>
    <row r="7" customFormat="false" ht="66.25" hidden="false" customHeight="false" outlineLevel="0" collapsed="false">
      <c r="A7" s="6" t="s">
        <v>27</v>
      </c>
      <c r="B7" s="6" t="s">
        <v>11</v>
      </c>
      <c r="C7" s="6"/>
      <c r="D7" s="6"/>
      <c r="E7" s="6" t="s">
        <v>28</v>
      </c>
      <c r="F7" s="6" t="s">
        <v>29</v>
      </c>
      <c r="G7" s="6"/>
      <c r="H7" s="6"/>
      <c r="I7" s="6"/>
      <c r="J7" s="7" t="str">
        <f aca="false">IF(C7="yes",_xlfn.CONCAT($N$3,E7,IF(F7="","","&lt;img src=Images\line.png&gt;"),F7,IF(G7="","","&lt;img src=Images\line.png&gt;"),G7,IF(H7="","","&lt;img src=Images\line.png&gt;"),H7,),_xlfn.CONCAT($M$3,E7,IF(F7="","","&lt;img src=Images\line.png&gt;"),F7,IF(G7="","","&lt;img src=Images\line.png&gt;"),G7,IF(H7="","","&lt;img src=Images\line.png&gt;"),H7,))</f>
        <v>&lt;p style="font-size:14px;"&gt;&lt;br&gt;&lt;i&gt;Passive -&lt;b&gt; Autonomous Limb: &lt;/i&gt;&lt;/b&gt;&lt;br&gt;At the end of your turn, this limb makes an attack for free, it will attack you if there are no other targets available.&lt;img src=Images\line.png&gt;&lt;i&gt;Melee Attack -&lt;/i&gt;&lt;b&gt; Flail:&lt;/b&gt;&lt;br&gt;Damage = 4 , close range.</v>
      </c>
    </row>
    <row r="8" customFormat="false" ht="55.4" hidden="false" customHeight="false" outlineLevel="0" collapsed="false">
      <c r="A8" s="6" t="s">
        <v>30</v>
      </c>
      <c r="B8" s="6" t="s">
        <v>11</v>
      </c>
      <c r="C8" s="6"/>
      <c r="D8" s="6"/>
      <c r="E8" s="6" t="s">
        <v>31</v>
      </c>
      <c r="F8" s="6"/>
      <c r="G8" s="6"/>
      <c r="H8" s="6"/>
      <c r="I8" s="6"/>
      <c r="J8" s="7" t="str">
        <f aca="false">IF(C8="yes",_xlfn.CONCAT($N$3,E8,IF(F8="","","&lt;img src=Images\line.png&gt;"),F8,IF(G8="","","&lt;img src=Images\line.png&gt;"),G8,IF(H8="","","&lt;img src=Images\line.png&gt;"),H8,),_xlfn.CONCAT($M$3,E8,IF(F8="","","&lt;img src=Images\line.png&gt;"),F8,IF(G8="","","&lt;img src=Images\line.png&gt;"),G8,IF(H8="","","&lt;img src=Images\line.png&gt;"),H8,))</f>
        <v>&lt;p style="font-size:14px;"&gt;&lt;br&gt;Whenever you spend weirdt, deal 1 damage to any target. This damage cannot be reduced.</v>
      </c>
      <c r="K8" s="0" t="s">
        <v>32</v>
      </c>
    </row>
    <row r="9" customFormat="false" ht="77.1" hidden="false" customHeight="false" outlineLevel="0" collapsed="false">
      <c r="A9" s="6" t="s">
        <v>33</v>
      </c>
      <c r="B9" s="6" t="s">
        <v>11</v>
      </c>
      <c r="C9" s="6"/>
      <c r="D9" s="6"/>
      <c r="E9" s="6" t="s">
        <v>34</v>
      </c>
      <c r="F9" s="6" t="s">
        <v>35</v>
      </c>
      <c r="G9" s="6"/>
      <c r="H9" s="6"/>
      <c r="I9" s="6"/>
      <c r="J9" s="7" t="str">
        <f aca="false">IF(C9="yes",_xlfn.CONCAT($N$3,E9,IF(F9="","","&lt;img src=Images\line.png&gt;"),F9,IF(G9="","","&lt;img src=Images\line.png&gt;"),G9,IF(H9="","","&lt;img src=Images\line.png&gt;"),H9,),_xlfn.CONCAT($M$3,E9,IF(F9="","","&lt;img src=Images\line.png&gt;"),F9,IF(G9="","","&lt;img src=Images\line.png&gt;"),G9,IF(H9="","","&lt;img src=Images\line.png&gt;"),H9,))</f>
        <v>&lt;p style="font-size:14px;"&gt;&lt;br&gt;&lt;b&gt;Embed: &lt;/b&gt;weirdT&lt;br&gt;Place a 1 hex crystal on an adjacent hex. The crystal breaks if it takes damage.&lt;img src=Images\line.png&gt;&lt;i&gt;Passive -&lt;b&gt; Radiance: &lt;/b&gt;&lt;/i&gt;&lt;br&gt;At the end of your turn, if you are adjacent to a crystal, choose one of the following status effects to gain:&lt;br&gt;&lt;b&gt;Monstrous, Well Rested, Imbued.</v>
      </c>
      <c r="K9" s="0" t="s">
        <v>36</v>
      </c>
    </row>
    <row r="10" customFormat="false" ht="55.4" hidden="false" customHeight="false" outlineLevel="0" collapsed="false">
      <c r="A10" s="6" t="s">
        <v>37</v>
      </c>
      <c r="B10" s="6" t="s">
        <v>11</v>
      </c>
      <c r="C10" s="6"/>
      <c r="D10" s="6"/>
      <c r="E10" s="6" t="s">
        <v>38</v>
      </c>
      <c r="F10" s="6" t="s">
        <v>39</v>
      </c>
      <c r="G10" s="6"/>
      <c r="H10" s="6"/>
      <c r="I10" s="6"/>
      <c r="J10" s="7" t="str">
        <f aca="false">IF(C10="yes",_xlfn.CONCAT($N$3,E10,IF(F10="","","&lt;img src=Images\line.png&gt;"),F10,IF(G10="","","&lt;img src=Images\line.png&gt;"),G10,IF(H10="","","&lt;img src=Images\line.png&gt;"),H10,),_xlfn.CONCAT($M$3,E10,IF(F10="","","&lt;img src=Images\line.png&gt;"),F10,IF(G10="","","&lt;img src=Images\line.png&gt;"),G10,IF(H10="","","&lt;img src=Images\line.png&gt;"),H10,))</f>
        <v>&lt;p style="font-size:14px;"&gt;&lt;br&gt;&lt;i&gt;Melee Attack -&lt;/i&gt;&lt;b&gt; Thwack: &lt;/b&gt;1 AP&lt;br&gt;Damage = 1 , close range.&lt;br&gt;Critical Options:&lt;br&gt;&lt;b&gt;Omen:&lt;/b&gt; Inflict the &lt;b&gt;Cursed&lt;/b&gt; status effect.&lt;img src=Images\line.png&gt;&lt;i&gt;Reaction - &lt;/i&gt;&lt;b&gt;Block:&lt;/b&gt; 1 AP&lt;br&gt;Destroy this card to completely block an incoming attack.</v>
      </c>
      <c r="K10" s="0" t="s">
        <v>40</v>
      </c>
    </row>
    <row r="11" customFormat="false" ht="66.25" hidden="false" customHeight="false" outlineLevel="0" collapsed="false">
      <c r="A11" s="6" t="s">
        <v>41</v>
      </c>
      <c r="B11" s="6" t="s">
        <v>11</v>
      </c>
      <c r="C11" s="6"/>
      <c r="D11" s="6"/>
      <c r="E11" s="6" t="s">
        <v>42</v>
      </c>
      <c r="F11" s="6" t="s">
        <v>43</v>
      </c>
      <c r="G11" s="6"/>
      <c r="H11" s="6"/>
      <c r="I11" s="6"/>
      <c r="J11" s="7" t="str">
        <f aca="false">IF(C11="yes",_xlfn.CONCAT($N$3,E11,IF(F11="","","&lt;img src=Images\line.png&gt;"),F11,IF(G11="","","&lt;img src=Images\line.png&gt;"),G11,IF(H11="","","&lt;img src=Images\line.png&gt;"),H11,),_xlfn.CONCAT($M$3,E11,IF(F11="","","&lt;img src=Images\line.png&gt;"),F11,IF(G11="","","&lt;img src=Images\line.png&gt;"),G11,IF(H11="","","&lt;img src=Images\line.png&gt;"),H11,))</f>
        <v>&lt;p style="font-size:14px;"&gt;&lt;br&gt;&lt;i&gt;Melee Attack -&lt;/i&gt; &lt;b&gt;Flay:&lt;/b&gt; 2 AP&lt;br&gt;Damage = 3 , close range.&lt;br&gt;Critical Options:&lt;br&gt;&lt;b&gt;Burn:&lt;/b&gt; Inflict the &lt;b&gt;Burning&lt;/b&gt; status effect.&lt;img src=Images\line.png&gt;&lt;b&gt;Stoke the Flames:&lt;/b&gt; WeirdT&lt;br&gt;Your attacks this turn inflict the &lt;b&gt;Burning&lt;/b&gt; status effect on a hit and have + 1 range</v>
      </c>
    </row>
    <row r="12" customFormat="false" ht="44.55" hidden="false" customHeight="false" outlineLevel="0" collapsed="false">
      <c r="A12" s="6" t="s">
        <v>44</v>
      </c>
      <c r="B12" s="6" t="s">
        <v>11</v>
      </c>
      <c r="C12" s="6"/>
      <c r="D12" s="6"/>
      <c r="E12" s="6" t="s">
        <v>45</v>
      </c>
      <c r="F12" s="6"/>
      <c r="G12" s="6"/>
      <c r="H12" s="6"/>
      <c r="I12" s="6"/>
      <c r="J12" s="7" t="str">
        <f aca="false">IF(C12="yes",_xlfn.CONCAT($N$3,E12,IF(F12="","","&lt;img src=Images\line.png&gt;"),F12,IF(G12="","","&lt;img src=Images\line.png&gt;"),G12,IF(H12="","","&lt;img src=Images\line.png&gt;"),H12,),_xlfn.CONCAT($M$3,E12,IF(F12="","","&lt;img src=Images\line.png&gt;"),F12,IF(G12="","","&lt;img src=Images\line.png&gt;"),G12,IF(H12="","","&lt;img src=Images\line.png&gt;"),H12,))</f>
        <v>&lt;p style="font-size:14px;"&gt;&lt;br&gt;&lt;b&gt;Read the Runes:&lt;/b&gt; weirdT&lt;br&gt;Target being has half speed until the start of your next turn. (each tile moved costs 2)</v>
      </c>
    </row>
    <row r="13" customFormat="false" ht="66.25" hidden="false" customHeight="false" outlineLevel="0" collapsed="false">
      <c r="A13" s="6" t="s">
        <v>46</v>
      </c>
      <c r="B13" s="6" t="s">
        <v>11</v>
      </c>
      <c r="C13" s="6"/>
      <c r="D13" s="6" t="s">
        <v>47</v>
      </c>
      <c r="E13" s="6" t="s">
        <v>48</v>
      </c>
      <c r="F13" s="6" t="s">
        <v>49</v>
      </c>
      <c r="G13" s="6"/>
      <c r="H13" s="6"/>
      <c r="I13" s="6"/>
      <c r="J13" s="7" t="str">
        <f aca="false">IF(C13="yes",_xlfn.CONCAT($N$3,E13,IF(F13="","","&lt;img src=Images\line.png&gt;"),F13,IF(G13="","","&lt;img src=Images\line.png&gt;"),G13,IF(H13="","","&lt;img src=Images\line.png&gt;"),H13,),_xlfn.CONCAT($M$3,E13,IF(F13="","","&lt;img src=Images\line.png&gt;"),F13,IF(G13="","","&lt;img src=Images\line.png&gt;"),G13,IF(H13="","","&lt;img src=Images\line.png&gt;"),H13,))</f>
        <v>&lt;p style="font-size:14px;"&gt;&lt;br&gt;&lt;b&gt;Puffball:&lt;/b&gt; 1 AP + (chargeT or  weirdT)&lt;br&gt;Place a puffball on an adjacent hex.&lt;img src=Images\line.png&gt;&lt;i&gt;Reaction - &lt;/i&gt;&lt;b&gt;Detonate&lt;/b&gt;&lt;br&gt;All Puffballs on the map explode, adjacent beings take 5 damage and terrain is destroyed, including walls.</v>
      </c>
    </row>
    <row r="14" customFormat="false" ht="55.4" hidden="false" customHeight="false" outlineLevel="0" collapsed="false">
      <c r="A14" s="6" t="s">
        <v>50</v>
      </c>
      <c r="B14" s="6" t="s">
        <v>11</v>
      </c>
      <c r="C14" s="6"/>
      <c r="D14" s="6"/>
      <c r="E14" s="6" t="s">
        <v>51</v>
      </c>
      <c r="F14" s="6"/>
      <c r="G14" s="6"/>
      <c r="H14" s="6"/>
      <c r="I14" s="6"/>
      <c r="J14" s="7" t="str">
        <f aca="false">IF(C14="yes",_xlfn.CONCAT($N$3,E14,IF(F14="","","&lt;img src=Images\line.png&gt;"),F14,IF(G14="","","&lt;img src=Images\line.png&gt;"),G14,IF(H14="","","&lt;img src=Images\line.png&gt;"),H14,),_xlfn.CONCAT($M$3,E14,IF(F14="","","&lt;img src=Images\line.png&gt;"),F14,IF(G14="","","&lt;img src=Images\line.png&gt;"),G14,IF(H14="","","&lt;img src=Images\line.png&gt;"),H14,))</f>
        <v>&lt;p style="font-size:14px;"&gt;&lt;br&gt;&lt;i&gt;Reaction -&lt;/i&gt;&lt;b&gt; Burst Block&lt;/b&gt;&lt;br&gt;Destroy this card to completely block an incoming attack and deal 5 damage to all adjacent beings.</v>
      </c>
    </row>
    <row r="15" customFormat="false" ht="87.95" hidden="false" customHeight="false" outlineLevel="0" collapsed="false">
      <c r="A15" s="6" t="s">
        <v>52</v>
      </c>
      <c r="B15" s="6" t="s">
        <v>11</v>
      </c>
      <c r="C15" s="6"/>
      <c r="D15" s="6"/>
      <c r="E15" s="6" t="s">
        <v>53</v>
      </c>
      <c r="F15" s="6"/>
      <c r="G15" s="6"/>
      <c r="H15" s="6"/>
      <c r="I15" s="6"/>
      <c r="J15" s="7" t="str">
        <f aca="false">IF(C15="yes",_xlfn.CONCAT($N$3,E15,IF(F15="","","&lt;img src=Images\line.png&gt;"),F15,IF(G15="","","&lt;img src=Images\line.png&gt;"),G15,IF(H15="","","&lt;img src=Images\line.png&gt;"),H15,),_xlfn.CONCAT($M$3,E15,IF(F15="","","&lt;img src=Images\line.png&gt;"),F15,IF(G15="","","&lt;img src=Images\line.png&gt;"),G15,IF(H15="","","&lt;img src=Images\line.png&gt;"),H15,))</f>
        <v>&lt;p style="font-size:14px;"&gt;&lt;br&gt;&lt;i&gt;Melee Attack - &lt;/i&gt;&lt;b&gt;Crush:&lt;/b&gt; 4 AP or (2 AP + fleshTfleshT)&lt;br&gt;Damage = 8 , close range.&lt;br&gt;Critical Options:&lt;b&gt;&lt;br&gt;Concuss:&lt;/b&gt; Inflict the &lt;b&gt;Stunned&lt;/b&gt; status effect.</v>
      </c>
    </row>
    <row r="16" customFormat="false" ht="66.25" hidden="false" customHeight="false" outlineLevel="0" collapsed="false">
      <c r="A16" s="6" t="s">
        <v>54</v>
      </c>
      <c r="B16" s="6" t="s">
        <v>11</v>
      </c>
      <c r="C16" s="6"/>
      <c r="D16" s="6"/>
      <c r="E16" s="6" t="s">
        <v>55</v>
      </c>
      <c r="F16" s="6" t="s">
        <v>56</v>
      </c>
      <c r="G16" s="6"/>
      <c r="H16" s="6"/>
      <c r="I16" s="6"/>
      <c r="J16" s="7" t="str">
        <f aca="false">IF(C16="yes",_xlfn.CONCAT($N$3,E16,IF(F16="","","&lt;img src=Images\line.png&gt;"),F16,IF(G16="","","&lt;img src=Images\line.png&gt;"),G16,IF(H16="","","&lt;img src=Images\line.png&gt;"),H16,),_xlfn.CONCAT($M$3,E16,IF(F16="","","&lt;img src=Images\line.png&gt;"),F16,IF(G16="","","&lt;img src=Images\line.png&gt;"),G16,IF(H16="","","&lt;img src=Images\line.png&gt;"),H16,))</f>
        <v>&lt;p style="font-size:14px;"&gt;&lt;br&gt;&lt;i&gt;Melee Attack - &lt;/i&gt;&lt;b&gt;Bludgeon:&lt;/b&gt; 3 AP&lt;br&gt;Damage = 6 , close range.&lt;img src=Images\line.png&gt;&lt;i&gt;Melee Attack - &lt;/i&gt;&lt;b&gt;Whelm:&lt;/b&gt; 2 AP + weirdT&lt;br&gt;Damage = 3 , close range.&lt;br&gt;Inflicts the &lt;b&gt;Entangled&lt;/b&gt; status effect on a hit.</v>
      </c>
    </row>
    <row r="17" customFormat="false" ht="87.95" hidden="false" customHeight="false" outlineLevel="0" collapsed="false">
      <c r="A17" s="6" t="s">
        <v>57</v>
      </c>
      <c r="B17" s="6" t="s">
        <v>11</v>
      </c>
      <c r="C17" s="6" t="s">
        <v>58</v>
      </c>
      <c r="D17" s="6"/>
      <c r="E17" s="8" t="s">
        <v>59</v>
      </c>
      <c r="F17" s="8" t="s">
        <v>60</v>
      </c>
      <c r="G17" s="6"/>
      <c r="H17" s="6"/>
      <c r="I17" s="6"/>
      <c r="J17" s="7" t="str">
        <f aca="false">IF(C17="yes",_xlfn.CONCAT($N$3,E17,IF(F17="","","&lt;img src=Images\line.png&gt;"),F17,IF(G17="","","&lt;img src=Images\line.png&gt;"),G17,IF(H17="","","&lt;img src=Images\line.png&gt;"),H17,),_xlfn.CONCAT($M$3,E17,IF(F17="","","&lt;img src=Images\line.png&gt;"),F17,IF(G17="","","&lt;img src=Images\line.png&gt;"),G17,IF(H17="","","&lt;img src=Images\line.png&gt;"),H17,))</f>
        <v>&lt;p style="font-size:12px;"&gt;&lt;br&gt;&lt;i&gt;Melee Attack -&lt;/i&gt;&lt;b&gt; Charge!:&lt;/b&gt; 3 AP or 2 AP +jazzT&lt;br&gt;Damage = hexes moved , close range.&lt;br&gt;You may move any number of hexes in a straight line as part of making the attack. &lt;br&gt;hornshexes&lt;img src=Images\line.png&gt;&lt;i&gt;Melee Attack -&lt;/i&gt;&lt;b&gt; Shove :&lt;/b&gt; 1 AP +fleshT&lt;br&gt;Damage = 2 , close range.&lt;br&gt;On a hit, the target is pushed back hexes equal to your &lt;span style="color:#e74c3c"&gt;&lt;strong&gt;Flesh&lt;/strong&gt;&lt;/span&gt;.</v>
      </c>
    </row>
    <row r="18" customFormat="false" ht="77.1" hidden="false" customHeight="false" outlineLevel="0" collapsed="false">
      <c r="A18" s="6" t="s">
        <v>61</v>
      </c>
      <c r="B18" s="6" t="s">
        <v>11</v>
      </c>
      <c r="C18" s="6"/>
      <c r="D18" s="6"/>
      <c r="E18" s="6" t="s">
        <v>62</v>
      </c>
      <c r="F18" s="6" t="s">
        <v>63</v>
      </c>
      <c r="G18" s="6"/>
      <c r="H18" s="6"/>
      <c r="I18" s="6"/>
      <c r="J18" s="7" t="str">
        <f aca="false">IF(C18="yes",_xlfn.CONCAT($N$3,E18,IF(F18="","","&lt;img src=Images\line.png&gt;"),F18,IF(G18="","","&lt;img src=Images\line.png&gt;"),G18,IF(H18="","","&lt;img src=Images\line.png&gt;"),H18,),_xlfn.CONCAT($M$3,E18,IF(F18="","","&lt;img src=Images\line.png&gt;"),F18,IF(G18="","","&lt;img src=Images\line.png&gt;"),G18,IF(H18="","","&lt;img src=Images\line.png&gt;"),H18,))</f>
        <v>&lt;p style="font-size:14px;"&gt;&lt;br&gt;&lt;i&gt;Melee Attack -&lt;/i&gt;&lt;b&gt; Nip:&lt;/b&gt; 2 AP&lt;br&gt;Damage = &lt;span style="color:#e74c3c"&gt;&lt;strong&gt;Flesh&lt;/strong&gt;&lt;/span&gt; , close range.&lt;br&gt;Critical Option:&lt;br&gt;&lt;b&gt;Restrain: &lt;/b&gt;Inflict the &lt;b&gt;Entangled&lt;/b&gt; status effect.&lt;img src=Images\line.png&gt;&lt;i&gt;Reaction - &lt;/i&gt;&lt;b&gt;Block: &lt;/b&gt;1 AP&lt;br&gt;Destroy this card to completely block an incoming attack.</v>
      </c>
    </row>
    <row r="19" customFormat="false" ht="77.1" hidden="false" customHeight="false" outlineLevel="0" collapsed="false">
      <c r="A19" s="6" t="s">
        <v>64</v>
      </c>
      <c r="B19" s="6" t="s">
        <v>11</v>
      </c>
      <c r="C19" s="6"/>
      <c r="D19" s="6"/>
      <c r="E19" s="6" t="s">
        <v>65</v>
      </c>
      <c r="F19" s="6" t="s">
        <v>66</v>
      </c>
      <c r="G19" s="6"/>
      <c r="H19" s="6"/>
      <c r="I19" s="6"/>
      <c r="J19" s="7" t="str">
        <f aca="false">IF(C19="yes",_xlfn.CONCAT($N$3,E19,IF(F19="","","&lt;img src=Images\line.png&gt;"),F19,IF(G19="","","&lt;img src=Images\line.png&gt;"),G19,IF(H19="","","&lt;img src=Images\line.png&gt;"),H19,),_xlfn.CONCAT($M$3,E19,IF(F19="","","&lt;img src=Images\line.png&gt;"),F19,IF(G19="","","&lt;img src=Images\line.png&gt;"),G19,IF(H19="","","&lt;img src=Images\line.png&gt;"),H19,))</f>
        <v>&lt;p style="font-size:14px;"&gt;&lt;br&gt;&lt;i&gt;Melee Attack -&lt;/i&gt;&lt;b&gt; Bite:&lt;/b&gt; 2 AP&lt;br&gt;Damage = 4 , close range.&lt;br&gt;Critical Option:&lt;br&gt;&lt;b&gt;Exalt:&lt;/b&gt; Restore your composure or gain up to 2 temporary composure.&lt;img src=Images\line.png&gt;&lt;i&gt;Ranged Attack -&lt;/i&gt;&lt;b&gt; Phage: &lt;/b&gt;2 AP&lt;br&gt;Damage = 7 &lt;br&gt;Throw this limb at your target as part of the attack, regardless of attack outcome, they now have Hungering Hand equipped .</v>
      </c>
    </row>
    <row r="20" customFormat="false" ht="77.1" hidden="false" customHeight="false" outlineLevel="0" collapsed="false">
      <c r="A20" s="6" t="s">
        <v>67</v>
      </c>
      <c r="B20" s="6" t="s">
        <v>11</v>
      </c>
      <c r="C20" s="6"/>
      <c r="D20" s="6"/>
      <c r="E20" s="6" t="s">
        <v>68</v>
      </c>
      <c r="F20" s="6" t="s">
        <v>69</v>
      </c>
      <c r="G20" s="6" t="s">
        <v>70</v>
      </c>
      <c r="H20" s="6"/>
      <c r="I20" s="6"/>
      <c r="J20" s="7" t="str">
        <f aca="false">IF(C20="yes",_xlfn.CONCAT($N$3,E20,IF(F20="","","&lt;img src=Images\line.png&gt;"),F20,IF(G20="","","&lt;img src=Images\line.png&gt;"),G20,IF(H20="","","&lt;img src=Images\line.png&gt;"),H20,),_xlfn.CONCAT($M$3,E20,IF(F20="","","&lt;img src=Images\line.png&gt;"),F20,IF(G20="","","&lt;img src=Images\line.png&gt;"),G20,IF(H20="","","&lt;img src=Images\line.png&gt;"),H20,))</f>
        <v>&lt;p style="font-size:14px;"&gt;&lt;br&gt;&lt;i&gt;Melee Attack - &lt;/i&gt;&lt;b&gt;Impale: &lt;/b&gt;2 AP&lt;br&gt;Damage = 5 , reach.&lt;br&gt;Must be in lance mode to use.&lt;img src=Images\line.png&gt;&lt;i&gt;Reaction - &lt;/i&gt;&lt;b&gt;Iron Petals: &lt;/b&gt;1 AP&lt;br&gt;Destroy this card to completely block an incoming attack.&lt;br&gt;Must be in flower mode to use.&lt;img src=Images\line.png&gt;&lt;b&gt;Bloom/Wither:&lt;/b&gt; 1 AP&lt;br&gt;Switch this card between lance mode or Flower mode. At the start of the combat Lanceflower Bloom begins in Flower mode.</v>
      </c>
    </row>
    <row r="21" customFormat="false" ht="77.1" hidden="false" customHeight="false" outlineLevel="0" collapsed="false">
      <c r="A21" s="6" t="s">
        <v>71</v>
      </c>
      <c r="B21" s="6" t="s">
        <v>11</v>
      </c>
      <c r="C21" s="6"/>
      <c r="D21" s="6" t="s">
        <v>72</v>
      </c>
      <c r="E21" s="6" t="s">
        <v>73</v>
      </c>
      <c r="F21" s="6" t="s">
        <v>74</v>
      </c>
      <c r="G21" s="6"/>
      <c r="H21" s="6"/>
      <c r="I21" s="6"/>
      <c r="J21" s="7" t="str">
        <f aca="false">IF(C21="yes",_xlfn.CONCAT($N$3,E21,IF(F21="","","&lt;img src=Images\line.png&gt;"),F21,IF(G21="","","&lt;img src=Images\line.png&gt;"),G21,IF(H21="","","&lt;img src=Images\line.png&gt;"),H21,),_xlfn.CONCAT($M$3,E21,IF(F21="","","&lt;img src=Images\line.png&gt;"),F21,IF(G21="","","&lt;img src=Images\line.png&gt;"),G21,IF(H21="","","&lt;img src=Images\line.png&gt;"),H21,))</f>
        <v>&lt;p style="font-size:14px;"&gt;&lt;br&gt;&lt;b&gt;Splinter Trail:&lt;/b&gt; 1 AP + (chargeT or weirdT)&lt;br&gt;For the rest of your turn, leave a conductive trail behind in any hex you move out of.&lt;img src=Images\line.png&gt;&lt;b&gt;Electrify:&lt;/b&gt; 2 AP&lt;br&gt;Electrify an adjacent hex and all connected conductive hexes. All beings electrified take 3 damage. This damage cannot be reduced. Hexes with water are also conductive.</v>
      </c>
    </row>
    <row r="22" customFormat="false" ht="44.55" hidden="false" customHeight="false" outlineLevel="0" collapsed="false">
      <c r="A22" s="6" t="s">
        <v>75</v>
      </c>
      <c r="B22" s="6" t="s">
        <v>11</v>
      </c>
      <c r="C22" s="6"/>
      <c r="D22" s="6"/>
      <c r="E22" s="6" t="s">
        <v>76</v>
      </c>
      <c r="F22" s="6" t="s">
        <v>77</v>
      </c>
      <c r="G22" s="6"/>
      <c r="H22" s="6"/>
      <c r="I22" s="6"/>
      <c r="J22" s="7" t="str">
        <f aca="false">IF(C22="yes",_xlfn.CONCAT($N$3,E22,IF(F22="","","&lt;img src=Images\line.png&gt;"),F22,IF(G22="","","&lt;img src=Images\line.png&gt;"),G22,IF(H22="","","&lt;img src=Images\line.png&gt;"),H22,),_xlfn.CONCAT($M$3,E22,IF(F22="","","&lt;img src=Images\line.png&gt;"),F22,IF(G22="","","&lt;img src=Images\line.png&gt;"),G22,IF(H22="","","&lt;img src=Images\line.png&gt;"),H22,))</f>
        <v>&lt;p style="font-size:14px;"&gt;&lt;br&gt;&lt;i&gt;Melee Attack -&lt;/i&gt;&lt;b&gt; Gnaw:&lt;/b&gt; 1 AP&lt;br&gt;Damage = 1 , close range.&lt;br&gt;This attack always hits, do not roll.&lt;img src=Images\line.png&gt;il</v>
      </c>
    </row>
    <row r="23" customFormat="false" ht="66.25" hidden="false" customHeight="false" outlineLevel="0" collapsed="false">
      <c r="A23" s="6" t="s">
        <v>78</v>
      </c>
      <c r="B23" s="6" t="s">
        <v>11</v>
      </c>
      <c r="C23" s="6"/>
      <c r="D23" s="6"/>
      <c r="E23" s="6" t="s">
        <v>79</v>
      </c>
      <c r="F23" s="6" t="s">
        <v>80</v>
      </c>
      <c r="G23" s="6"/>
      <c r="H23" s="6"/>
      <c r="I23" s="6"/>
      <c r="J23" s="7" t="str">
        <f aca="false">IF(C23="yes",_xlfn.CONCAT($N$3,E23,IF(F23="","","&lt;img src=Images\line.png&gt;"),F23,IF(G23="","","&lt;img src=Images\line.png&gt;"),G23,IF(H23="","","&lt;img src=Images\line.png&gt;"),H23,),_xlfn.CONCAT($M$3,E23,IF(F23="","","&lt;img src=Images\line.png&gt;"),F23,IF(G23="","","&lt;img src=Images\line.png&gt;"),G23,IF(H23="","","&lt;img src=Images\line.png&gt;"),H23,))</f>
        <v>&lt;p style="font-size:14px;"&gt;&lt;br&gt;&lt;i&gt;Melee Attack -&lt;/i&gt;&lt;b&gt; Nasty Stab:&lt;/b&gt; 3 AP&lt;br&gt;Damage = 6 , close range.&lt;br&gt;Crit options:&lt;br&gt;&lt;b&gt;Armour Piercing:&lt;/b&gt; Ignore damage reduction effects.&lt;br&gt;&lt;b&gt;Strike:&lt;/b&gt; +1 damage.&lt;img src=Images\line.png&gt;&lt;i&gt;Melee Attack - &lt;/i&gt;&lt;b&gt;Lance:&lt;/b&gt; 2 AP&lt;br&gt;Damage = 4 , reach.&lt;br&gt;Crit option:&lt;br&gt;&lt;b&gt;Dash&lt;/b&gt; Take a move action for free.</v>
      </c>
    </row>
    <row r="24" customFormat="false" ht="77.1" hidden="false" customHeight="false" outlineLevel="0" collapsed="false">
      <c r="A24" s="6" t="s">
        <v>81</v>
      </c>
      <c r="B24" s="6" t="s">
        <v>11</v>
      </c>
      <c r="C24" s="6"/>
      <c r="D24" s="6"/>
      <c r="E24" s="6" t="s">
        <v>82</v>
      </c>
      <c r="F24" s="6" t="s">
        <v>83</v>
      </c>
      <c r="G24" s="6"/>
      <c r="H24" s="6"/>
      <c r="I24" s="6"/>
      <c r="J24" s="7" t="str">
        <f aca="false">IF(C24="yes",_xlfn.CONCAT($N$3,E24,IF(F24="","","&lt;img src=Images\line.png&gt;"),F24,IF(G24="","","&lt;img src=Images\line.png&gt;"),G24,IF(H24="","","&lt;img src=Images\line.png&gt;"),H24,),_xlfn.CONCAT($M$3,E24,IF(F24="","","&lt;img src=Images\line.png&gt;"),F24,IF(G24="","","&lt;img src=Images\line.png&gt;"),G24,IF(H24="","","&lt;img src=Images\line.png&gt;"),H24,))</f>
        <v>&lt;p style="font-size:14px;"&gt;&lt;br&gt;&lt;i&gt;Reaction - &lt;/i&gt;&lt;b&gt;Salt in the wound:&lt;/b&gt; 1 AP or weirdT&lt;br&gt;Whenever an adjacent creature takes a wound, you may activate this and inflict the &lt;b&gt;Stunned&lt;/b&gt; status effect on them.&lt;img src=Images\line.png&gt;&lt;i&gt;Passive - &lt;b&gt;Fueled by pain:&lt;/i&gt;&lt;/b&gt;&lt;br&gt;Whenever you take a wound, gain the &lt;b&gt;Well Rested&lt;/b&gt; status effect.</v>
      </c>
    </row>
    <row r="25" customFormat="false" ht="55.4" hidden="false" customHeight="false" outlineLevel="0" collapsed="false">
      <c r="A25" s="6" t="s">
        <v>84</v>
      </c>
      <c r="B25" s="6" t="s">
        <v>11</v>
      </c>
      <c r="C25" s="6"/>
      <c r="D25" s="6"/>
      <c r="E25" s="6" t="s">
        <v>85</v>
      </c>
      <c r="F25" s="6" t="s">
        <v>86</v>
      </c>
      <c r="G25" s="6"/>
      <c r="H25" s="6"/>
      <c r="I25" s="6"/>
      <c r="J25" s="7" t="str">
        <f aca="false">IF(C25="yes",_xlfn.CONCAT($N$3,E25,IF(F25="","","&lt;img src=Images\line.png&gt;"),F25,IF(G25="","","&lt;img src=Images\line.png&gt;"),G25,IF(H25="","","&lt;img src=Images\line.png&gt;"),H25,),_xlfn.CONCAT($M$3,E25,IF(F25="","","&lt;img src=Images\line.png&gt;"),F25,IF(G25="","","&lt;img src=Images\line.png&gt;"),G25,IF(H25="","","&lt;img src=Images\line.png&gt;"),H25,))</f>
        <v>&lt;p style="font-size:14px;"&gt;&lt;br&gt;&lt;i&gt;Melee Attack -&lt;/i&gt; &lt;b&gt;Nip: &lt;/b&gt;2 AP&lt;br&gt;Damage = 3 , close range.&lt;br&gt;Crit option:&lt;br&gt;&lt;b&gt;Strike:&lt;/b&gt; +1 damage.&lt;br&gt;&lt;img src=Images\line.png&gt;&lt;i&gt;Passive - &lt;b&gt; Precise:&lt;/b&gt;&lt;/i&gt;&lt;br&gt;Wounds inflicted by this limb's attacks always target the stat of your choice.</v>
      </c>
    </row>
    <row r="26" customFormat="false" ht="44.55" hidden="false" customHeight="false" outlineLevel="0" collapsed="false">
      <c r="A26" s="6" t="s">
        <v>87</v>
      </c>
      <c r="B26" s="6" t="s">
        <v>11</v>
      </c>
      <c r="C26" s="6"/>
      <c r="D26" s="6"/>
      <c r="E26" s="6" t="s">
        <v>88</v>
      </c>
      <c r="F26" s="6"/>
      <c r="G26" s="6"/>
      <c r="H26" s="6"/>
      <c r="I26" s="6"/>
      <c r="J26" s="7" t="str">
        <f aca="false">IF(C26="yes",_xlfn.CONCAT($N$3,E26,IF(F26="","","&lt;img src=Images\line.png&gt;"),F26,IF(G26="","","&lt;img src=Images\line.png&gt;"),G26,IF(H26="","","&lt;img src=Images\line.png&gt;"),H26,),_xlfn.CONCAT($M$3,E26,IF(F26="","","&lt;img src=Images\line.png&gt;"),F26,IF(G26="","","&lt;img src=Images\line.png&gt;"),G26,IF(H26="","","&lt;img src=Images\line.png&gt;"),H26,))</f>
        <v>&lt;p style="font-size:14px;"&gt;&lt;br&gt;&lt;i&gt;Ranged Attack - &lt;/i&gt;&lt;b&gt;Corrosive spit: &lt;/b&gt;2 AP + weirdT&lt;br&gt;Damage = 4. &lt;br&gt;Ignores damage reduction effects.</v>
      </c>
    </row>
    <row r="27" customFormat="false" ht="77.1" hidden="false" customHeight="false" outlineLevel="0" collapsed="false">
      <c r="A27" s="6" t="s">
        <v>89</v>
      </c>
      <c r="B27" s="6" t="s">
        <v>11</v>
      </c>
      <c r="C27" s="6"/>
      <c r="D27" s="6"/>
      <c r="E27" s="6" t="s">
        <v>90</v>
      </c>
      <c r="F27" s="6" t="s">
        <v>91</v>
      </c>
      <c r="G27" s="6" t="s">
        <v>92</v>
      </c>
      <c r="H27" s="6"/>
      <c r="I27" s="6"/>
      <c r="J27" s="7" t="str">
        <f aca="false">IF(C27="yes",_xlfn.CONCAT($N$3,E27,IF(F27="","","&lt;img src=Images\line.png&gt;"),F27,IF(G27="","","&lt;img src=Images\line.png&gt;"),G27,IF(H27="","","&lt;img src=Images\line.png&gt;"),H27,),_xlfn.CONCAT($M$3,E27,IF(F27="","","&lt;img src=Images\line.png&gt;"),F27,IF(G27="","","&lt;img src=Images\line.png&gt;"),G27,IF(H27="","","&lt;img src=Images\line.png&gt;"),H27,))</f>
        <v>&lt;p style="font-size:14px;"&gt;&lt;br&gt;&lt;i&gt;Melee Attack -&lt;/i&gt;&lt;b&gt; Slam:&lt;/b&gt; 4 AP&lt;br&gt;Damage = 8, close range.&lt;br&gt;&lt;img src=Images\line.png&gt;&lt;b&gt;Wall of Splendor: &lt;/b&gt;1 AP&lt;br&gt;Place the slab down on an adjacent hex, it extends straight on each side to become a three hex wall, if there is space. This wall blocks vision and is indestructable.&lt;img src=Images\line.png&gt;&lt;b&gt;Reclaim: &lt;/b&gt;3 AP or fleshtfleshtfleshT&lt;br&gt;Pick up a deployed painted slab, any adjacent being can do this.</v>
      </c>
    </row>
    <row r="28" customFormat="false" ht="33.7" hidden="false" customHeight="false" outlineLevel="0" collapsed="false">
      <c r="A28" s="6" t="s">
        <v>93</v>
      </c>
      <c r="B28" s="6" t="s">
        <v>11</v>
      </c>
      <c r="C28" s="6"/>
      <c r="D28" s="6"/>
      <c r="E28" s="6" t="s">
        <v>94</v>
      </c>
      <c r="F28" s="6"/>
      <c r="G28" s="6"/>
      <c r="H28" s="6"/>
      <c r="I28" s="6"/>
      <c r="J28" s="7" t="str">
        <f aca="false">IF(C28="yes",_xlfn.CONCAT($N$3,E28,IF(F28="","","&lt;img src=Images\line.png&gt;"),F28,IF(G28="","","&lt;img src=Images\line.png&gt;"),G28,IF(H28="","","&lt;img src=Images\line.png&gt;"),H28,),_xlfn.CONCAT($M$3,E28,IF(F28="","","&lt;img src=Images\line.png&gt;"),F28,IF(G28="","","&lt;img src=Images\line.png&gt;"),G28,IF(H28="","","&lt;img src=Images\line.png&gt;"),H28,))</f>
        <v>&lt;p style="font-size:14px;"&gt;&lt;br&gt;&lt;i&gt;Ranged Attack -&lt;/i&gt;&lt;b&gt; Fling:&lt;/b&gt; 2 AP&lt;br&gt;Damage = 4. &lt;br&gt;You take 1 damage when you use this attack.</v>
      </c>
    </row>
    <row r="29" customFormat="false" ht="66.25" hidden="false" customHeight="false" outlineLevel="0" collapsed="false">
      <c r="A29" s="6" t="s">
        <v>95</v>
      </c>
      <c r="B29" s="6" t="s">
        <v>11</v>
      </c>
      <c r="C29" s="6"/>
      <c r="D29" s="6"/>
      <c r="E29" s="6" t="s">
        <v>96</v>
      </c>
      <c r="F29" s="6" t="s">
        <v>97</v>
      </c>
      <c r="G29" s="6"/>
      <c r="H29" s="6"/>
      <c r="I29" s="6"/>
      <c r="J29" s="7" t="str">
        <f aca="false">IF(C29="yes",_xlfn.CONCAT($N$3,E29,IF(F29="","","&lt;img src=Images\line.png&gt;"),F29,IF(G29="","","&lt;img src=Images\line.png&gt;"),G29,IF(H29="","","&lt;img src=Images\line.png&gt;"),H29,),_xlfn.CONCAT($M$3,E29,IF(F29="","","&lt;img src=Images\line.png&gt;"),F29,IF(G29="","","&lt;img src=Images\line.png&gt;"),G29,IF(H29="","","&lt;img src=Images\line.png&gt;"),H29,))</f>
        <v>&lt;p style="font-size:14px;"&gt;&lt;br&gt;&lt;b&gt;Embed:&lt;/b&gt; weirdt&lt;br&gt;Place a 1 hex sized heartstone on an adjacent hex. It will break if it takes damage.&lt;img src=Images\line.png&gt;&lt;i&gt;Passive - &lt;b&gt; Living Rythm:&lt;/i&gt;&lt;/b&gt;&lt;br&gt;While there is at least 1 heartstone on the map, you gain up to 3 temporary composure at the end of your turn.</v>
      </c>
    </row>
    <row r="30" customFormat="false" ht="55.4" hidden="false" customHeight="false" outlineLevel="0" collapsed="false">
      <c r="A30" s="6" t="s">
        <v>98</v>
      </c>
      <c r="B30" s="6" t="s">
        <v>11</v>
      </c>
      <c r="C30" s="6"/>
      <c r="D30" s="6" t="s">
        <v>99</v>
      </c>
      <c r="E30" s="6" t="s">
        <v>100</v>
      </c>
      <c r="F30" s="6" t="s">
        <v>101</v>
      </c>
      <c r="G30" s="6"/>
      <c r="H30" s="6"/>
      <c r="I30" s="6"/>
      <c r="J30" s="7" t="str">
        <f aca="false">IF(C30="yes",_xlfn.CONCAT($N$3,E30,IF(F30="","","&lt;img src=Images\line.png&gt;"),F30,IF(G30="","","&lt;img src=Images\line.png&gt;"),G30,IF(H30="","","&lt;img src=Images\line.png&gt;"),H30,),_xlfn.CONCAT($M$3,E30,IF(F30="","","&lt;img src=Images\line.png&gt;"),F30,IF(G30="","","&lt;img src=Images\line.png&gt;"),G30,IF(H30="","","&lt;img src=Images\line.png&gt;"),H30,))</f>
        <v>&lt;p style="font-size:14px;"&gt;&lt;br&gt;&lt;i&gt;Ranged Attack - &lt;/i&gt;&lt;b&gt;Throw: &lt;/b&gt;1 AP + charget&lt;br&gt;Damage = &lt;span style="color:#e74c3c"&gt;&lt;strong&gt;Flesh&lt;/strong&gt;&lt;/span&gt;.&lt;img src=Images\line.png&gt;&lt;b&gt;Rummage:&lt;/b&gt; 3 AP + fleshT&lt;br&gt;Recharge this item.</v>
      </c>
    </row>
    <row r="31" customFormat="false" ht="55.4" hidden="false" customHeight="false" outlineLevel="0" collapsed="false">
      <c r="A31" s="6" t="s">
        <v>102</v>
      </c>
      <c r="B31" s="6" t="s">
        <v>11</v>
      </c>
      <c r="C31" s="6"/>
      <c r="D31" s="6"/>
      <c r="E31" s="6" t="s">
        <v>103</v>
      </c>
      <c r="F31" s="6" t="s">
        <v>104</v>
      </c>
      <c r="G31" s="6"/>
      <c r="H31" s="6"/>
      <c r="I31" s="6"/>
      <c r="J31" s="7" t="str">
        <f aca="false">IF(C31="yes",_xlfn.CONCAT($N$3,E31,IF(F31="","","&lt;img src=Images\line.png&gt;"),F31,IF(G31="","","&lt;img src=Images\line.png&gt;"),G31,IF(H31="","","&lt;img src=Images\line.png&gt;"),H31,),_xlfn.CONCAT($M$3,E31,IF(F31="","","&lt;img src=Images\line.png&gt;"),F31,IF(G31="","","&lt;img src=Images\line.png&gt;"),G31,IF(H31="","","&lt;img src=Images\line.png&gt;"),H31,))</f>
        <v>&lt;p style="font-size:14px;"&gt;&lt;br&gt;&lt;i&gt;Melee Attack -&lt;/i&gt; &lt;b&gt;Thump: &lt;/b&gt;2 AP&lt;br&gt;Damage =4, close range.&lt;br&gt;Crit Option:&lt;br&gt;&lt;b&gt;Concuss:&lt;/b&gt; Inflict the &lt;b&gt;Stunned&lt;/b&gt; status effect.&lt;img src=Images\line.png&gt;&lt;b&gt;Dig:&lt;/b&gt; 1 AP or fleshT&lt;br&gt;Clear an adjacent hex of any player generated terrain features.</v>
      </c>
    </row>
    <row r="32" customFormat="false" ht="55.4" hidden="false" customHeight="false" outlineLevel="0" collapsed="false">
      <c r="A32" s="6" t="s">
        <v>105</v>
      </c>
      <c r="B32" s="6" t="s">
        <v>11</v>
      </c>
      <c r="C32" s="6"/>
      <c r="D32" s="6"/>
      <c r="E32" s="6" t="s">
        <v>106</v>
      </c>
      <c r="F32" s="6"/>
      <c r="G32" s="6"/>
      <c r="H32" s="6"/>
      <c r="I32" s="6"/>
      <c r="J32" s="7" t="str">
        <f aca="false">_xlfn.CONCAT(M$3,E32,IF(F32="","","&lt;img src=Images\line.png&gt;"),F32,IF(G32="","","&lt;img src=Images\line.png&gt;"),G32,IF(H32="","","&lt;img src=Images\line.png&gt;"),H32,)</f>
        <v>&lt;p style="font-size:14px;"&gt;&lt;br&gt;&lt;i&gt;Ranged Attack&lt;/i&gt; -&lt;b&gt; Yoink:&lt;/b&gt; 1 AP&lt;br&gt;Damage = 0.&lt;br&gt;Pull the target to an adjacent hex on a hit&lt;br&gt;Crit Option:&lt;br&gt;&lt;b&gt;Entangle:&lt;/b&gt; Inflict the &lt;b&gt;Entangled&lt;/b&gt; status effect.</v>
      </c>
    </row>
    <row r="33" customFormat="false" ht="77.1" hidden="false" customHeight="false" outlineLevel="0" collapsed="false">
      <c r="A33" s="6" t="s">
        <v>107</v>
      </c>
      <c r="B33" s="6" t="s">
        <v>11</v>
      </c>
      <c r="C33" s="6"/>
      <c r="D33" s="6"/>
      <c r="E33" s="6" t="s">
        <v>108</v>
      </c>
      <c r="F33" s="6" t="s">
        <v>109</v>
      </c>
      <c r="G33" s="6"/>
      <c r="H33" s="6"/>
      <c r="I33" s="6"/>
      <c r="J33" s="7" t="str">
        <f aca="false">IF(C33="yes",_xlfn.CONCAT($N$3,E33,IF(F33="","","&lt;img src=Images\line.png&gt;"),F33,IF(G33="","","&lt;img src=Images\line.png&gt;"),G33,IF(H33="","","&lt;img src=Images\line.png&gt;"),H33,),_xlfn.CONCAT($M$3,E33,IF(F33="","","&lt;img src=Images\line.png&gt;"),F33,IF(G33="","","&lt;img src=Images\line.png&gt;"),G33,IF(H33="","","&lt;img src=Images\line.png&gt;"),H33,))</f>
        <v>&lt;p style="font-size:14px;"&gt;&lt;br&gt;&lt;i&gt;Melee Attack -&lt;/i&gt;&lt;b&gt; Slime Glob: &lt;/b&gt;2 AP&lt;br&gt;Damage = 2, reach.&lt;br&gt;Inflicts the &lt;b&gt;Entangled&lt;/b&gt; status effect on a hit.&lt;img src=Images\line.png&gt;&lt;i&gt;Passive - &lt;b&gt; Secretions:&lt;/i&gt;&lt;/b&gt;&lt;br&gt;When you take a move action, you may spend weirdt to leave a trail of goo in all hexes moved out of. Moving through this goo costs 2 hexes of movement per hex.</v>
      </c>
    </row>
    <row r="34" customFormat="false" ht="98.75" hidden="false" customHeight="false" outlineLevel="0" collapsed="false">
      <c r="A34" s="6" t="s">
        <v>110</v>
      </c>
      <c r="B34" s="6" t="s">
        <v>11</v>
      </c>
      <c r="C34" s="6"/>
      <c r="D34" s="6"/>
      <c r="E34" s="6" t="s">
        <v>111</v>
      </c>
      <c r="F34" s="6"/>
      <c r="G34" s="6"/>
      <c r="H34" s="6"/>
      <c r="I34" s="6"/>
      <c r="J34" s="7" t="str">
        <f aca="false">IF(C34="yes",_xlfn.CONCAT($N$3,E34,IF(F34="","","&lt;img src=Images\line.png&gt;"),F34,IF(G34="","","&lt;img src=Images\line.png&gt;"),G34,IF(H34="","","&lt;img src=Images\line.png&gt;"),H34,),_xlfn.CONCAT($M$3,E34,IF(F34="","","&lt;img src=Images\line.png&gt;"),F34,IF(G34="","","&lt;img src=Images\line.png&gt;"),G34,IF(H34="","","&lt;img src=Images\line.png&gt;"),H34,))</f>
        <v>&lt;p style="font-size:14px;"&gt;&lt;br&gt;&lt;i&gt;Melee Attack - &lt;/i&gt;&lt;b&gt;Prod:&lt;/b&gt; 2 AP&lt;br&gt;Damage = 4 , reach.&lt;br&gt;This can only target non-adjacent beings.&lt;br&gt;Crit Option:&lt;br&gt;&lt;b&gt;Impale:&lt;/b&gt; Move to a hex adjacent to the target, deal + 3 damage and restore your composure. This can only be chosen once per attack.</v>
      </c>
    </row>
    <row r="35" customFormat="false" ht="153" hidden="false" customHeight="false" outlineLevel="0" collapsed="false">
      <c r="A35" s="6" t="s">
        <v>112</v>
      </c>
      <c r="B35" s="6" t="s">
        <v>11</v>
      </c>
      <c r="C35" s="6" t="s">
        <v>58</v>
      </c>
      <c r="D35" s="6"/>
      <c r="E35" s="6" t="s">
        <v>113</v>
      </c>
      <c r="F35" s="6" t="s">
        <v>114</v>
      </c>
      <c r="G35" s="6" t="s">
        <v>115</v>
      </c>
      <c r="H35" s="6" t="s">
        <v>116</v>
      </c>
      <c r="I35" s="6"/>
      <c r="J35" s="7" t="str">
        <f aca="false">IF(C35="yes",_xlfn.CONCAT($N$3,E35,IF(F35="","","&lt;img src=Images\line.png&gt;"),F35,IF(G35="","","&lt;img src=Images\line.png&gt;"),G35,IF(H35="","","&lt;img src=Images\line.png&gt;"),H35,),_xlfn.CONCAT($M$3,E35,IF(F35="","","&lt;img src=Images\line.png&gt;"),F35,IF(G35="","","&lt;img src=Images\line.png&gt;"),G35,IF(H35="","","&lt;img src=Images\line.png&gt;"),H35,))</f>
        <v>&lt;p style="font-size:12px;"&gt;&lt;br&gt;&lt;i&gt;Melee Attack - &lt;/i&gt;&lt;b&gt;Zap:&lt;/b&gt; 2 AP&lt;br&gt;Damage = 2 , close range.&lt;br&gt;Ignores damage reduction effects.&lt;br&gt;&lt;img src=Images\line.png&gt;&lt;b&gt;Channel Storm -&lt;/b&gt; 2 AP + weirdT:&lt;br&gt;Create a 1 hex strom cloud on target empty hex.&lt;img src=Images\line.png&gt;&lt;i&gt;Passive - &lt;b&gt; Growing storm:&lt;/i&gt;&lt;/b&gt;&lt;br&gt;At the start of your turn, each storm cloud grows by one hex in all directions.&lt;img src=Images\line.png&gt;&lt;i&gt;Passive -&lt;b&gt; Electrified:&lt;/b&gt;&lt;/i&gt;&lt;br&gt;Whenever you spend weirdT, all beings underneath a storm cloud take 3 damage. This ignores damage reduction.</v>
      </c>
    </row>
    <row r="36" customFormat="false" ht="44.55" hidden="false" customHeight="false" outlineLevel="0" collapsed="false">
      <c r="A36" s="6" t="s">
        <v>117</v>
      </c>
      <c r="B36" s="6" t="s">
        <v>11</v>
      </c>
      <c r="C36" s="6"/>
      <c r="D36" s="6"/>
      <c r="E36" s="6" t="s">
        <v>118</v>
      </c>
      <c r="F36" s="6" t="s">
        <v>119</v>
      </c>
      <c r="G36" s="6"/>
      <c r="H36" s="6"/>
      <c r="I36" s="6"/>
      <c r="J36" s="7" t="str">
        <f aca="false">IF(C36="yes",_xlfn.CONCAT($N$3,E36,IF(F36="","","&lt;img src=Images\line.png&gt;"),F36,IF(G36="","","&lt;img src=Images\line.png&gt;"),G36,IF(H36="","","&lt;img src=Images\line.png&gt;"),H36,),_xlfn.CONCAT($M$3,E36,IF(F36="","","&lt;img src=Images\line.png&gt;"),F36,IF(G36="","","&lt;img src=Images\line.png&gt;"),G36,IF(H36="","","&lt;img src=Images\line.png&gt;"),H36,))</f>
        <v>&lt;p style="font-size:14px;"&gt;&lt;br&gt;&lt;i&gt;Melee Attack - &lt;/i&gt;&lt;b&gt;Crush:&lt;/b&gt; 3 AP&lt;br&gt;Damage = 6 , close range.&lt;img src=Images\line.png&gt;&lt;b&gt;Reverberate:&lt;/b&gt; 1 AP or weirdT&lt;br&gt;You and any number of target allies gain the &lt;b&gt;Monstrous&lt;/b&gt; status effect.</v>
      </c>
    </row>
    <row r="37" customFormat="false" ht="66.25" hidden="false" customHeight="false" outlineLevel="0" collapsed="false">
      <c r="A37" s="6" t="s">
        <v>120</v>
      </c>
      <c r="B37" s="6" t="s">
        <v>11</v>
      </c>
      <c r="C37" s="6"/>
      <c r="D37" s="6"/>
      <c r="E37" s="6" t="s">
        <v>121</v>
      </c>
      <c r="F37" s="6" t="s">
        <v>122</v>
      </c>
      <c r="G37" s="6"/>
      <c r="H37" s="6"/>
      <c r="I37" s="6"/>
      <c r="J37" s="7" t="str">
        <f aca="false">IF(C37="yes",_xlfn.CONCAT($N$3,E37,IF(F37="","","&lt;img src=Images\line.png&gt;"),F37,IF(G37="","","&lt;img src=Images\line.png&gt;"),G37,IF(H37="","","&lt;img src=Images\line.png&gt;"),H37,),_xlfn.CONCAT($M$3,E37,IF(F37="","","&lt;img src=Images\line.png&gt;"),F37,IF(G37="","","&lt;img src=Images\line.png&gt;"),G37,IF(H37="","","&lt;img src=Images\line.png&gt;"),H37,))</f>
        <v>&lt;p style="font-size:14px;"&gt;&lt;br&gt;&lt;i&gt;Melee Attack - &lt;/i&gt;&lt;b&gt;Lance: &lt;/b&gt;2 AP&lt;br&gt;Damage = 3 , reach.&lt;br&gt;Crit Option:&lt;br&gt;&lt;b&gt;Venom: &lt;/b&gt;Inflict the &lt;b&gt;Stunned&lt;/b&gt; status effect.&lt;img src=Images\line.png&gt;&lt;i&gt;Reaction - &lt;/i&gt;&lt;b&gt;Jab: &lt;/b&gt;2 AP + jazzt&lt;br&gt;immediately use the Lance attack at no further cost on a being that has entered your attack range for the first time on their turn.</v>
      </c>
    </row>
    <row r="38" customFormat="false" ht="77.1" hidden="false" customHeight="false" outlineLevel="0" collapsed="false">
      <c r="A38" s="6" t="s">
        <v>123</v>
      </c>
      <c r="B38" s="6" t="s">
        <v>11</v>
      </c>
      <c r="C38" s="6"/>
      <c r="D38" s="6"/>
      <c r="E38" s="6" t="s">
        <v>124</v>
      </c>
      <c r="F38" s="6" t="s">
        <v>125</v>
      </c>
      <c r="G38" s="6"/>
      <c r="H38" s="6"/>
      <c r="I38" s="6"/>
      <c r="J38" s="7" t="str">
        <f aca="false">IF(C38="yes",_xlfn.CONCAT($N$3,E38,IF(F38="","","&lt;img src=Images\line.png&gt;"),F38,IF(G38="","","&lt;img src=Images\line.png&gt;"),G38,IF(H38="","","&lt;img src=Images\line.png&gt;"),H38,),_xlfn.CONCAT($M$3,E38,IF(F38="","","&lt;img src=Images\line.png&gt;"),F38,IF(G38="","","&lt;img src=Images\line.png&gt;"),G38,IF(H38="","","&lt;img src=Images\line.png&gt;"),H38,))</f>
        <v>&lt;p style="font-size:14px;"&gt;&lt;br&gt;&lt;i&gt;Melee Attack - &lt;/i&gt;&lt;b&gt;Lash Out:&lt;/b&gt; 2 AP&lt;br&gt;Damage = 4 , reach.&lt;img src=Images\line.png&gt;&lt;b&gt;Summon Saplings:&lt;/b&gt; weirdtweirdT&lt;br&gt;Fill 3 target connected empty hexes with a willow tree which blocks movement and vision. Each hex can be individually destroyed by dealing damage.</v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7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7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7"/>
    </row>
  </sheetData>
  <conditionalFormatting sqref="B1:C41">
    <cfRule type="containsText" priority="2" operator="containsText" aboveAverage="0" equalAverage="0" bottom="0" percent="0" rank="0" text="Accessory" dxfId="5">
      <formula>NOT(ISERROR(SEARCH("Accessory",B1)))</formula>
    </cfRule>
    <cfRule type="containsText" priority="3" operator="containsText" aboveAverage="0" equalAverage="0" bottom="0" percent="0" rank="0" text="Armour" dxfId="6">
      <formula>NOT(ISERROR(SEARCH("Armour",B1)))</formula>
    </cfRule>
    <cfRule type="containsText" priority="4" operator="containsText" aboveAverage="0" equalAverage="0" bottom="0" percent="0" rank="0" text="Equipment" dxfId="7">
      <formula>NOT(ISERROR(SEARCH("Equipment",B1)))</formula>
    </cfRule>
    <cfRule type="containsText" priority="5" operator="containsText" aboveAverage="0" equalAverage="0" bottom="0" percent="0" rank="0" text="Impression" dxfId="8">
      <formula>NOT(ISERROR(SEARCH("Impression",B1)))</formula>
    </cfRule>
    <cfRule type="containsText" priority="6" operator="containsText" aboveAverage="0" equalAverage="0" bottom="0" percent="0" rank="0" text="Spell" dxfId="9">
      <formula>NOT(ISERROR(SEARCH("Spell",B1)))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EB742E1A5654587064A46DDB6CD15" ma:contentTypeVersion="1" ma:contentTypeDescription="Create a new document." ma:contentTypeScope="" ma:versionID="e55e2f9787318b7f716360a3e6de5d16">
  <xsd:schema xmlns:xsd="http://www.w3.org/2001/XMLSchema" xmlns:xs="http://www.w3.org/2001/XMLSchema" xmlns:p="http://schemas.microsoft.com/office/2006/metadata/properties" xmlns:ns3="d3d2b77b-9d76-4307-b430-cfd0491e2700" targetNamespace="http://schemas.microsoft.com/office/2006/metadata/properties" ma:root="true" ma:fieldsID="5c7964d0f203b5786a93e8b285789b37" ns3:_="">
    <xsd:import namespace="d3d2b77b-9d76-4307-b430-cfd0491e27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2b77b-9d76-4307-b430-cfd0491e27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BD9A44-7659-4E3D-A8AD-0FE8F40955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C2C9E0-1F0F-46F6-8F71-1762C6A86D23}">
  <ds:schemaRefs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d3d2b77b-9d76-4307-b430-cfd0491e27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E2D555B-6F02-459E-B070-D7B6B8E41D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2b77b-9d76-4307-b430-cfd0491e27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2025-06-22T09:18:10Z</dcterms:created>
  <dc:creator>NTK</dc:creator>
  <dc:description/>
  <dc:language>en-NZ</dc:language>
  <cp:lastModifiedBy/>
  <dcterms:modified xsi:type="dcterms:W3CDTF">2025-09-15T21:26:38Z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