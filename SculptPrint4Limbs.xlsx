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ge\Desktop\Sculpt\Sculpt\Fresh\"/>
    </mc:Choice>
  </mc:AlternateContent>
  <xr:revisionPtr revIDLastSave="0" documentId="13_ncr:1_{ED572EF4-B74D-4643-B31C-BF788A37EE2F}" xr6:coauthVersionLast="47" xr6:coauthVersionMax="47" xr10:uidLastSave="{00000000-0000-0000-0000-000000000000}"/>
  <bookViews>
    <workbookView xWindow="-120" yWindow="-120" windowWidth="29040" windowHeight="15720" xr2:uid="{87154B46-1978-4705-BC0C-6EE1FCF75E48}"/>
  </bookViews>
  <sheets>
    <sheet name="Sheet3" sheetId="3" r:id="rId1"/>
  </sheets>
  <definedNames>
    <definedName name="Break">#REF!</definedName>
    <definedName name="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3" l="1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21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</calcChain>
</file>

<file path=xl/sharedStrings.xml><?xml version="1.0" encoding="utf-8"?>
<sst xmlns="http://schemas.openxmlformats.org/spreadsheetml/2006/main" count="157" uniqueCount="121">
  <si>
    <t>Name</t>
  </si>
  <si>
    <t>Type</t>
  </si>
  <si>
    <t>TopRightText</t>
  </si>
  <si>
    <t>Effect 1</t>
  </si>
  <si>
    <t>Effect 2</t>
  </si>
  <si>
    <t>Effect 3</t>
  </si>
  <si>
    <t>Effect 4</t>
  </si>
  <si>
    <t>Flavour Text</t>
  </si>
  <si>
    <t>Body HTML</t>
  </si>
  <si>
    <t>&lt;span style="color:#3366cc"&gt;&lt;strong&gt;Weird&lt;/strong&gt;&lt;/span&gt;</t>
  </si>
  <si>
    <t>&lt;p style="font-size:12px;"&gt;&lt;br&gt;</t>
  </si>
  <si>
    <t>SmallTextTag</t>
  </si>
  <si>
    <t>&lt;p style="font-size:14px;"&gt;&lt;br&gt;</t>
  </si>
  <si>
    <t>Thrumming Moonstone</t>
  </si>
  <si>
    <t>Limb</t>
  </si>
  <si>
    <t>Pulsing Heartstone</t>
  </si>
  <si>
    <t>Crystal of the Deep</t>
  </si>
  <si>
    <t>Clayling</t>
  </si>
  <si>
    <t>Horns</t>
  </si>
  <si>
    <t>Grasp of Mud</t>
  </si>
  <si>
    <t>Granite Fists</t>
  </si>
  <si>
    <t>Lanceflower Bloom</t>
  </si>
  <si>
    <t>Painted Slab</t>
  </si>
  <si>
    <t>Mantid Scythe</t>
  </si>
  <si>
    <t>Stalagmite</t>
  </si>
  <si>
    <t>Huge Pincer</t>
  </si>
  <si>
    <t>Rock Pouch</t>
  </si>
  <si>
    <t>Explosive Lesion</t>
  </si>
  <si>
    <t>Willow Parasite</t>
  </si>
  <si>
    <t>Explosive Eggs</t>
  </si>
  <si>
    <t>Hungering Hand</t>
  </si>
  <si>
    <t>Noxious Trunk</t>
  </si>
  <si>
    <t>Shovelling talons</t>
  </si>
  <si>
    <t>Projectile Spines</t>
  </si>
  <si>
    <t>Lithium Geode</t>
  </si>
  <si>
    <t>Needle Mouthed</t>
  </si>
  <si>
    <t>Venemous Tail</t>
  </si>
  <si>
    <t>Enflamed Lash</t>
  </si>
  <si>
    <t>Storm Conduit</t>
  </si>
  <si>
    <t>Mandibles</t>
  </si>
  <si>
    <t>Slime Shooter</t>
  </si>
  <si>
    <t>Cursed Protusion</t>
  </si>
  <si>
    <t>Crackling Geode</t>
  </si>
  <si>
    <t>Monolith of Pain</t>
  </si>
  <si>
    <t>Cicada Wings</t>
  </si>
  <si>
    <t>Clay Exuder</t>
  </si>
  <si>
    <t>Engraved Slab</t>
  </si>
  <si>
    <t>Bladed Fingers</t>
  </si>
  <si>
    <t>&lt;b&gt;Read the Runes:&lt;/b&gt; weirdT&lt;br&gt;Target being has half speed until the start of your next turn. (each tile moved costs 2)</t>
  </si>
  <si>
    <t>&lt;b&gt;Lay Egg:&lt;/b&gt; 1 AP + (chargeT or  weirdT)&lt;br&gt;Place an explosive egg on an adjacent hex.</t>
  </si>
  <si>
    <t>chargeBIG CHargeBig</t>
  </si>
  <si>
    <t>&lt;span style="color:#e74c3c"&gt;&lt;strong&gt;Flesh&lt;/strong&gt;&lt;/span&gt;</t>
  </si>
  <si>
    <t xml:space="preserve"> &lt;span style="color:#27ae60"&gt;&lt;strong&gt;Jazz&lt;/strong&gt;&lt;/span&gt;</t>
  </si>
  <si>
    <t>ChargeBIGchargebigchargebig</t>
  </si>
  <si>
    <t>chargebigchargebig</t>
  </si>
  <si>
    <t>yes</t>
  </si>
  <si>
    <t>&lt;i&gt;Reaction - &lt;/i&gt;&lt;b&gt;Block:&lt;/b&gt; 1 AP&lt;br&gt;Destroy this card to completely block an incoming attack.</t>
  </si>
  <si>
    <t>&lt;i&gt;Reaction - &lt;/i&gt;&lt;b&gt;Detonate:&lt;/b&gt; 1 AP&lt;br&gt;All eggs on the map explode, adjacent beings take 5 damage and terrain is destroyed, including walls.</t>
  </si>
  <si>
    <t>&lt;i&gt;Passive -&lt;b&gt; Autonomous Limb: &lt;/i&gt;&lt;/b&gt;&lt;br&gt;At the end of your turn, this limb makes an attack for free, it will attack you if there are no other targets available.</t>
  </si>
  <si>
    <t>&lt;i&gt;Passive - &lt;b&gt; Precise:&lt;/b&gt;&lt;/i&gt;&lt;br&gt;Wounds inflicted by this limb's attacks always target the stat of your choice.</t>
  </si>
  <si>
    <t>&lt;i&gt;Passive - &lt;b&gt; Secretions:&lt;/i&gt;&lt;/b&gt;&lt;br&gt;When you take a move action, you may spend weirdt to leave a trail of goo in all hexes moved out of. Moving through this goo costs 2 hexes of movement per hex.</t>
  </si>
  <si>
    <t>&lt;i&gt;Passive - &lt;b&gt; Growing storm:&lt;/i&gt;&lt;/b&gt;&lt;br&gt;At the start of your turn, each storm cloud grows by one hex in all directions.</t>
  </si>
  <si>
    <t>&lt;i&gt;Passive -&lt;b&gt; Electrified:&lt;/b&gt;&lt;/i&gt;&lt;br&gt;Whenever you spend weirdT, all beings underneath a storm cloud take 3 damage. This ignores damage reduction.</t>
  </si>
  <si>
    <t>&lt;i&gt;Passive -&lt;b&gt; Radiance: &lt;/b&gt;&lt;/i&gt;&lt;br&gt;At the end of your turn, if you are adjacent to a crystal, choose one of the following status effects to gain:&lt;br&gt;&lt;b&gt;Monstrous, Well Rested, Imbued.</t>
  </si>
  <si>
    <t>&lt;i&gt;Passive -&lt;b&gt; Crackle: &lt;/i&gt;&lt;/b&gt;&lt;br&gt;Whenever you spend weirdt, deal 1 damage to any target. This damage cannot be reduced.</t>
  </si>
  <si>
    <t>Sineuous Lash</t>
  </si>
  <si>
    <t>&lt;i&gt;Passive - &lt;b&gt;Fueled by pain:&lt;/i&gt;&lt;/b&gt;&lt;br&gt;Whenever you take a wound, gain the &lt;b&gt;Well Rested&lt;/b&gt; status effect.</t>
  </si>
  <si>
    <t>&lt;b&gt;Splinter Trail:&lt;/b&gt; 1 AP + (chargeT or weirdT)&lt;br&gt;For the rest of your turn, leave a conductive trail behind in any hex you move out of.</t>
  </si>
  <si>
    <t>&lt;b&gt;Electrify:&lt;/b&gt; 2 AP&lt;br&gt;Electrify an adjacent hex and all connected conductive hexes. All beings electrified take 3 damage. This damage cannot be reduced. Hexes with water are also conductive.</t>
  </si>
  <si>
    <t>&lt;b&gt;Summon Saplings:&lt;/b&gt; weirdtweirdT&lt;br&gt;Fill 3 target connected empty hexes with a willow tree which blocks movement and vision. Each hex can be individually destroyed by dealing damage.</t>
  </si>
  <si>
    <t>&lt;b&gt;Fly: &lt;/b&gt;1 AP or  weirdT&lt;br&gt;Make a move action with + 1 speed, ignore terrain during this move (within reason).</t>
  </si>
  <si>
    <t>&lt;i&gt;Melee Attack -&lt;/i&gt;&lt;b&gt; 1000 Cuts: &lt;/b&gt;2 AP&lt;br&gt;Damage = 3 , close range.&lt;br&gt;Critical options:&lt;br&gt;&lt;b&gt;Flurry:&lt;/b&gt;Your next attack costs 1 less AP.&lt;br&gt;&lt;b&gt;Strike:&lt;/b&gt; +1 Damage.</t>
  </si>
  <si>
    <t>&lt;i&gt;Reaction - &lt;b&gt;Block: &lt;/b&gt;1 AP&lt;/i&gt;&lt;br&gt;Destroy this card to completely block an incoming attack.</t>
  </si>
  <si>
    <t>&lt;b&gt;Embed: &lt;/b&gt;weirdT&lt;br&gt;Place a 1 hex crystal on an adjacent hex. The crystal breaks if it takes damage.</t>
  </si>
  <si>
    <t>&lt;i&gt;Melee Attack -&lt;/i&gt;&lt;b&gt; Thwack: &lt;/b&gt;1 AP&lt;br&gt;Damage = 1 , close range.&lt;br&gt;Critical Options:&lt;br&gt;&lt;b&gt;Doomtouch:&lt;/b&gt; Inflict the &lt;b&gt;Cursed&lt;/b&gt; status effect.</t>
  </si>
  <si>
    <t>&lt;i&gt;Melee Attack -&lt;/i&gt; &lt;b&gt;Flay:&lt;/b&gt; 2 AP&lt;br&gt;Damage = 3 , close range.&lt;br&gt;Critical Options:&lt;br&gt;&lt;b&gt;Burn:&lt;/b&gt; Inflict the &lt;b&gt;Burning&lt;/b&gt; status effect.</t>
  </si>
  <si>
    <t>&lt;b&gt;Stoke the Flames:&lt;/b&gt; WeirdT&lt;br&gt;Your attacks this turn inflict the &lt;b&gt;Burning&lt;/b&gt; status effect on a hit and have + 1 range</t>
  </si>
  <si>
    <t>&lt;i&gt;Reaction -&lt;/i&gt;&lt;b&gt; Burst Block:&lt;/b&gt; 1 AP&lt;br&gt;Destroy this card to completely block an incoming attack and deal 5 damage to all adjacent beings.</t>
  </si>
  <si>
    <t>&lt;i&gt;Melee Attack - &lt;/i&gt;&lt;b&gt;Bludgeon:&lt;/b&gt; 3 AP&lt;br&gt;Damage = 6 , close range.</t>
  </si>
  <si>
    <t>&lt;i&gt;Melee Attack -&lt;/i&gt;&lt;b&gt; Flail:&lt;/b&gt; 2 AP&lt;br&gt;Damage = 4 , close range.</t>
  </si>
  <si>
    <t>&lt;i&gt;Melee Attack -&lt;/i&gt;&lt;b&gt; Charge!:&lt;/b&gt; 3 AP or 2 AP +jazzT&lt;br&gt;Damage = hexes moved , close range.&lt;br&gt;You may move any number of hexes in a straight line as part of making the attack. &lt;br&gt;hornshexes</t>
  </si>
  <si>
    <t>&lt;i&gt;Melee Attack -&lt;/i&gt;&lt;b&gt; Shove :&lt;/b&gt; 1 AP +fleshT&lt;br&gt;Damage = 2 , close range.&lt;br&gt;On a hit, the target is pushed back hexes equal to your &lt;span style="color:#e74c3c"&gt;&lt;strong&gt;Flesh&lt;/strong&gt;&lt;/span&gt;.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</si>
  <si>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</si>
  <si>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&lt;i&gt;Reaction - &lt;/i&gt;&lt;b&gt;Block: &lt;/b&gt;1 AP&lt;br&gt;Destroy this card to completely block an incoming attack.</t>
  </si>
  <si>
    <t>&lt;i&gt;Melee Attack -&lt;/i&gt;&lt;b&gt; Bite:&lt;/b&gt; 2 AP&lt;br&gt;Damage = 4 , close range.&lt;br&gt;Critical Option:&lt;br&gt;&lt;b&gt;Exalt:&lt;/b&gt; Restore your composure or gain up to 2 temporary composure.</t>
  </si>
  <si>
    <t>&lt;i&gt;Ranged Attack -&lt;/i&gt;&lt;b&gt; Phage: &lt;/b&gt;2 AP&lt;br&gt;Damage = 7 &lt;br&gt;Throw this limb at your target as part of the attack, regardless of attack outcome, they now have Hungering Hand equipped .</t>
  </si>
  <si>
    <t>&lt;i&gt;Melee Attack - &lt;/i&gt;&lt;b&gt;Impale: &lt;/b&gt;2 AP&lt;br&gt;Damage = 5 , reach.&lt;br&gt;Must be in lance mode to use.</t>
  </si>
  <si>
    <t>&lt;i&gt;Reaction - &lt;/i&gt;&lt;b&gt;Iron Petals: &lt;/b&gt;1 AP&lt;br&gt;Destroy this card to completely block an incoming attack.&lt;br&gt;Must be in flower mode to use.</t>
  </si>
  <si>
    <t>&lt;b&gt;Bloom/Wither:&lt;/b&gt; 1 AP&lt;br&gt;Switch this card between lance mode or Flower mode. At the start of the combat Lanceflower Bloom begins in Flower mode.</t>
  </si>
  <si>
    <t>&lt;i&gt;Melee Attack -&lt;/i&gt;&lt;b&gt; Gnaw:&lt;/b&gt; 1 AP&lt;br&gt;Damage = 1 , close range.&lt;br&gt;This attack always hits, do not roll.</t>
  </si>
  <si>
    <t>&lt;i&gt;Melee Attack -&lt;/i&gt;&lt;b&gt; Nasty Stab:&lt;/b&gt; 3 AP&lt;br&gt;Damage = 6 , close range.&lt;br&gt;Crit options:&lt;br&gt;&lt;b&gt;Armour Piercing:&lt;/b&gt; Ignore damage reduction effects.&lt;br&gt;&lt;b&gt;Strike:&lt;/b&gt; +1 damage.</t>
  </si>
  <si>
    <t>&lt;i&gt;Melee Attack - &lt;/i&gt;&lt;b&gt;Lance:&lt;/b&gt; 2 AP&lt;br&gt;Damage = 4 , reach.&lt;br&gt;Crit option:&lt;br&gt;&lt;b&gt;Dash&lt;/b&gt; Take a move action for free.</t>
  </si>
  <si>
    <t>&lt;i&gt;Reaction - &lt;/i&gt;&lt;b&gt;Salt in the wound:&lt;/b&gt; 1 AP or weirdT&lt;br&gt;Whenever an adjacent creature takes a wound, you may activate this and inflict the &lt;b&gt;Stunned&lt;/b&gt; status effect on them.</t>
  </si>
  <si>
    <t>&lt;i&gt;Melee Attack -&lt;/i&gt; &lt;b&gt;Nip: &lt;/b&gt;2 AP&lt;br&gt;Damage = 3 , close range.&lt;br&gt;Crit option:&lt;br&gt;&lt;b&gt;Strike:&lt;/b&gt; +1 damage.&lt;br&gt;</t>
  </si>
  <si>
    <t>&lt;i&gt;Ranged Attack - &lt;/i&gt;&lt;b&gt;Corrosive spit: &lt;/b&gt;2 AP + weirdT&lt;br&gt;Damage = 4. &lt;br&gt;Ignores damage reduction effects.</t>
  </si>
  <si>
    <t>&lt;i&gt;Melee Attack -&lt;/i&gt;&lt;b&gt; Slam:&lt;/b&gt; 4 AP&lt;br&gt;Damage = 8, close range.&lt;br&gt;</t>
  </si>
  <si>
    <t>&lt;b&gt;Wall of Splendor: &lt;/b&gt;1 AP&lt;br&gt;Place the slab down on an adjacent hex, it extends straight on each side to become a three hex wall, if there is space. This wall blocks vision and is indestructable.</t>
  </si>
  <si>
    <t>&lt;i&gt;Ranged Attack -&lt;/i&gt;&lt;b&gt; Fling:&lt;/b&gt; 2 AP&lt;br&gt;Damage = 4. &lt;br&gt;You take 1 damage when you use this attack.</t>
  </si>
  <si>
    <t>&lt;b&gt;Embed:&lt;/b&gt; weirdt&lt;br&gt;Place a 1 hex sized heartstone on an adjacent hex. It will break if it takes damage.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</si>
  <si>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</si>
  <si>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</si>
  <si>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&lt;b&gt;Dig:&lt;/b&gt; 1 AP or fleshT&lt;br&gt;Clear an adjacent hex of any player generated terrain features.</t>
  </si>
  <si>
    <t>&lt;i&gt;Melee Attack -&lt;/i&gt;&lt;b&gt; Slime Glob: &lt;/b&gt;2 AP&lt;br&gt;Damage = 2, reach.&lt;br&gt;Inflicts the &lt;b&gt;Entangled&lt;/b&gt; status effect on a hit.</t>
  </si>
  <si>
    <t>&lt;i&gt;Melee Attack - &lt;/i&gt;&lt;b&gt;Prod:&lt;/b&gt; 2 AP&lt;br&gt;Damage = 4 , reach.&lt;br&gt;This can only target non-adjacent beings.&lt;br&gt;Crit Option:&lt;br&gt;&lt;b&gt;Impale:&lt;/b&gt; Move to a hex adjacent to the target, deal + 3 damage and restore your composure. This can only be chosen once per attack.</t>
  </si>
  <si>
    <t>&lt;i&gt;Melee Attack - &lt;/i&gt;&lt;b&gt;Zap:&lt;/b&gt; 2 AP&lt;br&gt;Damage = 2 , close range.&lt;br&gt;Ignores damage reduction effects.&lt;br&gt;</t>
  </si>
  <si>
    <t>&lt;i&gt;Melee Attack - &lt;/i&gt;&lt;b&gt;Lash Out:&lt;/b&gt; 2 AP&lt;br&gt;Damage = 4 , reach.</t>
  </si>
  <si>
    <t>&lt;i&gt;Melee Attack - &lt;/i&gt;&lt;b&gt;Whelm:&lt;/b&gt; 2 AP + weirdT&lt;br&gt;Damage = 3 , close range.&lt;br&gt;Inflicts the &lt;b&gt;Entangled&lt;/b&gt; status effect on a hit.</t>
  </si>
  <si>
    <t>&lt;i&gt;Melee Attack - &lt;/i&gt;&lt;b&gt;Crush:&lt;/b&gt; 4 AP&lt;br&gt;Damage = 8 , close range.&lt;br&gt;Part or all of the AP cost of this attack can be paid with fleshT.&lt;br&gt;Critical Options:&lt;b&gt;&lt;br&gt;Concuss:&lt;/b&gt; Inflict the &lt;b&gt;Stunned&lt;/b&gt; status effect.</t>
  </si>
  <si>
    <t>&lt;i&gt;Melee Attack -&lt;/i&gt; &lt;b&gt;Thump: &lt;/b&gt;2 AP&lt;br&gt;Damage =4, close range.&lt;br&gt;Crit Option:&lt;br&gt;&lt;b&gt;Concuss:&lt;/b&gt; Inflict the &lt;b&gt;Stunned&lt;/b&gt; status effect.</t>
  </si>
  <si>
    <t>&lt;b&gt;Reclaim: &lt;/b&gt;3 AP or fleshtfleshtfleshT&lt;br&gt;Pick up a deployed painted slab, any adjacent being can do this.</t>
  </si>
  <si>
    <t>&lt;b&gt;Reverberate:&lt;/b&gt; 1 AP or weirdT&lt;br&gt;You and any number of target allies gain the &lt;b&gt;Monstrous&lt;/b&gt; status effect.</t>
  </si>
  <si>
    <t>&lt;i&gt;Melee Attack - &lt;/i&gt;&lt;b&gt;Crush:&lt;/b&gt; 3 AP&lt;br&gt;Damage = 6 , close range.</t>
  </si>
  <si>
    <t>&lt;b&gt;Channel Storm -&lt;/b&gt; 2 AP + weirdT:&lt;br&gt;Create a 1 hex strom cloud on target empty hex.</t>
  </si>
  <si>
    <t>&lt;i&gt;Melee Attack - &lt;/i&gt;&lt;b&gt;Lance: &lt;/b&gt;2 AP&lt;br&gt;Damage = 3 , reach.&lt;br&gt;Crit Option:&lt;br&gt;&lt;b&gt;Venom: &lt;/b&gt;Inflict the &lt;b&gt;Stunned&lt;/b&gt; status effect.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</si>
  <si>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</si>
  <si>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&lt;b&gt;Chirp Tune: &lt;/b&gt;2 AP&lt;br&gt;You and any number of target allies each gain up to 3 temporary composure.</t>
  </si>
  <si>
    <t>&lt;b&gt;Coat in Clay: &lt;/b&gt;1 AP +  weirdT&lt;br&gt;A target gains up to 4 temporary composure and -2 speed until the end of their next turn.</t>
  </si>
  <si>
    <t>&lt;i&gt;Passive -&lt;b&gt; Spreading clay: &lt;/i&gt;&lt;/b&gt;&lt;br&gt;Whenever you spend weirdt, gain up to 1 temporary composure.</t>
  </si>
  <si>
    <t>&lt;i&gt;Passive - &lt;b&gt; Living Rythm:&lt;/i&gt;&lt;/b&gt;&lt;br&gt;While there is at least 1 heartstone on the map, you gain up to 3 temporary composure at the end of your turn.</t>
  </si>
  <si>
    <t>il</t>
  </si>
  <si>
    <t>&lt;i&gt;Reaction - &lt;/i&gt;&lt;b&gt;Jab: &lt;/b&gt;2 AP + jazzt&lt;br&gt;immediately use the Lance attack at no further cost on a being that has entered your attack range for the first time on their turn.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</si>
</sst>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F6B0DD"/>
      </patternFill>
    </fill>
    <fill>
      <patternFill patternType="solid">
        <fgColor theme="4"/>
        <bgColor rgb="FFF6B0DD"/>
      </patternFill>
    </fill>
    <fill>
      <patternFill patternType="solid">
        <fgColor theme="4"/>
        <bgColor rgb="FFE7E6E6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0" fillId="2" borderId="3" xfId="0" applyFill="1" applyBorder="1" applyAlignment="1">
      <alignment horizontal="left" vertical="top" wrapText="1" readingOrder="1"/>
    </xf>
    <xf numFmtId="0" fontId="0" fillId="0" borderId="0" xfId="0" applyAlignment="1">
      <alignment horizontal="left" wrapText="1" readingOrder="1"/>
    </xf>
    <xf numFmtId="0" fontId="1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 readingOrder="1"/>
    </xf>
    <xf numFmtId="0" fontId="1" fillId="2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center" wrapText="1" readingOrder="1"/>
    </xf>
    <xf numFmtId="0" fontId="3" fillId="3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top" wrapText="1" readingOrder="1"/>
    </xf>
    <xf numFmtId="0" fontId="2" fillId="6" borderId="0" xfId="0" applyFont="1" applyFill="1" applyAlignment="1">
      <alignment horizontal="left" wrapText="1" readingOrder="1"/>
    </xf>
    <xf numFmtId="0" fontId="0" fillId="7" borderId="4" xfId="0" applyFill="1" applyBorder="1" applyAlignment="1">
      <alignment horizontal="left" wrapText="1" readingOrder="1"/>
    </xf>
  </cellXfs>
  <cellStyles count="1">
    <cellStyle name="Normal" xfId="0" builtinId="0"/>
  </cellStyles>
  <dxfs count="47">
    <dxf>
      <fill>
        <patternFill patternType="solid">
          <fgColor rgb="FFB4C6E7"/>
          <bgColor rgb="FFB4C6E7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6B0DD"/>
          <bgColor rgb="FFF6B0D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6B0DD"/>
          <bgColor rgb="FFF6B0DD"/>
        </patternFill>
      </fill>
    </dxf>
    <dxf>
      <numFmt numFmtId="0" formatCode="General"/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vertical="bottom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8C9A86-C5E9-457E-BBD5-B0220001E261}" name="Table3" displayName="Table3" ref="A1:J39" totalsRowShown="0" headerRowDxfId="46" dataDxfId="45">
  <autoFilter ref="A1:J39" xr:uid="{3E8C9A86-C5E9-457E-BBD5-B0220001E261}"/>
  <sortState xmlns:xlrd2="http://schemas.microsoft.com/office/spreadsheetml/2017/richdata2" ref="A2:J39">
    <sortCondition ref="A1:A39"/>
  </sortState>
  <tableColumns count="10">
    <tableColumn id="1" xr3:uid="{2106E9E5-042B-46BC-A79A-023C4B055B58}" name="Name" dataDxfId="44"/>
    <tableColumn id="2" xr3:uid="{51D787D7-7F74-4D0C-9CC5-75B89724068E}" name="Type" dataDxfId="43"/>
    <tableColumn id="12" xr3:uid="{B1A988C1-3D5C-4B5D-A68A-B59CD60A03B8}" name="SmallTextTag" dataDxfId="42"/>
    <tableColumn id="3" xr3:uid="{F4BCC86F-3C5A-425D-82DD-3B5BD175EF4C}" name="TopRightText" dataDxfId="41"/>
    <tableColumn id="4" xr3:uid="{2C8A664E-01EA-40CC-908A-DC740012C951}" name="Effect 1" dataDxfId="40"/>
    <tableColumn id="5" xr3:uid="{60B2A177-0ADF-4C4B-94F3-8F1BD080C422}" name="Effect 2" dataDxfId="39"/>
    <tableColumn id="6" xr3:uid="{543397FC-147B-4A30-86F1-BF2D263BF9B7}" name="Effect 3" dataDxfId="38"/>
    <tableColumn id="7" xr3:uid="{678EA5A1-4174-4923-9727-732FE3F06A02}" name="Effect 4" dataDxfId="37"/>
    <tableColumn id="8" xr3:uid="{2AF6C5A0-C3EA-40FC-BC31-6F0603688BDB}" name="Flavour Text" dataDxfId="36"/>
    <tableColumn id="9" xr3:uid="{B49FF617-BB55-4143-87E0-3F91B660543B}" name="Body HTML" dataDxfId="35">
      <calculatedColumnFormula>_xlfn.CONCAT(M$2,E2,IF(F2="","","&lt;img src=Images\line.png&gt;"),F2,IF(G2="","","&lt;img src=Images\line.png&gt;"),G2,IF(H2="","","&lt;img src=Images\line.png&gt;"),H2,)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7CD6-E361-4F06-A63B-173175773D70}">
  <sheetPr codeName="Sheet1"/>
  <dimension ref="A1:N39"/>
  <sheetViews>
    <sheetView tabSelected="1" topLeftCell="A13" workbookViewId="0">
      <selection activeCell="E15" sqref="E15"/>
    </sheetView>
  </sheetViews>
  <sheetFormatPr defaultRowHeight="15" x14ac:dyDescent="0.25"/>
  <cols>
    <col min="1" max="3" width="11" customWidth="1"/>
    <col min="4" max="4" width="25.7109375" customWidth="1"/>
    <col min="5" max="5" width="28.140625" customWidth="1"/>
    <col min="6" max="6" width="25.42578125" customWidth="1"/>
    <col min="7" max="7" width="19.85546875" customWidth="1"/>
    <col min="8" max="8" width="11" customWidth="1"/>
    <col min="9" max="9" width="11.140625" customWidth="1"/>
    <col min="10" max="10" width="54.7109375" customWidth="1"/>
    <col min="11" max="11" width="18.28515625" customWidth="1"/>
  </cols>
  <sheetData>
    <row r="1" spans="1:14" ht="30" x14ac:dyDescent="0.25">
      <c r="A1" s="1" t="s">
        <v>0</v>
      </c>
      <c r="B1" s="6" t="s">
        <v>1</v>
      </c>
      <c r="C1" s="6" t="s">
        <v>11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 t="s">
        <v>7</v>
      </c>
      <c r="J1" s="7" t="s">
        <v>8</v>
      </c>
    </row>
    <row r="2" spans="1:14" ht="165" customHeight="1" x14ac:dyDescent="0.25">
      <c r="A2" s="8" t="s">
        <v>47</v>
      </c>
      <c r="B2" s="8" t="s">
        <v>14</v>
      </c>
      <c r="C2" s="8"/>
      <c r="D2" s="8"/>
      <c r="E2" s="8" t="s">
        <v>71</v>
      </c>
      <c r="F2" s="8"/>
      <c r="G2" s="8"/>
      <c r="H2" s="8"/>
      <c r="I2" s="8"/>
      <c r="J2" s="4" t="str">
        <f t="shared" ref="J2:J29" si="0">IF(C2="yes",_xlfn.CONCAT($N$2,E2,IF(F2="","","&lt;img src=Images\line.png&gt;"),F2,IF(G2="","","&lt;img src=Images\line.png&gt;"),G2,IF(H2="","","&lt;img src=Images\line.png&gt;"),H2,),_xlfn.CONCAT($M$2,E2,IF(F2="","","&lt;img src=Images\line.png&gt;"),F2,IF(G2="","","&lt;img src=Images\line.png&gt;"),G2,IF(H2="","","&lt;img src=Images\line.png&gt;"),H2,))</f>
        <v>&lt;p style="font-size:14px;"&gt;&lt;br&gt;&lt;i&gt;Melee Attack -&lt;/i&gt;&lt;b&gt; 1000 Cuts: &lt;/b&gt;2 AP&lt;br&gt;Damage = 3 , close range.&lt;br&gt;Critical options:&lt;br&gt;&lt;b&gt;Flurry:&lt;/b&gt;Your next attack costs 1 less AP.&lt;br&gt;&lt;b&gt;Strike:&lt;/b&gt; +1 Damage.</v>
      </c>
      <c r="M2" t="s">
        <v>12</v>
      </c>
      <c r="N2" t="s">
        <v>10</v>
      </c>
    </row>
    <row r="3" spans="1:14" ht="90" x14ac:dyDescent="0.25">
      <c r="A3" s="5" t="s">
        <v>44</v>
      </c>
      <c r="B3" s="8" t="s">
        <v>14</v>
      </c>
      <c r="C3" s="5"/>
      <c r="D3" s="5"/>
      <c r="E3" s="5" t="s">
        <v>70</v>
      </c>
      <c r="F3" s="5" t="s">
        <v>115</v>
      </c>
      <c r="G3" s="5"/>
      <c r="H3" s="5"/>
      <c r="I3" s="5"/>
      <c r="J3" s="4" t="str">
        <f t="shared" si="0"/>
        <v>&lt;p style="font-size:14px;"&gt;&lt;br&gt;&lt;b&gt;Fly: &lt;/b&gt;1 AP or  weirdT&lt;br&gt;Make a move action with + 1 speed, ignore terrain during this move (within reason).&lt;img src=Images\line.png&gt;&lt;b&gt;Chirp Tune: &lt;/b&gt;2 AP&lt;br&gt;You and any number of target allies each gain up to 3 temporary composure.</v>
      </c>
    </row>
    <row r="4" spans="1:14" ht="90" x14ac:dyDescent="0.25">
      <c r="A4" s="5" t="s">
        <v>45</v>
      </c>
      <c r="B4" s="8" t="s">
        <v>14</v>
      </c>
      <c r="C4" s="5"/>
      <c r="D4" s="5"/>
      <c r="E4" s="5" t="s">
        <v>116</v>
      </c>
      <c r="F4" s="5" t="s">
        <v>117</v>
      </c>
      <c r="G4" s="5"/>
      <c r="H4" s="5"/>
      <c r="I4" s="5"/>
      <c r="J4" s="4" t="str">
        <f t="shared" si="0"/>
        <v>&lt;p style="font-size:14px;"&gt;&lt;br&gt;&lt;b&gt;Coat in Clay: &lt;/b&gt;1 AP +  weirdT&lt;br&gt;A target gains up to 4 temporary composure and -2 speed until the end of their next turn.&lt;img src=Images\line.png&gt;&lt;i&gt;Passive -&lt;b&gt; Spreading clay: &lt;/i&gt;&lt;/b&gt;&lt;br&gt;Whenever you spend weirdt, gain up to 1 temporary composure.</v>
      </c>
    </row>
    <row r="5" spans="1:14" ht="105" x14ac:dyDescent="0.25">
      <c r="A5" s="5" t="s">
        <v>17</v>
      </c>
      <c r="B5" s="5" t="s">
        <v>14</v>
      </c>
      <c r="C5" s="5"/>
      <c r="D5" s="5"/>
      <c r="E5" s="5" t="s">
        <v>79</v>
      </c>
      <c r="F5" s="5" t="s">
        <v>58</v>
      </c>
      <c r="G5" s="5"/>
      <c r="H5" s="5"/>
      <c r="I5" s="5"/>
      <c r="J5" s="4" t="str">
        <f t="shared" si="0"/>
        <v>&lt;p style="font-size:14px;"&gt;&lt;br&gt;&lt;i&gt;Melee Attack -&lt;/i&gt;&lt;b&gt; Flail:&lt;/b&gt; 2 AP&lt;br&gt;Damage = 4 , close range.&lt;img src=Images\line.png&gt;&lt;i&gt;Passive -&lt;b&gt; Autonomous Limb: &lt;/i&gt;&lt;/b&gt;&lt;br&gt;At the end of your turn, this limb makes an attack for free, it will attack you if there are no other targets available.</v>
      </c>
    </row>
    <row r="6" spans="1:14" ht="90" x14ac:dyDescent="0.25">
      <c r="A6" s="5" t="s">
        <v>42</v>
      </c>
      <c r="B6" s="5" t="s">
        <v>14</v>
      </c>
      <c r="C6" s="5"/>
      <c r="D6" s="5"/>
      <c r="E6" s="5" t="s">
        <v>72</v>
      </c>
      <c r="F6" s="5" t="s">
        <v>64</v>
      </c>
      <c r="G6" s="5"/>
      <c r="H6" s="5"/>
      <c r="I6" s="5"/>
      <c r="J6" s="4" t="str">
        <f t="shared" si="0"/>
        <v>&lt;p style="font-size:14px;"&gt;&lt;br&gt;&lt;i&gt;Reaction - &lt;b&gt;Block: &lt;/b&gt;1 AP&lt;/i&gt;&lt;br&gt;Destroy this card to completely block an incoming attack.&lt;img src=Images\line.png&gt;&lt;i&gt;Passive -&lt;b&gt; Crackle: &lt;/i&gt;&lt;/b&gt;&lt;br&gt;Whenever you spend weirdt, deal 1 damage to any target. This damage cannot be reduced.</v>
      </c>
      <c r="K6" s="14" t="s">
        <v>52</v>
      </c>
    </row>
    <row r="7" spans="1:14" ht="120" x14ac:dyDescent="0.25">
      <c r="A7" s="5" t="s">
        <v>16</v>
      </c>
      <c r="B7" s="8" t="s">
        <v>14</v>
      </c>
      <c r="C7" s="5"/>
      <c r="D7" s="5"/>
      <c r="E7" s="5" t="s">
        <v>73</v>
      </c>
      <c r="F7" s="5" t="s">
        <v>63</v>
      </c>
      <c r="G7" s="5"/>
      <c r="H7" s="5"/>
      <c r="I7" s="5"/>
      <c r="J7" s="4" t="str">
        <f t="shared" si="0"/>
        <v>&lt;p style="font-size:14px;"&gt;&lt;br&gt;&lt;b&gt;Embed: &lt;/b&gt;weirdT&lt;br&gt;Place a 1 hex crystal on an adjacent hex. The crystal breaks if it takes damage.&lt;img src=Images\line.png&gt;&lt;i&gt;Passive -&lt;b&gt; Radiance: &lt;/b&gt;&lt;/i&gt;&lt;br&gt;At the end of your turn, if you are adjacent to a crystal, choose one of the following status effects to gain:&lt;br&gt;&lt;b&gt;Monstrous, Well Rested, Imbued.</v>
      </c>
      <c r="K7" t="s">
        <v>51</v>
      </c>
    </row>
    <row r="8" spans="1:14" ht="90" x14ac:dyDescent="0.25">
      <c r="A8" s="5" t="s">
        <v>41</v>
      </c>
      <c r="B8" s="5" t="s">
        <v>14</v>
      </c>
      <c r="C8" s="5"/>
      <c r="D8" s="5"/>
      <c r="E8" s="5" t="s">
        <v>74</v>
      </c>
      <c r="F8" s="5" t="s">
        <v>56</v>
      </c>
      <c r="G8" s="5"/>
      <c r="H8" s="5"/>
      <c r="I8" s="5"/>
      <c r="J8" s="4" t="str">
        <f t="shared" si="0"/>
        <v>&lt;p style="font-size:14px;"&gt;&lt;br&gt;&lt;i&gt;Melee Attack -&lt;/i&gt;&lt;b&gt; Thwack: &lt;/b&gt;1 AP&lt;br&gt;Damage = 1 , close range.&lt;br&gt;Critical Options:&lt;br&gt;&lt;b&gt;Doomtouch:&lt;/b&gt; Inflict the &lt;b&gt;Cursed&lt;/b&gt; status effect.&lt;img src=Images\line.png&gt;&lt;i&gt;Reaction - &lt;/i&gt;&lt;b&gt;Block:&lt;/b&gt; 1 AP&lt;br&gt;Destroy this card to completely block an incoming attack.</v>
      </c>
      <c r="K8" t="s">
        <v>9</v>
      </c>
    </row>
    <row r="9" spans="1:14" ht="90" x14ac:dyDescent="0.25">
      <c r="A9" s="5" t="s">
        <v>37</v>
      </c>
      <c r="B9" s="5" t="s">
        <v>14</v>
      </c>
      <c r="C9" s="5"/>
      <c r="D9" s="5"/>
      <c r="E9" s="5" t="s">
        <v>75</v>
      </c>
      <c r="F9" s="5" t="s">
        <v>76</v>
      </c>
      <c r="G9" s="5"/>
      <c r="H9" s="5"/>
      <c r="I9" s="5"/>
      <c r="J9" s="4" t="str">
        <f t="shared" si="0"/>
        <v>&lt;p style="font-size:14px;"&gt;&lt;br&gt;&lt;i&gt;Melee Attack -&lt;/i&gt; &lt;b&gt;Flay:&lt;/b&gt; 2 AP&lt;br&gt;Damage = 3 , close range.&lt;br&gt;Critical Options:&lt;br&gt;&lt;b&gt;Burn:&lt;/b&gt; Inflict the &lt;b&gt;Burning&lt;/b&gt; status effect.&lt;img src=Images\line.png&gt;&lt;b&gt;Stoke the Flames:&lt;/b&gt; WeirdT&lt;br&gt;Your attacks this turn inflict the &lt;b&gt;Burning&lt;/b&gt; status effect on a hit and have + 1 range</v>
      </c>
    </row>
    <row r="10" spans="1:14" ht="90" x14ac:dyDescent="0.25">
      <c r="A10" s="5" t="s">
        <v>46</v>
      </c>
      <c r="B10" s="5" t="s">
        <v>14</v>
      </c>
      <c r="C10" s="5"/>
      <c r="D10" s="5"/>
      <c r="E10" s="5" t="s">
        <v>48</v>
      </c>
      <c r="F10" s="5" t="s">
        <v>56</v>
      </c>
      <c r="G10" s="5"/>
      <c r="H10" s="5"/>
      <c r="I10" s="5"/>
      <c r="J10" s="4" t="str">
        <f t="shared" si="0"/>
        <v>&lt;p style="font-size:14px;"&gt;&lt;br&gt;&lt;b&gt;Read the Runes:&lt;/b&gt; weirdT&lt;br&gt;Target being has half speed until the start of your next turn. (each tile moved costs 2)&lt;img src=Images\line.png&gt;&lt;i&gt;Reaction - &lt;/i&gt;&lt;b&gt;Block:&lt;/b&gt; 1 AP&lt;br&gt;Destroy this card to completely block an incoming attack.</v>
      </c>
    </row>
    <row r="11" spans="1:14" ht="105" x14ac:dyDescent="0.25">
      <c r="A11" s="5" t="s">
        <v>29</v>
      </c>
      <c r="B11" s="5" t="s">
        <v>14</v>
      </c>
      <c r="C11" s="5"/>
      <c r="D11" s="5" t="s">
        <v>50</v>
      </c>
      <c r="E11" s="5" t="s">
        <v>49</v>
      </c>
      <c r="F11" s="5" t="s">
        <v>57</v>
      </c>
      <c r="G11" s="5"/>
      <c r="H11" s="5"/>
      <c r="I11" s="5"/>
      <c r="J11" s="4" t="str">
        <f t="shared" si="0"/>
        <v>&lt;p style="font-size:14px;"&gt;&lt;br&gt;&lt;b&gt;Lay Egg:&lt;/b&gt; 1 AP + (chargeT or  weirdT)&lt;br&gt;Place an explosive egg on an adjacent hex.&lt;img src=Images\line.png&gt;&lt;i&gt;Reaction - &lt;/i&gt;&lt;b&gt;Detonate:&lt;/b&gt; 1 AP&lt;br&gt;All eggs on the map explode, adjacent beings take 5 damage and terrain is destroyed, including walls.</v>
      </c>
    </row>
    <row r="12" spans="1:14" ht="90" x14ac:dyDescent="0.25">
      <c r="A12" s="5" t="s">
        <v>27</v>
      </c>
      <c r="B12" s="8" t="s">
        <v>14</v>
      </c>
      <c r="C12" s="5"/>
      <c r="D12" s="5"/>
      <c r="E12" s="5" t="s">
        <v>77</v>
      </c>
      <c r="F12" s="5"/>
      <c r="G12" s="5"/>
      <c r="H12" s="5"/>
      <c r="I12" s="5"/>
      <c r="J12" s="4" t="str">
        <f t="shared" si="0"/>
        <v>&lt;p style="font-size:14px;"&gt;&lt;br&gt;&lt;i&gt;Reaction -&lt;/i&gt;&lt;b&gt; Burst Block:&lt;/b&gt; 1 AP&lt;br&gt;Destroy this card to completely block an incoming attack and deal 5 damage to all adjacent beings.</v>
      </c>
    </row>
    <row r="13" spans="1:14" ht="135" x14ac:dyDescent="0.25">
      <c r="A13" s="5" t="s">
        <v>20</v>
      </c>
      <c r="B13" s="5" t="s">
        <v>14</v>
      </c>
      <c r="C13" s="5"/>
      <c r="D13" s="5"/>
      <c r="E13" s="5" t="s">
        <v>107</v>
      </c>
      <c r="F13" s="5"/>
      <c r="G13" s="5"/>
      <c r="H13" s="5"/>
      <c r="I13" s="5"/>
      <c r="J13" s="4" t="str">
        <f t="shared" si="0"/>
        <v>&lt;p style="font-size:14px;"&gt;&lt;br&gt;&lt;i&gt;Melee Attack - &lt;/i&gt;&lt;b&gt;Crush:&lt;/b&gt; 4 AP&lt;br&gt;Damage = 8 , close range.&lt;br&gt;Part or all of the AP cost of this attack can be paid with fleshT.&lt;br&gt;Critical Options:&lt;b&gt;&lt;br&gt;Concuss:&lt;/b&gt; Inflict the &lt;b&gt;Stunned&lt;/b&gt; status effect.</v>
      </c>
    </row>
    <row r="14" spans="1:14" ht="90" x14ac:dyDescent="0.25">
      <c r="A14" s="5" t="s">
        <v>19</v>
      </c>
      <c r="B14" s="5" t="s">
        <v>14</v>
      </c>
      <c r="C14" s="5"/>
      <c r="D14" s="5"/>
      <c r="E14" s="5" t="s">
        <v>78</v>
      </c>
      <c r="F14" s="5" t="s">
        <v>106</v>
      </c>
      <c r="G14" s="5"/>
      <c r="H14" s="5"/>
      <c r="I14" s="5"/>
      <c r="J14" s="4" t="str">
        <f t="shared" si="0"/>
        <v>&lt;p style="font-size:14px;"&gt;&lt;br&gt;&lt;i&gt;Melee Attack - &lt;/i&gt;&lt;b&gt;Bludgeon:&lt;/b&gt; 3 AP&lt;br&gt;Damage = 6 , close range.&lt;img src=Images\line.png&gt;&lt;i&gt;Melee Attack - &lt;/i&gt;&lt;b&gt;Whelm:&lt;/b&gt; 2 AP + weirdT&lt;br&gt;Damage = 3 , close range.&lt;br&gt;Inflicts the &lt;b&gt;Entangled&lt;/b&gt; status effect on a hit.</v>
      </c>
    </row>
    <row r="15" spans="1:14" ht="135" x14ac:dyDescent="0.25">
      <c r="A15" s="5" t="s">
        <v>18</v>
      </c>
      <c r="B15" s="5" t="s">
        <v>14</v>
      </c>
      <c r="C15" s="5" t="s">
        <v>55</v>
      </c>
      <c r="D15" s="9"/>
      <c r="E15" s="5" t="s">
        <v>80</v>
      </c>
      <c r="F15" s="5" t="s">
        <v>81</v>
      </c>
      <c r="G15" s="5"/>
      <c r="H15" s="5"/>
      <c r="I15" s="5"/>
      <c r="J15" s="4" t="str">
        <f t="shared" si="0"/>
        <v>&lt;p style="font-size:12px;"&gt;&lt;br&gt;&lt;i&gt;Melee Attack -&lt;/i&gt;&lt;b&gt; Charge!:&lt;/b&gt; 3 AP or 2 AP +jazzT&lt;br&gt;Damage = hexes moved , close range.&lt;br&gt;You may move any number of hexes in a straight line as part of making the attack. &lt;br&gt;hornshexes&lt;img src=Images\line.png&gt;&lt;i&gt;Melee Attack -&lt;/i&gt;&lt;b&gt; Shove :&lt;/b&gt; 1 AP +fleshT&lt;br&gt;Damage = 2 , close range.&lt;br&gt;On a hit, the target is pushed back hexes equal to your &lt;span style="color:#e74c3c"&gt;&lt;strong&gt;Flesh&lt;/strong&gt;&lt;/span&gt;.</v>
      </c>
    </row>
    <row r="16" spans="1:14" ht="150" x14ac:dyDescent="0.25">
      <c r="A16" s="5" t="s">
        <v>25</v>
      </c>
      <c r="B16" s="5" t="s">
        <v>14</v>
      </c>
      <c r="C16" s="5"/>
      <c r="D16" s="5"/>
      <c r="E16" s="5" t="s">
        <v>82</v>
      </c>
      <c r="F16" s="5" t="s">
        <v>83</v>
      </c>
      <c r="G16" s="5"/>
      <c r="H16" s="5"/>
      <c r="I16" s="5"/>
      <c r="J16" s="4" t="str">
        <f t="shared" si="0"/>
        <v>&lt;p style="font-size:14px;"&gt;&lt;br&gt;&lt;i&gt;Melee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effect.&lt;img src=Images\line.png&gt;&lt;i&gt;Reaction - &lt;/i&gt;&lt;b&gt;Block: &lt;/b&gt;1 AP&lt;br&gt;Destroy this card to completely block an incoming attack.</v>
      </c>
    </row>
    <row r="17" spans="1:10" ht="120" x14ac:dyDescent="0.25">
      <c r="A17" s="5" t="s">
        <v>30</v>
      </c>
      <c r="B17" s="8" t="s">
        <v>14</v>
      </c>
      <c r="C17" s="5"/>
      <c r="D17" s="5"/>
      <c r="E17" s="5" t="s">
        <v>84</v>
      </c>
      <c r="F17" s="5" t="s">
        <v>85</v>
      </c>
      <c r="G17" s="5"/>
      <c r="H17" s="5"/>
      <c r="I17" s="5"/>
      <c r="J17" s="4" t="str">
        <f t="shared" si="0"/>
        <v>&lt;p style="font-size:14px;"&gt;&lt;br&gt;&lt;i&gt;Melee Attack -&lt;/i&gt;&lt;b&gt; Bite:&lt;/b&gt; 2 AP&lt;br&gt;Damage = 4 , close range.&lt;br&gt;Critical Option:&lt;br&gt;&lt;b&gt;Exalt:&lt;/b&gt; Restore your composure or gain up to 2 temporary composure.&lt;img src=Images\line.png&gt;&lt;i&gt;Ranged Attack -&lt;/i&gt;&lt;b&gt; Phage: &lt;/b&gt;2 AP&lt;br&gt;Damage = 7 &lt;br&gt;Throw this limb at your target as part of the attack, regardless of attack outcome, they now have Hungering Hand equipped .</v>
      </c>
    </row>
    <row r="18" spans="1:10" ht="150" x14ac:dyDescent="0.25">
      <c r="A18" s="5" t="s">
        <v>21</v>
      </c>
      <c r="B18" s="5" t="s">
        <v>14</v>
      </c>
      <c r="C18" s="5"/>
      <c r="D18" s="5"/>
      <c r="E18" s="5" t="s">
        <v>86</v>
      </c>
      <c r="F18" s="5" t="s">
        <v>87</v>
      </c>
      <c r="G18" s="5" t="s">
        <v>88</v>
      </c>
      <c r="H18" s="5"/>
      <c r="I18" s="5"/>
      <c r="J18" s="4" t="str">
        <f t="shared" si="0"/>
        <v>&lt;p style="font-size:14px;"&gt;&lt;br&gt;&lt;i&gt;Melee Attack - &lt;/i&gt;&lt;b&gt;Impale: &lt;/b&gt;2 AP&lt;br&gt;Damage = 5 , reach.&lt;br&gt;Must be in lance mode to use.&lt;img src=Images\line.png&gt;&lt;i&gt;Reaction - &lt;/i&gt;&lt;b&gt;Iron Petals: &lt;/b&gt;1 AP&lt;br&gt;Destroy this card to completely block an incoming attack.&lt;br&gt;Must be in flower mode to use.&lt;img src=Images\line.png&gt;&lt;b&gt;Bloom/Wither:&lt;/b&gt; 1 AP&lt;br&gt;Switch this card between lance mode or Flower mode. At the start of the combat Lanceflower Bloom begins in Flower mode.</v>
      </c>
    </row>
    <row r="19" spans="1:10" ht="135" x14ac:dyDescent="0.25">
      <c r="A19" s="5" t="s">
        <v>34</v>
      </c>
      <c r="B19" s="5" t="s">
        <v>14</v>
      </c>
      <c r="C19" s="5"/>
      <c r="D19" s="5" t="s">
        <v>53</v>
      </c>
      <c r="E19" s="5" t="s">
        <v>67</v>
      </c>
      <c r="F19" s="5" t="s">
        <v>68</v>
      </c>
      <c r="G19" s="5"/>
      <c r="H19" s="5"/>
      <c r="I19" s="5"/>
      <c r="J19" s="4" t="str">
        <f t="shared" si="0"/>
        <v>&lt;p style="font-size:14px;"&gt;&lt;br&gt;&lt;b&gt;Splinter Trail:&lt;/b&gt; 1 AP + (chargeT or weirdT)&lt;br&gt;For the rest of your turn, leave a conductive trail behind in any hex you move out of.&lt;img src=Images\line.png&gt;&lt;b&gt;Electrify:&lt;/b&gt; 2 AP&lt;br&gt;Electrify an adjacent hex and all connected conductive hexes. All beings electrified take 3 damage. This damage cannot be reduced. Hexes with water are also conductive.</v>
      </c>
    </row>
    <row r="20" spans="1:10" ht="105" x14ac:dyDescent="0.25">
      <c r="A20" s="5" t="s">
        <v>39</v>
      </c>
      <c r="B20" s="5" t="s">
        <v>14</v>
      </c>
      <c r="C20" s="5"/>
      <c r="D20" s="5"/>
      <c r="E20" s="5" t="s">
        <v>89</v>
      </c>
      <c r="F20" s="5" t="s">
        <v>119</v>
      </c>
      <c r="G20" s="5"/>
      <c r="H20" s="5"/>
      <c r="I20" s="5"/>
      <c r="J20" s="4" t="str">
        <f t="shared" si="0"/>
        <v>&lt;p style="font-size:14px;"&gt;&lt;br&gt;&lt;i&gt;Melee Attack -&lt;/i&gt;&lt;b&gt; Gnaw:&lt;/b&gt; 1 AP&lt;br&gt;Damage = 1 , close range.&lt;br&gt;This attack always hits, do not roll.&lt;img src=Images\line.png&gt;il</v>
      </c>
    </row>
    <row r="21" spans="1:10" ht="120" x14ac:dyDescent="0.25">
      <c r="A21" s="5" t="s">
        <v>23</v>
      </c>
      <c r="B21" s="5" t="s">
        <v>14</v>
      </c>
      <c r="C21" s="5"/>
      <c r="D21" s="5"/>
      <c r="E21" s="5" t="s">
        <v>90</v>
      </c>
      <c r="F21" s="5" t="s">
        <v>91</v>
      </c>
      <c r="G21" s="5"/>
      <c r="H21" s="5"/>
      <c r="I21" s="5"/>
      <c r="J21" s="4" t="str">
        <f t="shared" si="0"/>
        <v>&lt;p style="font-size:14px;"&gt;&lt;br&gt;&lt;i&gt;Melee Attack -&lt;/i&gt;&lt;b&gt; Nasty Stab:&lt;/b&gt; 3 AP&lt;br&gt;Damage = 6 , close range.&lt;br&gt;Crit options:&lt;br&gt;&lt;b&gt;Armour Piercing:&lt;/b&gt; Ignore damage reduction effects.&lt;br&gt;&lt;b&gt;Strike:&lt;/b&gt; +1 damage.&lt;img src=Images\line.png&gt;&lt;i&gt;Melee Attack - &lt;/i&gt;&lt;b&gt;Lance:&lt;/b&gt; 2 AP&lt;br&gt;Damage = 4 , reach.&lt;br&gt;Crit option:&lt;br&gt;&lt;b&gt;Dash&lt;/b&gt; Take a move action for free.</v>
      </c>
    </row>
    <row r="22" spans="1:10" ht="105" x14ac:dyDescent="0.25">
      <c r="A22" s="5" t="s">
        <v>43</v>
      </c>
      <c r="B22" s="8" t="s">
        <v>14</v>
      </c>
      <c r="C22" s="5"/>
      <c r="D22" s="5"/>
      <c r="E22" s="5" t="s">
        <v>92</v>
      </c>
      <c r="F22" s="5" t="s">
        <v>66</v>
      </c>
      <c r="G22" s="5"/>
      <c r="H22" s="5"/>
      <c r="I22" s="5"/>
      <c r="J22" s="4" t="str">
        <f t="shared" si="0"/>
        <v>&lt;p style="font-size:14px;"&gt;&lt;br&gt;&lt;i&gt;Reaction - &lt;/i&gt;&lt;b&gt;Salt in the wound:&lt;/b&gt; 1 AP or weirdT&lt;br&gt;Whenever an adjacent creature takes a wound, you may activate this and inflict the &lt;b&gt;Stunned&lt;/b&gt; status effect on them.&lt;img src=Images\line.png&gt;&lt;i&gt;Passive - &lt;b&gt;Fueled by pain:&lt;/i&gt;&lt;/b&gt;&lt;br&gt;Whenever you take a wound, gain the &lt;b&gt;Well Rested&lt;/b&gt; status effect.</v>
      </c>
    </row>
    <row r="23" spans="1:10" ht="90" x14ac:dyDescent="0.25">
      <c r="A23" s="5" t="s">
        <v>35</v>
      </c>
      <c r="B23" s="5" t="s">
        <v>14</v>
      </c>
      <c r="C23" s="5"/>
      <c r="D23" s="5"/>
      <c r="E23" s="5" t="s">
        <v>93</v>
      </c>
      <c r="F23" s="5" t="s">
        <v>59</v>
      </c>
      <c r="G23" s="5"/>
      <c r="H23" s="5"/>
      <c r="I23" s="5"/>
      <c r="J23" s="4" t="str">
        <f t="shared" si="0"/>
        <v>&lt;p style="font-size:14px;"&gt;&lt;br&gt;&lt;i&gt;Melee Attack -&lt;/i&gt; &lt;b&gt;Nip: &lt;/b&gt;2 AP&lt;br&gt;Damage = 3 , close range.&lt;br&gt;Crit option:&lt;br&gt;&lt;b&gt;Strike:&lt;/b&gt; +1 damage.&lt;br&gt;&lt;img src=Images\line.png&gt;&lt;i&gt;Passive - &lt;b&gt; Precise:&lt;/b&gt;&lt;/i&gt;&lt;br&gt;Wounds inflicted by this limb's attacks always target the stat of your choice.</v>
      </c>
    </row>
    <row r="24" spans="1:10" ht="75" x14ac:dyDescent="0.25">
      <c r="A24" s="10" t="s">
        <v>31</v>
      </c>
      <c r="B24" s="5" t="s">
        <v>14</v>
      </c>
      <c r="C24" s="11"/>
      <c r="D24" s="10"/>
      <c r="E24" s="12" t="s">
        <v>94</v>
      </c>
      <c r="F24" s="12"/>
      <c r="G24" s="12"/>
      <c r="H24" s="12"/>
      <c r="I24" s="13"/>
      <c r="J24" s="4" t="str">
        <f t="shared" si="0"/>
        <v>&lt;p style="font-size:14px;"&gt;&lt;br&gt;&lt;i&gt;Ranged Attack - &lt;/i&gt;&lt;b&gt;Corrosive spit: &lt;/b&gt;2 AP + weirdT&lt;br&gt;Damage = 4. &lt;br&gt;Ignores damage reduction effects.</v>
      </c>
    </row>
    <row r="25" spans="1:10" ht="135" x14ac:dyDescent="0.25">
      <c r="A25" s="5" t="s">
        <v>22</v>
      </c>
      <c r="B25" s="5" t="s">
        <v>14</v>
      </c>
      <c r="C25" s="5"/>
      <c r="D25" s="5"/>
      <c r="E25" s="5" t="s">
        <v>95</v>
      </c>
      <c r="F25" s="5" t="s">
        <v>96</v>
      </c>
      <c r="G25" s="5" t="s">
        <v>109</v>
      </c>
      <c r="H25" s="5"/>
      <c r="I25" s="5"/>
      <c r="J25" s="4" t="str">
        <f t="shared" si="0"/>
        <v>&lt;p style="font-size:14px;"&gt;&lt;br&gt;&lt;i&gt;Melee Attack -&lt;/i&gt;&lt;b&gt; Slam:&lt;/b&gt; 4 AP&lt;br&gt;Damage = 8, close range.&lt;br&gt;&lt;img src=Images\line.png&gt;&lt;b&gt;Wall of Splendor: &lt;/b&gt;1 AP&lt;br&gt;Place the slab down on an adjacent hex, it extends straight on each side to become a three hex wall, if there is space. This wall blocks vision and is indestructable.&lt;img src=Images\line.png&gt;&lt;b&gt;Reclaim: &lt;/b&gt;3 AP or fleshtfleshtfleshT&lt;br&gt;Pick up a deployed painted slab, any adjacent being can do this.</v>
      </c>
    </row>
    <row r="26" spans="1:10" ht="60" x14ac:dyDescent="0.25">
      <c r="A26" s="5" t="s">
        <v>33</v>
      </c>
      <c r="B26" s="5" t="s">
        <v>14</v>
      </c>
      <c r="C26" s="5"/>
      <c r="D26" s="5"/>
      <c r="E26" s="5" t="s">
        <v>97</v>
      </c>
      <c r="F26" s="5"/>
      <c r="G26" s="5"/>
      <c r="H26" s="5"/>
      <c r="I26" s="5"/>
      <c r="J26" s="4" t="str">
        <f t="shared" si="0"/>
        <v>&lt;p style="font-size:14px;"&gt;&lt;br&gt;&lt;i&gt;Ranged Attack -&lt;/i&gt;&lt;b&gt; Fling:&lt;/b&gt; 2 AP&lt;br&gt;Damage = 4. &lt;br&gt;You take 1 damage when you use this attack.</v>
      </c>
    </row>
    <row r="27" spans="1:10" ht="105" x14ac:dyDescent="0.25">
      <c r="A27" s="5" t="s">
        <v>15</v>
      </c>
      <c r="B27" s="8" t="s">
        <v>14</v>
      </c>
      <c r="C27" s="5"/>
      <c r="D27" s="5"/>
      <c r="E27" s="5" t="s">
        <v>98</v>
      </c>
      <c r="F27" s="5" t="s">
        <v>118</v>
      </c>
      <c r="G27" s="5"/>
      <c r="H27" s="5"/>
      <c r="I27" s="5"/>
      <c r="J27" s="4" t="str">
        <f t="shared" si="0"/>
        <v>&lt;p style="font-size:14px;"&gt;&lt;br&gt;&lt;b&gt;Embed:&lt;/b&gt; weirdt&lt;br&gt;Place a 1 hex sized heartstone on an adjacent hex. It will break if it takes damage.&lt;img src=Images\line.png&gt;&lt;i&gt;Passive - &lt;b&gt; Living Rythm:&lt;/i&gt;&lt;/b&gt;&lt;br&gt;While there is at least 1 heartstone on the map, you gain up to 3 temporary composure at the end of your turn.</v>
      </c>
    </row>
    <row r="28" spans="1:10" ht="75" x14ac:dyDescent="0.25">
      <c r="A28" s="5" t="s">
        <v>26</v>
      </c>
      <c r="B28" s="5" t="s">
        <v>14</v>
      </c>
      <c r="C28" s="5"/>
      <c r="D28" s="5" t="s">
        <v>54</v>
      </c>
      <c r="E28" s="5" t="s">
        <v>99</v>
      </c>
      <c r="F28" s="5" t="s">
        <v>100</v>
      </c>
      <c r="G28" s="5"/>
      <c r="H28" s="5"/>
      <c r="I28" s="5"/>
      <c r="J28" s="4" t="str">
        <f t="shared" si="0"/>
        <v>&lt;p style="font-size:14px;"&gt;&lt;br&gt;&lt;i&gt;Ranged Attack - &lt;/i&gt;&lt;b&gt;Throw: &lt;/b&gt;1 AP + charget&lt;br&gt;Damage = &lt;span style="color:#e74c3c"&gt;&lt;strong&gt;Flesh&lt;/strong&gt;&lt;/span&gt;.&lt;img src=Images\line.png&gt;&lt;b&gt;Rummage:&lt;/b&gt; 3 AP + fleshT&lt;br&gt;Recharge this item.</v>
      </c>
    </row>
    <row r="29" spans="1:10" ht="105" x14ac:dyDescent="0.25">
      <c r="A29" s="5" t="s">
        <v>32</v>
      </c>
      <c r="B29" s="5" t="s">
        <v>14</v>
      </c>
      <c r="C29" s="5"/>
      <c r="D29" s="5"/>
      <c r="E29" s="5" t="s">
        <v>108</v>
      </c>
      <c r="F29" s="5" t="s">
        <v>101</v>
      </c>
      <c r="G29" s="5"/>
      <c r="H29" s="5"/>
      <c r="I29" s="5"/>
      <c r="J29" s="4" t="str">
        <f t="shared" si="0"/>
        <v>&lt;p style="font-size:14px;"&gt;&lt;br&gt;&lt;i&gt;Melee Attack -&lt;/i&gt; &lt;b&gt;Thump: &lt;/b&gt;2 AP&lt;br&gt;Damage =4, close range.&lt;br&gt;Crit Option:&lt;br&gt;&lt;b&gt;Concuss:&lt;/b&gt; Inflict the &lt;b&gt;Stunned&lt;/b&gt; status effect.&lt;img src=Images\line.png&gt;&lt;b&gt;Dig:&lt;/b&gt; 1 AP or fleshT&lt;br&gt;Clear an adjacent hex of any player generated terrain features.</v>
      </c>
    </row>
    <row r="30" spans="1:10" ht="105" x14ac:dyDescent="0.25">
      <c r="A30" s="5" t="s">
        <v>65</v>
      </c>
      <c r="B30" s="5" t="s">
        <v>14</v>
      </c>
      <c r="C30" s="5"/>
      <c r="D30" s="5"/>
      <c r="E30" s="5" t="s">
        <v>114</v>
      </c>
      <c r="F30" s="5"/>
      <c r="G30" s="5"/>
      <c r="H30" s="5"/>
      <c r="I30" s="5"/>
      <c r="J30" s="4" t="str">
        <f>_xlfn.CONCAT(M$2,E30,IF(F30="","","&lt;img src=Images\line.png&gt;"),F30,IF(G30="","","&lt;img src=Images\line.png&gt;"),G30,IF(H30="","","&lt;img src=Images\line.png&gt;"),H30,)</f>
        <v>&lt;p style="font-size:14px;"&gt;&lt;br&gt;&lt;i&gt;Ranged Attack&lt;/i&gt; -&lt;b&gt; Yoink:&lt;/b&gt; 1 AP&lt;br&gt;Damage = 0.&lt;br&gt;Pull the target to an adjacent hex on a hit&lt;br&gt;Crit Option:&lt;br&gt;&lt;b&gt;Entangle:&lt;/b&gt; Inflict the &lt;b&gt;Entangled&lt;/b&gt; status effect.</v>
      </c>
    </row>
    <row r="31" spans="1:10" ht="120" x14ac:dyDescent="0.25">
      <c r="A31" s="5" t="s">
        <v>40</v>
      </c>
      <c r="B31" s="5" t="s">
        <v>14</v>
      </c>
      <c r="C31" s="5"/>
      <c r="D31" s="5"/>
      <c r="E31" s="5" t="s">
        <v>102</v>
      </c>
      <c r="F31" s="5" t="s">
        <v>60</v>
      </c>
      <c r="G31" s="5"/>
      <c r="H31" s="5"/>
      <c r="I31" s="5"/>
      <c r="J31" s="4" t="str">
        <f t="shared" ref="J31:J36" si="1">IF(C31="yes",_xlfn.CONCAT($N$2,E31,IF(F31="","","&lt;img src=Images\line.png&gt;"),F31,IF(G31="","","&lt;img src=Images\line.png&gt;"),G31,IF(H31="","","&lt;img src=Images\line.png&gt;"),H31,),_xlfn.CONCAT($M$2,E31,IF(F31="","","&lt;img src=Images\line.png&gt;"),F31,IF(G31="","","&lt;img src=Images\line.png&gt;"),G31,IF(H31="","","&lt;img src=Images\line.png&gt;"),H31,))</f>
        <v>&lt;p style="font-size:14px;"&gt;&lt;br&gt;&lt;i&gt;Melee Attack -&lt;/i&gt;&lt;b&gt; Slime Glob: &lt;/b&gt;2 AP&lt;br&gt;Damage = 2, reach.&lt;br&gt;Inflicts the &lt;b&gt;Entangled&lt;/b&gt; status effect on a hit.&lt;img src=Images\line.png&gt;&lt;i&gt;Passive - &lt;b&gt; Secretions:&lt;/i&gt;&lt;/b&gt;&lt;br&gt;When you take a move action, you may spend weirdt to leave a trail of goo in all hexes moved out of. Moving through this goo costs 2 hexes of movement per hex.</v>
      </c>
    </row>
    <row r="32" spans="1:10" ht="165" x14ac:dyDescent="0.25">
      <c r="A32" s="5" t="s">
        <v>24</v>
      </c>
      <c r="B32" s="5" t="s">
        <v>14</v>
      </c>
      <c r="C32" s="5"/>
      <c r="D32" s="5"/>
      <c r="E32" s="5" t="s">
        <v>103</v>
      </c>
      <c r="F32" s="5"/>
      <c r="G32" s="5"/>
      <c r="H32" s="5"/>
      <c r="I32" s="5"/>
      <c r="J32" s="4" t="str">
        <f t="shared" si="1"/>
        <v>&lt;p style="font-size:14px;"&gt;&lt;br&gt;&lt;i&gt;Melee Attack - &lt;/i&gt;&lt;b&gt;Prod:&lt;/b&gt; 2 AP&lt;br&gt;Damage = 4 , reach.&lt;br&gt;This can only target non-adjacent beings.&lt;br&gt;Crit Option:&lt;br&gt;&lt;b&gt;Impale:&lt;/b&gt; Move to a hex adjacent to the target, deal + 3 damage and restore your composure. This can only be chosen once per attack.</v>
      </c>
    </row>
    <row r="33" spans="1:10" ht="240" x14ac:dyDescent="0.25">
      <c r="A33" s="5" t="s">
        <v>38</v>
      </c>
      <c r="B33" s="5" t="s">
        <v>14</v>
      </c>
      <c r="C33" s="5" t="s">
        <v>55</v>
      </c>
      <c r="D33" s="5"/>
      <c r="E33" s="5" t="s">
        <v>104</v>
      </c>
      <c r="F33" s="5" t="s">
        <v>112</v>
      </c>
      <c r="G33" s="5" t="s">
        <v>61</v>
      </c>
      <c r="H33" s="5" t="s">
        <v>62</v>
      </c>
      <c r="I33" s="5"/>
      <c r="J33" s="4" t="str">
        <f t="shared" si="1"/>
        <v>&lt;p style="font-size:12px;"&gt;&lt;br&gt;&lt;i&gt;Melee Attack - &lt;/i&gt;&lt;b&gt;Zap:&lt;/b&gt; 2 AP&lt;br&gt;Damage = 2 , close range.&lt;br&gt;Ignores damage reduction effects.&lt;br&gt;&lt;img src=Images\line.png&gt;&lt;b&gt;Channel Storm -&lt;/b&gt; 2 AP + weirdT:&lt;br&gt;Create a 1 hex strom cloud on target empty hex.&lt;img src=Images\line.png&gt;&lt;i&gt;Passive - &lt;b&gt; Growing storm:&lt;/i&gt;&lt;/b&gt;&lt;br&gt;At the start of your turn, each storm cloud grows by one hex in all directions.&lt;img src=Images\line.png&gt;&lt;i&gt;Passive -&lt;b&gt; Electrified:&lt;/b&gt;&lt;/i&gt;&lt;br&gt;Whenever you spend weirdT, all beings underneath a storm cloud take 3 damage. This ignores damage reduction.</v>
      </c>
    </row>
    <row r="34" spans="1:10" ht="75" x14ac:dyDescent="0.25">
      <c r="A34" s="5" t="s">
        <v>13</v>
      </c>
      <c r="B34" s="5" t="s">
        <v>14</v>
      </c>
      <c r="C34" s="5"/>
      <c r="D34" s="5"/>
      <c r="E34" s="5" t="s">
        <v>111</v>
      </c>
      <c r="F34" s="5" t="s">
        <v>110</v>
      </c>
      <c r="G34" s="5"/>
      <c r="H34" s="5"/>
      <c r="I34" s="5"/>
      <c r="J34" s="4" t="str">
        <f t="shared" si="1"/>
        <v>&lt;p style="font-size:14px;"&gt;&lt;br&gt;&lt;i&gt;Melee Attack - &lt;/i&gt;&lt;b&gt;Crush:&lt;/b&gt; 3 AP&lt;br&gt;Damage = 6 , close range.&lt;img src=Images\line.png&gt;&lt;b&gt;Reverberate:&lt;/b&gt; 1 AP or weirdT&lt;br&gt;You and any number of target allies gain the &lt;b&gt;Monstrous&lt;/b&gt; status effect.</v>
      </c>
    </row>
    <row r="35" spans="1:10" ht="120" x14ac:dyDescent="0.25">
      <c r="A35" s="5" t="s">
        <v>36</v>
      </c>
      <c r="B35" s="5" t="s">
        <v>14</v>
      </c>
      <c r="C35" s="5"/>
      <c r="D35" s="5"/>
      <c r="E35" s="5" t="s">
        <v>113</v>
      </c>
      <c r="F35" s="5" t="s">
        <v>120</v>
      </c>
      <c r="G35" s="5"/>
      <c r="H35" s="5"/>
      <c r="I35" s="5"/>
      <c r="J35" s="4" t="str">
        <f t="shared" si="1"/>
        <v>&lt;p style="font-size:14px;"&gt;&lt;br&gt;&lt;i&gt;Melee Attack - &lt;/i&gt;&lt;b&gt;Lance: &lt;/b&gt;2 AP&lt;br&gt;Damage = 3 , reach.&lt;br&gt;Crit Option:&lt;br&gt;&lt;b&gt;Venom: &lt;/b&gt;Inflict the &lt;b&gt;Stunned&lt;/b&gt; status effect.&lt;img src=Images\line.png&gt;&lt;i&gt;Reaction - &lt;/i&gt;&lt;b&gt;Jab: &lt;/b&gt;2 AP + jazzt&lt;br&gt;immediately use the Lance attack at no further cost on a being that has entered your attack range for the first time on their turn.</v>
      </c>
    </row>
    <row r="36" spans="1:10" ht="120" x14ac:dyDescent="0.25">
      <c r="A36" s="5" t="s">
        <v>28</v>
      </c>
      <c r="B36" s="5" t="s">
        <v>14</v>
      </c>
      <c r="C36" s="5"/>
      <c r="D36" s="5"/>
      <c r="E36" s="5" t="s">
        <v>105</v>
      </c>
      <c r="F36" s="5" t="s">
        <v>69</v>
      </c>
      <c r="G36" s="5"/>
      <c r="H36" s="5"/>
      <c r="I36" s="5"/>
      <c r="J36" s="4" t="str">
        <f t="shared" si="1"/>
        <v>&lt;p style="font-size:14px;"&gt;&lt;br&gt;&lt;i&gt;Melee Attack - &lt;/i&gt;&lt;b&gt;Lash Out:&lt;/b&gt; 2 AP&lt;br&gt;Damage = 4 , reach.&lt;img src=Images\line.png&gt;&lt;b&gt;Summon Saplings:&lt;/b&gt; weirdtweirdT&lt;br&gt;Fill 3 target connected empty hexes with a willow tree which blocks movement and vision. Each hex can be individually destroyed by dealing damage.</v>
      </c>
    </row>
    <row r="37" spans="1:10" x14ac:dyDescent="0.25">
      <c r="A37" s="5"/>
      <c r="B37" s="5"/>
      <c r="C37" s="5"/>
      <c r="D37" s="5"/>
      <c r="E37" s="5"/>
      <c r="F37" s="5"/>
      <c r="G37" s="5"/>
      <c r="H37" s="5"/>
      <c r="I37" s="5"/>
      <c r="J37" s="4"/>
    </row>
    <row r="38" spans="1:10" x14ac:dyDescent="0.25">
      <c r="A38" s="5"/>
      <c r="B38" s="5"/>
      <c r="C38" s="5"/>
      <c r="D38" s="5"/>
      <c r="E38" s="5"/>
      <c r="F38" s="5"/>
      <c r="G38" s="5"/>
      <c r="H38" s="5"/>
      <c r="I38" s="5"/>
      <c r="J38" s="4"/>
    </row>
    <row r="39" spans="1:10" x14ac:dyDescent="0.25">
      <c r="A39" s="5"/>
      <c r="B39" s="5"/>
      <c r="C39" s="5"/>
      <c r="D39" s="5"/>
      <c r="E39" s="5"/>
      <c r="F39" s="5"/>
      <c r="G39" s="5"/>
      <c r="H39" s="5"/>
      <c r="I39" s="5"/>
      <c r="J39" s="4"/>
    </row>
  </sheetData>
  <conditionalFormatting sqref="B3:B4">
    <cfRule type="containsText" dxfId="34" priority="1" operator="containsText" text="Accessory">
      <formula>NOT(ISERROR(SEARCH(("Accessory"),(B3))))</formula>
    </cfRule>
    <cfRule type="containsText" dxfId="33" priority="2" operator="containsText" text="Armour">
      <formula>NOT(ISERROR(SEARCH(("Armour"),(B3))))</formula>
    </cfRule>
    <cfRule type="containsText" dxfId="32" priority="3" operator="containsText" text="Equipment">
      <formula>NOT(ISERROR(SEARCH(("Equipment"),(B3))))</formula>
    </cfRule>
    <cfRule type="containsText" dxfId="31" priority="4" operator="containsText" text="Impression">
      <formula>NOT(ISERROR(SEARCH(("Impression"),(B3))))</formula>
    </cfRule>
    <cfRule type="containsText" dxfId="30" priority="5" operator="containsText" text="Spell">
      <formula>NOT(ISERROR(SEARCH(("Spell"),(B3))))</formula>
    </cfRule>
  </conditionalFormatting>
  <conditionalFormatting sqref="B7">
    <cfRule type="containsText" dxfId="29" priority="35" operator="containsText" text="Spell">
      <formula>NOT(ISERROR(SEARCH(("Spell"),(B7))))</formula>
    </cfRule>
    <cfRule type="containsText" dxfId="28" priority="34" operator="containsText" text="Impression">
      <formula>NOT(ISERROR(SEARCH(("Impression"),(B7))))</formula>
    </cfRule>
    <cfRule type="containsText" dxfId="27" priority="33" operator="containsText" text="Equipment">
      <formula>NOT(ISERROR(SEARCH(("Equipment"),(B7))))</formula>
    </cfRule>
    <cfRule type="containsText" dxfId="26" priority="32" operator="containsText" text="Armour">
      <formula>NOT(ISERROR(SEARCH(("Armour"),(B7))))</formula>
    </cfRule>
    <cfRule type="containsText" dxfId="25" priority="31" operator="containsText" text="Accessory">
      <formula>NOT(ISERROR(SEARCH(("Accessory"),(B7))))</formula>
    </cfRule>
  </conditionalFormatting>
  <conditionalFormatting sqref="B12">
    <cfRule type="containsText" dxfId="24" priority="30" operator="containsText" text="Spell">
      <formula>NOT(ISERROR(SEARCH(("Spell"),(B12))))</formula>
    </cfRule>
    <cfRule type="containsText" dxfId="23" priority="29" operator="containsText" text="Impression">
      <formula>NOT(ISERROR(SEARCH(("Impression"),(B12))))</formula>
    </cfRule>
    <cfRule type="containsText" dxfId="22" priority="28" operator="containsText" text="Equipment">
      <formula>NOT(ISERROR(SEARCH(("Equipment"),(B12))))</formula>
    </cfRule>
    <cfRule type="containsText" dxfId="21" priority="27" operator="containsText" text="Armour">
      <formula>NOT(ISERROR(SEARCH(("Armour"),(B12))))</formula>
    </cfRule>
    <cfRule type="containsText" dxfId="20" priority="26" operator="containsText" text="Accessory">
      <formula>NOT(ISERROR(SEARCH(("Accessory"),(B12))))</formula>
    </cfRule>
  </conditionalFormatting>
  <conditionalFormatting sqref="B17">
    <cfRule type="containsText" dxfId="19" priority="21" operator="containsText" text="Accessory">
      <formula>NOT(ISERROR(SEARCH(("Accessory"),(B17))))</formula>
    </cfRule>
    <cfRule type="containsText" dxfId="18" priority="22" operator="containsText" text="Armour">
      <formula>NOT(ISERROR(SEARCH(("Armour"),(B17))))</formula>
    </cfRule>
    <cfRule type="containsText" dxfId="17" priority="23" operator="containsText" text="Equipment">
      <formula>NOT(ISERROR(SEARCH(("Equipment"),(B17))))</formula>
    </cfRule>
    <cfRule type="containsText" dxfId="16" priority="24" operator="containsText" text="Impression">
      <formula>NOT(ISERROR(SEARCH(("Impression"),(B17))))</formula>
    </cfRule>
    <cfRule type="containsText" dxfId="15" priority="25" operator="containsText" text="Spell">
      <formula>NOT(ISERROR(SEARCH(("Spell"),(B17))))</formula>
    </cfRule>
  </conditionalFormatting>
  <conditionalFormatting sqref="B22">
    <cfRule type="containsText" dxfId="14" priority="20" operator="containsText" text="Spell">
      <formula>NOT(ISERROR(SEARCH(("Spell"),(B22))))</formula>
    </cfRule>
    <cfRule type="containsText" dxfId="13" priority="19" operator="containsText" text="Impression">
      <formula>NOT(ISERROR(SEARCH(("Impression"),(B22))))</formula>
    </cfRule>
    <cfRule type="containsText" dxfId="12" priority="18" operator="containsText" text="Equipment">
      <formula>NOT(ISERROR(SEARCH(("Equipment"),(B22))))</formula>
    </cfRule>
    <cfRule type="containsText" dxfId="11" priority="17" operator="containsText" text="Armour">
      <formula>NOT(ISERROR(SEARCH(("Armour"),(B22))))</formula>
    </cfRule>
    <cfRule type="containsText" dxfId="10" priority="16" operator="containsText" text="Accessory">
      <formula>NOT(ISERROR(SEARCH(("Accessory"),(B22))))</formula>
    </cfRule>
  </conditionalFormatting>
  <conditionalFormatting sqref="B27">
    <cfRule type="containsText" dxfId="9" priority="15" operator="containsText" text="Spell">
      <formula>NOT(ISERROR(SEARCH(("Spell"),(B27))))</formula>
    </cfRule>
    <cfRule type="containsText" dxfId="8" priority="14" operator="containsText" text="Impression">
      <formula>NOT(ISERROR(SEARCH(("Impression"),(B27))))</formula>
    </cfRule>
    <cfRule type="containsText" dxfId="7" priority="13" operator="containsText" text="Equipment">
      <formula>NOT(ISERROR(SEARCH(("Equipment"),(B27))))</formula>
    </cfRule>
    <cfRule type="containsText" dxfId="6" priority="12" operator="containsText" text="Armour">
      <formula>NOT(ISERROR(SEARCH(("Armour"),(B27))))</formula>
    </cfRule>
    <cfRule type="containsText" dxfId="5" priority="11" operator="containsText" text="Accessory">
      <formula>NOT(ISERROR(SEARCH(("Accessory"),(B27))))</formula>
    </cfRule>
  </conditionalFormatting>
  <conditionalFormatting sqref="B1:C2">
    <cfRule type="containsText" dxfId="4" priority="36" operator="containsText" text="Accessory">
      <formula>NOT(ISERROR(SEARCH(("Accessory"),(B1))))</formula>
    </cfRule>
    <cfRule type="containsText" dxfId="3" priority="37" operator="containsText" text="Armour">
      <formula>NOT(ISERROR(SEARCH(("Armour"),(B1))))</formula>
    </cfRule>
    <cfRule type="containsText" dxfId="2" priority="38" operator="containsText" text="Equipment">
      <formula>NOT(ISERROR(SEARCH(("Equipment"),(B1))))</formula>
    </cfRule>
    <cfRule type="containsText" dxfId="1" priority="39" operator="containsText" text="Impression">
      <formula>NOT(ISERROR(SEARCH(("Impression"),(B1))))</formula>
    </cfRule>
    <cfRule type="containsText" dxfId="0" priority="40" operator="containsText" text="Spell">
      <formula>NOT(ISERROR(SEARCH(("Spell"),(B1))))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NTK</dc:creator>
  <cp:lastModifiedBy>NTK</cp:lastModifiedBy>
  <dcterms:created xsi:type="dcterms:W3CDTF">2025-06-22T09:18:10Z</dcterms:created>
  <dcterms:modified xsi:type="dcterms:W3CDTF">2025-08-22T06:39:51Z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