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5BC657AC-C912-4ADB-9DF7-77313DFFAC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" i="1" l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<sst xmlns="http://schemas.openxmlformats.org/spreadsheetml/2006/main" count="178" uniqueCount="133">
  <si>
    <t>Name</t>
  </si>
  <si>
    <t>Type</t>
  </si>
  <si>
    <t>SmallTextTag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</si>
  <si>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</si>
  <si>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</si>
  <si>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</si>
  <si>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</si>
  <si>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</si>
  <si>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</si>
  <si>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</si>
  <si>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Baleful Eye</t>
  </si>
  <si>
    <t>Limb</t>
  </si>
  <si>
    <t>Bladed Fingers</t>
  </si>
  <si>
    <t>&lt;i&gt;Melee Attack -&lt;/i&gt;&lt;b&gt; 1000 Cuts: &lt;/b&gt;2 AP&lt;br&gt;Damage = 3 , close range.&lt;br&gt;Critical options:&lt;br&gt;&lt;b&gt;Flurry:&lt;/b&gt;Your next attack costs 1 less AP.&lt;br&gt;&lt;b&gt;Strike:&lt;/b&gt; +1 Damage.</t>
  </si>
  <si>
    <t>&lt;p style="font-size:14px;"&gt;&lt;br&gt;</t>
  </si>
  <si>
    <t>&lt;p style="font-size:12px;"&gt;&lt;br&gt;</t>
  </si>
  <si>
    <t>Chalk Vein</t>
  </si>
  <si>
    <t>&lt;b&gt;Create Sigil: &lt;/b&gt;1 AP&lt;br&gt;Draw a sigil on an adjacent tile. You may have a maximum of 3 sigils. Creating more will destroy a sigil of your choice. Other players may spend 3AP to destroy an adjacent sigil</t>
  </si>
  <si>
    <t>&lt;b&gt;Siphon: &lt;/b&gt;2 AP + weirdT&lt;br&gt;If there are 3 sigils, deal a random wound to all creatures within the triangle of sigils (edges count). Heal a wound of your choice.</t>
  </si>
  <si>
    <t>Cicada Wings</t>
  </si>
  <si>
    <t>Clay Exuder</t>
  </si>
  <si>
    <t>&lt;b&gt;Coat in Clay: &lt;/b&gt;1 AP +  weirdT&lt;br&gt;A target gains up to 4 temporary composure and -2 speed until the end of their next turn.</t>
  </si>
  <si>
    <t>&lt;i&gt;Passive -&lt;b&gt; Spreading clay: &lt;/i&gt;&lt;/b&gt;&lt;br&gt;Whenever you spend weirdt, gain up to 1 temporary composure.</t>
  </si>
  <si>
    <t>Clayling</t>
  </si>
  <si>
    <t>Crackling Geode</t>
  </si>
  <si>
    <t xml:space="preserve"> &lt;span style="color:#27ae60"&gt;&lt;strong&gt;Jazz&lt;/strong&gt;&lt;/span&gt;</t>
  </si>
  <si>
    <t>Crystal of the Deep</t>
  </si>
  <si>
    <t>&lt;b&gt;Embed: &lt;/b&gt;weirdT&lt;br&gt;Place a 1 hex crystal on an adjacent hex. The crystal breaks if it takes damage.</t>
  </si>
  <si>
    <t>&lt;i&gt;Passive -&lt;b&gt; Radiance: &lt;/b&gt;&lt;/i&gt;&lt;br&gt;At the end of your turn, if you are adjacent to a crystal, choose one of the following status effects to gain:&lt;br&gt;&lt;b&gt;Monstrous, Well Rested, Imbued.</t>
  </si>
  <si>
    <t>&lt;span style="color:#e74c3c"&gt;&lt;strong&gt;Flesh&lt;/strong&gt;&lt;/span&gt;</t>
  </si>
  <si>
    <t>Doomtouch</t>
  </si>
  <si>
    <t>&lt;i&gt;Melee Attack -&lt;/i&gt;&lt;b&gt; Thwack: &lt;/b&gt;1 AP&lt;br&gt;Damage = 1 , close range.&lt;br&gt;Critical Options:&lt;br&gt;&lt;b&gt;Omen:&lt;/b&gt; Inflict the &lt;b&gt;Cursed&lt;/b&gt; status effect.</t>
  </si>
  <si>
    <t>&lt;span style="color:#3366cc"&gt;&lt;strong&gt;Weird&lt;/strong&gt;&lt;/span&gt;</t>
  </si>
  <si>
    <t>Enflamed Lash</t>
  </si>
  <si>
    <t>&lt;i&gt;Melee Attack -&lt;/i&gt; &lt;b&gt;Flay:&lt;/b&gt; 2 AP&lt;br&gt;Damage = 3 , close range.&lt;br&gt;Critical Options:&lt;br&gt;&lt;b&gt;Burn:&lt;/b&gt; Inflict the &lt;b&gt;Burning&lt;/b&gt; status effect.</t>
  </si>
  <si>
    <t>&lt;b&gt;Stoke the Flames:&lt;/b&gt; WeirdT&lt;br&gt;Your attacks this turn inflict the &lt;b&gt;Burning&lt;/b&gt; status effect on a hit and have + 1 range</t>
  </si>
  <si>
    <t>Granite Fists</t>
  </si>
  <si>
    <t>Grasp of Mud</t>
  </si>
  <si>
    <t>&lt;i&gt;Melee Attack - &lt;/i&gt;&lt;b&gt;Bludgeon:&lt;/b&gt; 3 AP&lt;br&gt;Damage = 6 , close range.</t>
  </si>
  <si>
    <t>Horns</t>
  </si>
  <si>
    <t>yes</t>
  </si>
  <si>
    <t>&lt;i&gt;Melee Attack -&lt;/i&gt;&lt;b&gt; Shove :&lt;/b&gt; 1 AP +fleshT&lt;br&gt;Damage = 2 , close range.&lt;br&gt;On a hit, the target is pushed back hexes equal to your &lt;span style="color:#e74c3c"&gt;&lt;strong&gt;Flesh&lt;/strong&gt;&lt;/span&gt;.</t>
  </si>
  <si>
    <t>Huge Pincer</t>
  </si>
  <si>
    <t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</si>
  <si>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>Hungering Hand</t>
  </si>
  <si>
    <t>&lt;i&gt;Ranged Attack -&lt;/i&gt;&lt;b&gt; Phage: &lt;/b&gt;2 AP&lt;br&gt;Damage = 7 &lt;br&gt;Throw this limb at your target as part of the attack, regardless of attack outcome, they now have Hungering Hand equipped .</t>
  </si>
  <si>
    <t>Lanceflower Bloom</t>
  </si>
  <si>
    <t>Lithium Geode</t>
  </si>
  <si>
    <t>ChargeBIGchargebigchargebig</t>
  </si>
  <si>
    <t>&lt;b&gt;Splinter Trail:&lt;/b&gt; 1 AP + (chargeT or weirdT)&lt;br&gt;For the rest of your turn, leave a conductive trail behind in any hex you move out of.</t>
  </si>
  <si>
    <t>&lt;b&gt;Electrify:&lt;/b&gt; 2 AP&lt;br&gt;Electrify an adjacent hex and all connected conductive hexes. All beings electrified take 3 damage. This damage cannot be reduced. Hexes with water are also conductive.</t>
  </si>
  <si>
    <t>Mandibles</t>
  </si>
  <si>
    <t>&lt;i&gt;Melee Attack -&lt;/i&gt;&lt;b&gt; Gnaw:&lt;/b&gt; 1 AP&lt;br&gt;Damage = 1 , close range.&lt;br&gt;This attack always hits, do not roll.</t>
  </si>
  <si>
    <t>il</t>
  </si>
  <si>
    <t>Mantid Scythe</t>
  </si>
  <si>
    <t>&lt;i&gt;Melee Attack -&lt;/i&gt;&lt;b&gt; Nasty Stab:&lt;/b&gt; 3 AP&lt;br&gt;Damage = 6 , close range.&lt;br&gt;Crit options:&lt;br&gt;&lt;b&gt;Armour Piercing:&lt;/b&gt; Ignore damage reduction effects.&lt;br&gt;&lt;b&gt;Strike:&lt;/b&gt; +1 damage.</t>
  </si>
  <si>
    <t>&lt;i&gt;Melee Attack - &lt;/i&gt;&lt;b&gt;Lance:&lt;/b&gt; 2 AP&lt;br&gt;Damage = 4 , reach.&lt;br&gt;Crit option:&lt;br&gt;&lt;b&gt;Dash&lt;/b&gt; Take a move action for free.</t>
  </si>
  <si>
    <t>Monolith of Pain</t>
  </si>
  <si>
    <t>&lt;i&gt;Reaction - &lt;/i&gt;&lt;b&gt;Salt in the wound:&lt;/b&gt; 1 AP or weirdT&lt;br&gt;Whenever an adjacent creature takes a wound, you may activate this and inflict the &lt;b&gt;Stunned&lt;/b&gt; status effect on them.</t>
  </si>
  <si>
    <t>&lt;i&gt;Passive - &lt;b&gt;Fueled by pain:&lt;/i&gt;&lt;/b&gt;&lt;br&gt;Whenever you take a wound, gain the &lt;b&gt;Well Rested&lt;/b&gt; status effect.</t>
  </si>
  <si>
    <t>Needle Mouthed</t>
  </si>
  <si>
    <t>&lt;i&gt;Melee Attack -&lt;/i&gt; &lt;b&gt;Nip: &lt;/b&gt;2 AP&lt;br&gt;Damage = 3 , close range.&lt;br&gt;Crit option:&lt;br&gt;&lt;b&gt;Strike:&lt;/b&gt; +1 damage.&lt;br&gt;</t>
  </si>
  <si>
    <t>&lt;i&gt;Passive - &lt;b&gt; Precise:&lt;/b&gt;&lt;/i&gt;&lt;br&gt;Wounds inflicted by this limb's attacks always target the stat of your choice.</t>
  </si>
  <si>
    <t>Noxious Trunk</t>
  </si>
  <si>
    <t>&lt;i&gt;Ranged Attack - &lt;/i&gt;&lt;b&gt;Corrosive spit: &lt;/b&gt;2 AP + weirdT&lt;br&gt;Damage = 4. &lt;br&gt;Ignores damage reduction effects.</t>
  </si>
  <si>
    <t>Painted Slab</t>
  </si>
  <si>
    <t>&lt;i&gt;Melee Attack -&lt;/i&gt;&lt;b&gt; Slam:&lt;/b&gt; 4 AP&lt;br&gt;Damage = 8, close range.&lt;br&gt;</t>
  </si>
  <si>
    <t>&lt;b&gt;Wall of Splendor: &lt;/b&gt;1 AP&lt;br&gt;Place the slab down on an adjacent hex, it extends straight on each side to become a three hex wall, if there is space. This wall blocks vision and is indestructable.</t>
  </si>
  <si>
    <t>&lt;b&gt;Reclaim: &lt;/b&gt;3 AP or fleshtfleshtfleshT&lt;br&gt;Pick up a deployed painted slab, any adjacent being can do this.</t>
  </si>
  <si>
    <t>Projectile Spines</t>
  </si>
  <si>
    <t>&lt;i&gt;Ranged Attack -&lt;/i&gt;&lt;b&gt; Fling:&lt;/b&gt; 2 AP&lt;br&gt;Damage = 4. &lt;br&gt;You take 1 damage when you use this attack.</t>
  </si>
  <si>
    <t>Pulsing Heartstone</t>
  </si>
  <si>
    <t>&lt;b&gt;Embed:&lt;/b&gt; weirdt&lt;br&gt;Place a 1 hex sized heartstone on an adjacent hex. It will break if it takes damage.</t>
  </si>
  <si>
    <t>&lt;i&gt;Passive - &lt;b&gt; Living Rythm:&lt;/i&gt;&lt;/b&gt;&lt;br&gt;While there is at least 1 heartstone on the map, you gain up to 3 temporary composure at the end of your turn.</t>
  </si>
  <si>
    <t>Rock Pouch</t>
  </si>
  <si>
    <t>chargebigchargebig</t>
  </si>
  <si>
    <t>&lt;i&gt;Ranged Attack - &lt;/i&gt;&lt;b&gt;Throw: &lt;/b&gt;1 AP + charget&lt;br&gt;Damage = &lt;span style="color:#e74c3c"&gt;&lt;strong&gt;Flesh&lt;/strong&gt;&lt;/span&gt;.</t>
  </si>
  <si>
    <t>&lt;b&gt;Rummage:&lt;/b&gt; 3 AP + fleshT&lt;br&gt;Recharge this item.</t>
  </si>
  <si>
    <t>Shovelling talons</t>
  </si>
  <si>
    <t>&lt;i&gt;Melee Attack -&lt;/i&gt; &lt;b&gt;Thump: &lt;/b&gt;2 AP&lt;br&gt;Damage =4, close range.&lt;br&gt;Crit Option:&lt;br&gt;&lt;b&gt;Concuss:&lt;/b&gt; Inflict the &lt;b&gt;Stunned&lt;/b&gt; status effect.</t>
  </si>
  <si>
    <t>&lt;b&gt;Dig:&lt;/b&gt; 1 AP or fleshT&lt;br&gt;Clear an adjacent hex of any player generated terrain features.</t>
  </si>
  <si>
    <t>Sineuous Lash</t>
  </si>
  <si>
    <t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</si>
  <si>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>Slime Shooter</t>
  </si>
  <si>
    <t>&lt;i&gt;Melee Attack -&lt;/i&gt;&lt;b&gt; Slime Glob: &lt;/b&gt;2 AP&lt;br&gt;Damage = 2, reach.&lt;br&gt;Inflicts the &lt;b&gt;Entangled&lt;/b&gt; status effect on a hit.</t>
  </si>
  <si>
    <t>&lt;i&gt;Passive - &lt;b&gt; Secretions:&lt;/i&gt;&lt;/b&gt;&lt;br&gt;When you take a move action, you may spend weirdt to leave a trail of goo in all hexes moved out of. Moving through this goo costs 2 hexes of movement per hex.</t>
  </si>
  <si>
    <t>Stalagmite</t>
  </si>
  <si>
    <t>Storm Conduit</t>
  </si>
  <si>
    <t>Thrumming Moonstone</t>
  </si>
  <si>
    <t>Venemous Tail</t>
  </si>
  <si>
    <t>Willow Parasite</t>
  </si>
  <si>
    <t>Cloven Hoof</t>
  </si>
  <si>
    <t>Dolem Piston</t>
  </si>
  <si>
    <t>Explosive Polyps</t>
  </si>
  <si>
    <t>Hammer and Chisel</t>
  </si>
  <si>
    <t>Locked Screen Mouth</t>
  </si>
  <si>
    <t>Oversized Claw</t>
  </si>
  <si>
    <t>Quartz Seed</t>
  </si>
  <si>
    <t>Sneak Spurs</t>
  </si>
  <si>
    <t>Steam Vent</t>
  </si>
  <si>
    <t>Stone-Swivel Hinge</t>
  </si>
  <si>
    <t>Thermal Funnel</t>
  </si>
  <si>
    <t>Torsion Ribs</t>
  </si>
  <si>
    <t>Twitching Talons</t>
  </si>
  <si>
    <t>Withered Hand</t>
  </si>
  <si>
    <t>Explosive Lesion</t>
  </si>
  <si>
    <t>&lt;i&gt;Ranged Attack -&lt;/i&gt;&lt;b&gt; Scorn:&lt;/b&gt; 2 AP&lt;br&gt;Damage = 4&lt;br&gt;This attack can only target your hated target.&lt;br&gt;Critical options:&lt;br&gt;&lt;b&gt;Omen:&lt;/b&gt; inflict the &lt;b&gt;Cursed&lt;/b&gt; status effect</t>
  </si>
  <si>
    <t>&lt;b&gt;Fly: &lt;/b&gt;2 AP or  weirdT&lt;br&gt;Make a move action with + 1 speed, ignore terrain during this move (within reason).</t>
  </si>
  <si>
    <t>&lt;b&gt;Chirp Tune: &lt;/b&gt;3 AP&lt;br&gt;You and any number of target allies each gain up to 3 temporary composure.</t>
  </si>
  <si>
    <t>&lt;i&gt;Passive -&lt;b&gt; Autonomous Limb: &lt;/i&gt;&lt;/b&gt;&lt;br&gt;At the end of your turn, this limb uses &lt;b&gt;Flail&lt;/b&gt; for free, it will target you if there are no other targets available.&lt;br&gt;Melee Attack - &lt;b&gt;Flail:&lt;br&gt;&lt;/b&gt;Damage = 4, close range.</t>
  </si>
  <si>
    <t>&lt;i&gt;Melee Attack -&lt;/i&gt;&lt;b&gt; Back-kick: &lt;/b&gt;2 AP&lt;br&gt;Damage = 4 , close range.&lt;br&gt;</t>
  </si>
  <si>
    <t>Critical options:&lt;br&gt;&lt;b&gt;Dash:&lt;/b&gt; Take a move action.&lt;br&gt;&lt;b&gt;Mighty Shove:&lt;/b&gt; Push the target 2 hexes.</t>
  </si>
  <si>
    <t>&lt;i&gt;Melee Attack -&lt;/i&gt;&lt;b&gt; Shock: &lt;/b&gt;2 AP&lt;br&gt;Damage = 1 , reach.&lt;br&gt;This damage cannot be reduced.</t>
  </si>
  <si>
    <t>&lt;i&gt;Melee Attack -&lt;/i&gt;&lt;b&gt; Smash: &lt;/b&gt;2 AP + 3 Composure&lt;br&gt;Damage = 5 , close range.&lt;br&gt;</t>
  </si>
  <si>
    <t>&lt;b&gt;Drive-Power: &lt;/b&gt;weirdt&lt;br&gt;Add +1 damage and +1 range to attacks this turn, use only once each turn.</t>
  </si>
  <si>
    <t>&lt;b&gt;Smear:&lt;/b&gt; 2 AP + weirdT weirdT&lt;br&gt;Inflict the &lt;b&gt;Cursed&lt;/b&gt; status effect on a target in close range.</t>
  </si>
  <si>
    <t>&lt;i&gt;Reaction - &lt;/i&gt;&lt;b&gt;Burst Block: &lt;/b&gt;&lt;br&gt;Destroy this card to completely block an incoming attack and deal 5 damage to all adjacent beings.</t>
  </si>
  <si>
    <t>&lt;b&gt;Lay Egg:&lt;/b&gt; 1 AP + (chargeT or  weirdT)&lt;br&gt;Place an explosive egg on an adjacent hex.</t>
  </si>
  <si>
    <t>&lt;i&gt;Reaction - &lt;/i&gt;&lt;b&gt;Detonate:&lt;/b&gt; 1 AP&lt;br&gt;All eggs on the map explode, adjacent beings take 5 damage and terrain is destroyed, including walls.</t>
  </si>
  <si>
    <t>&lt;i&gt;Melee Attack - &lt;/i&gt;&lt;b&gt;Whelm:&lt;/b&gt; 1 AP + weirdT&lt;br&gt;Damage = 3 , close range.&lt;br&gt;Inflicts the &lt;b&gt;Entangled&lt;/b&gt; status effect on a hit.</t>
  </si>
  <si>
    <t>&lt;i&gt;Passive -&lt;b&gt; Sparks: &lt;/i&gt;&lt;/b&gt;Whenever you spend weirdt, deal 1 damage to any target. This damage cannot be reduced.</t>
  </si>
  <si>
    <t>&lt;i&gt;Melee Attack - &lt;/i&gt;&lt;b&gt;Vandalise:&lt;/b&gt; 2 AP&lt;br&gt;Damage = 2 , close range.&lt;br&gt;On a hit, you may destroy this card to destroy any equipped Limb or Impression from the target.</t>
  </si>
  <si>
    <t>chargeBIG chargeBIG</t>
  </si>
  <si>
    <t>&lt;i&gt;Melee Attack - &lt;/i&gt;&lt;b&gt;Crush:&lt;/b&gt; 4 AP or (2 AP + fleshT fleshT)&lt;br&gt;Damage = 8 , close range.&lt;br&gt;Critical Options:&lt;b&gt;&lt;br&gt;Concuss:&lt;/b&gt; Inflict the &lt;b&gt;Stunned&lt;/b&gt; status effect.</t>
  </si>
  <si>
    <t>&lt;i&gt;Melee Attack -&lt;/i&gt;&lt;b&gt; Charge!:&lt;/b&gt; 2 AP&lt;br&gt;Damage = hexes moved , close range.&lt;br&gt;You may move any number of hexes in a straight line as part of making the attack. &lt;br&gt;hornshexes</t>
  </si>
  <si>
    <t>&lt;i&gt;Melee Attack -&lt;/i&gt;&lt;b&gt; Bite:&lt;/b&gt; 2 AP&lt;br&gt;Damage = 4 , close range.&lt;br&gt;</t>
  </si>
  <si>
    <t>&lt;i&gt;Melee Attack - &lt;/i&gt;&lt;b&gt;Impale: &lt;/b&gt;2 AP&lt;br&gt;Damage = 4 , reach.</t>
  </si>
  <si>
    <t>&lt;i&gt;Reaction - &lt;/i&gt;&lt;b&gt;Bloom: &lt;/b&gt; WeirdT + &lt;b&gt;exhausted&lt;/b&gt; &lt;br&gt;Destroy this card to completely block an incoming attack.</t>
  </si>
  <si>
    <t>Effect 1 Title</t>
  </si>
  <si>
    <t>Effect 1 Type</t>
  </si>
  <si>
    <t>Mark a target as your hated target. You can only have one target at a time.</t>
  </si>
  <si>
    <t>&lt;b&gt;Rancor: &lt;/b&gt;2 AP + weirdTJazzT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</si>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</sst>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0"/>
        <bgColor rgb="FF9696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 readingOrder="1"/>
    </xf>
    <xf numFmtId="0" fontId="0" fillId="3" borderId="3" xfId="0" applyFill="1" applyBorder="1" applyAlignment="1">
      <alignment horizontal="left" vertical="top" wrapText="1" readingOrder="1"/>
    </xf>
    <xf numFmtId="0" fontId="0" fillId="0" borderId="1" xfId="0" applyBorder="1"/>
    <xf numFmtId="0" fontId="0" fillId="0" borderId="0" xfId="0" applyAlignment="1">
      <alignment horizontal="left" wrapText="1" readingOrder="1"/>
    </xf>
    <xf numFmtId="0" fontId="0" fillId="4" borderId="1" xfId="0" applyFill="1" applyBorder="1" applyAlignment="1">
      <alignment horizontal="left" wrapText="1" readingOrder="1"/>
    </xf>
    <xf numFmtId="0" fontId="0" fillId="0" borderId="0" xfId="0" applyBorder="1" applyAlignment="1">
      <alignment horizontal="left" wrapText="1" readingOrder="1"/>
    </xf>
  </cellXfs>
  <cellStyles count="1"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54" totalsRowShown="0">
  <autoFilter ref="A1:L54" xr:uid="{00000000-0009-0000-0100-000001000000}"/>
  <sortState xmlns:xlrd2="http://schemas.microsoft.com/office/spreadsheetml/2017/richdata2" ref="A2:L54">
    <sortCondition ref="A1:A54"/>
  </sortState>
  <tableColumns count="12">
    <tableColumn id="1" xr3:uid="{00000000-0010-0000-0000-000001000000}" name="Name"/>
    <tableColumn id="2" xr3:uid="{00000000-0010-0000-0000-000002000000}" name="Type"/>
    <tableColumn id="3" xr3:uid="{00000000-0010-0000-0000-000003000000}" name="SmallTextTag"/>
    <tableColumn id="4" xr3:uid="{00000000-0010-0000-0000-000004000000}" name="TopRightText"/>
    <tableColumn id="12" xr3:uid="{61FB1168-E521-4999-B9B1-B541D01EF8B8}" name="Effect 1 Type" dataDxfId="0"/>
    <tableColumn id="11" xr3:uid="{728899FC-C50B-4AB0-8157-B2961DC174E5}" name="Effect 1 Title" dataDxfId="6"/>
    <tableColumn id="5" xr3:uid="{00000000-0010-0000-0000-000005000000}" name="Effect 1"/>
    <tableColumn id="6" xr3:uid="{00000000-0010-0000-0000-000006000000}" name="Effect 2"/>
    <tableColumn id="7" xr3:uid="{00000000-0010-0000-0000-000007000000}" name="Effect 3"/>
    <tableColumn id="8" xr3:uid="{00000000-0010-0000-0000-000008000000}" name="Effect 4"/>
    <tableColumn id="9" xr3:uid="{00000000-0010-0000-0000-000009000000}" name="Flavour Text"/>
    <tableColumn id="10" xr3:uid="{00000000-0010-0000-0000-00000A000000}" name="Body HTM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zoomScaleNormal="100" workbookViewId="0">
      <selection activeCell="G2" sqref="G2"/>
    </sheetView>
  </sheetViews>
  <sheetFormatPr defaultColWidth="8.5703125" defaultRowHeight="15" customHeight="1" x14ac:dyDescent="0.25"/>
  <cols>
    <col min="1" max="3" width="11" customWidth="1"/>
    <col min="4" max="4" width="25.7109375" customWidth="1"/>
    <col min="5" max="5" width="28.140625" customWidth="1"/>
    <col min="6" max="6" width="25.42578125" customWidth="1"/>
    <col min="7" max="7" width="19.85546875" customWidth="1"/>
    <col min="8" max="8" width="11" customWidth="1"/>
    <col min="9" max="9" width="11.140625" customWidth="1"/>
    <col min="10" max="10" width="54.7109375" customWidth="1"/>
    <col min="11" max="11" width="18.28515625" customWidth="1"/>
  </cols>
  <sheetData>
    <row r="1" spans="1:16" ht="30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129</v>
      </c>
      <c r="F1" s="1" t="s">
        <v>128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5" t="s">
        <v>9</v>
      </c>
    </row>
    <row r="2" spans="1:16" ht="409.5" x14ac:dyDescent="0.25">
      <c r="A2" s="6" t="s">
        <v>10</v>
      </c>
      <c r="B2" s="6" t="s">
        <v>11</v>
      </c>
      <c r="C2" s="6"/>
      <c r="D2" s="6"/>
      <c r="E2" s="6" t="s">
        <v>132</v>
      </c>
      <c r="F2" s="6" t="s">
        <v>131</v>
      </c>
      <c r="G2" s="6" t="s">
        <v>130</v>
      </c>
      <c r="H2" s="6" t="s">
        <v>106</v>
      </c>
      <c r="I2" s="6"/>
      <c r="J2" s="6"/>
      <c r="K2" s="6"/>
      <c r="L2" s="7" t="str">
        <f>IF(C2="yes",_xlfn.CONCAT($P$3,G2,IF(H2="","","&lt;img src=images\inline\linebrk.png&gt;"),H2,IF(I2="","","&lt;img src=images\inline\linebrk.png&gt;"),I2,IF(J2="","","&lt;img src=images\inline\linebrk.png&gt;"),J2,),_xlfn.CONCAT($O$3,G2,IF(H2="","","&lt;img src=images\inline\linebrk.png&gt;"),H2,IF(I2="","","&lt;img src=images\inline\linebrk.png&gt;"),I2,IF(J2="","","&lt;img src=images\inline\linebrk.png&gt;"),J2,))</f>
        <v>&lt;p style="font-size:14px;"&gt;&lt;br&gt;Mark a target as your hated target. You can only have one target at a time.&lt;img src=images\inline\linebrk.png&gt;&lt;i&gt;Ranged Attack -&lt;/i&gt;&lt;b&gt; Scorn:&lt;/b&gt; 2 AP&lt;br&gt;Damage = 4&lt;br&gt;This attack can only target your hated target.&lt;br&gt;Critical options:&lt;br&gt;&lt;b&gt;Omen:&lt;/b&gt; inflict the &lt;b&gt;Cursed&lt;/b&gt; status effect</v>
      </c>
    </row>
    <row r="3" spans="1:16" ht="409.5" x14ac:dyDescent="0.25">
      <c r="A3" s="6" t="s">
        <v>12</v>
      </c>
      <c r="B3" s="6" t="s">
        <v>11</v>
      </c>
      <c r="C3" s="6"/>
      <c r="D3" s="6"/>
      <c r="E3" s="6"/>
      <c r="F3" s="6"/>
      <c r="G3" s="6" t="s">
        <v>13</v>
      </c>
      <c r="H3" s="6"/>
      <c r="I3" s="6"/>
      <c r="J3" s="6"/>
      <c r="K3" s="6"/>
      <c r="L3" s="7" t="str">
        <f>IF(C3="yes",_xlfn.CONCAT($P$3,G3,IF(H3="","","&lt;img src=images\inline\linebrk.png&gt;"),H3,IF(I3="","","&lt;img src=images\inline\linebrk.png&gt;"),I3,IF(J3="","","&lt;img src=images\inline\linebrk.png&gt;"),J3,),_xlfn.CONCAT($O$3,G3,IF(H3="","","&lt;img src=images\inline\linebrk.png&gt;"),H3,IF(I3="","","&lt;img src=images\inline\linebrk.png&gt;"),I3,IF(J3="","","&lt;img src=images\inline\linebrk.png&gt;"),J3,))</f>
        <v>&lt;p style="font-size:14px;"&gt;&lt;br&gt;&lt;i&gt;Melee Attack -&lt;/i&gt;&lt;b&gt; 1000 Cuts: &lt;/b&gt;2 AP&lt;br&gt;Damage = 3 , close range.&lt;br&gt;Critical options:&lt;br&gt;&lt;b&gt;Flurry:&lt;/b&gt;Your next attack costs 1 less AP.&lt;br&gt;&lt;b&gt;Strike:&lt;/b&gt; +1 Damage.</v>
      </c>
      <c r="O3" t="s">
        <v>14</v>
      </c>
      <c r="P3" t="s">
        <v>15</v>
      </c>
    </row>
    <row r="4" spans="1:16" ht="409.5" x14ac:dyDescent="0.25">
      <c r="A4" s="6" t="s">
        <v>16</v>
      </c>
      <c r="B4" s="6" t="s">
        <v>11</v>
      </c>
      <c r="C4" s="6"/>
      <c r="D4" s="6"/>
      <c r="E4" s="6"/>
      <c r="F4" s="6"/>
      <c r="G4" s="6" t="s">
        <v>17</v>
      </c>
      <c r="H4" s="6" t="s">
        <v>18</v>
      </c>
      <c r="I4" s="6"/>
      <c r="J4" s="6"/>
      <c r="K4" s="6"/>
      <c r="L4" s="7" t="str">
        <f>IF(C4="yes",_xlfn.CONCAT($P$3,G4,IF(H4="","","&lt;img src=images\inline\linebrk.png&gt;"),H4,IF(I4="","","&lt;img src=images\inline\linebrk.png&gt;"),I4,IF(J4="","","&lt;img src=images\inline\linebrk.png&gt;"),J4,),_xlfn.CONCAT($O$3,G4,IF(H4="","","&lt;img src=images\inline\linebrk.png&gt;"),H4,IF(I4="","","&lt;img src=images\inline\linebrk.png&gt;"),I4,IF(J4="","","&lt;img src=images\inline\linebrk.png&gt;"),J4,))</f>
        <v>&lt;p style="font-size:14px;"&gt;&lt;br&gt;&lt;b&gt;Create Sigil: &lt;/b&gt;1 AP&lt;br&gt;Draw a sigil on an adjacent tile. You may have a maximum of 3 sigils. Creating more will destroy a sigil of your choice. Other players may spend 3AP to destroy an adjacent sigil&lt;img src=images\inline\linebrk.png&gt;&lt;b&gt;Siphon: &lt;/b&gt;2 AP + weirdT&lt;br&gt;If there are 3 sigils, deal a random wound to all creatures within the triangle of sigils (edges count). Heal a wound of your choice.</v>
      </c>
    </row>
    <row r="5" spans="1:16" ht="409.5" x14ac:dyDescent="0.25">
      <c r="A5" s="6" t="s">
        <v>19</v>
      </c>
      <c r="B5" s="6" t="s">
        <v>11</v>
      </c>
      <c r="C5" s="6"/>
      <c r="D5" s="6"/>
      <c r="E5" s="6"/>
      <c r="F5" s="6"/>
      <c r="G5" s="6" t="s">
        <v>107</v>
      </c>
      <c r="H5" s="6" t="s">
        <v>108</v>
      </c>
      <c r="I5" s="6"/>
      <c r="J5" s="6"/>
      <c r="K5" s="6"/>
      <c r="L5" s="7" t="str">
        <f>IF(C5="yes",_xlfn.CONCAT($P$3,G5,IF(H5="","","&lt;img src=images\inline\linebrk.png&gt;"),H5,IF(I5="","","&lt;img src=images\inline\linebrk.png&gt;"),I5,IF(J5="","","&lt;img src=images\inline\linebrk.png&gt;"),J5,),_xlfn.CONCAT($O$3,G5,IF(H5="","","&lt;img src=images\inline\linebrk.png&gt;"),H5,IF(I5="","","&lt;img src=images\inline\linebrk.png&gt;"),I5,IF(J5="","","&lt;img src=images\inline\linebrk.png&gt;"),J5,))</f>
        <v>&lt;p style="font-size:14px;"&gt;&lt;br&gt;&lt;b&gt;Fly: &lt;/b&gt;2 AP or  weirdT&lt;br&gt;Make a move action with + 1 speed, ignore terrain during this move (within reason).&lt;img src=images\inline\linebrk.png&gt;&lt;b&gt;Chirp Tune: &lt;/b&gt;3 AP&lt;br&gt;You and any number of target allies each gain up to 3 temporary composure.</v>
      </c>
    </row>
    <row r="6" spans="1:16" ht="409.5" x14ac:dyDescent="0.25">
      <c r="A6" s="6" t="s">
        <v>20</v>
      </c>
      <c r="B6" s="6" t="s">
        <v>11</v>
      </c>
      <c r="C6" s="6"/>
      <c r="D6" s="6"/>
      <c r="E6" s="6"/>
      <c r="F6" s="6"/>
      <c r="G6" s="6" t="s">
        <v>21</v>
      </c>
      <c r="H6" s="6" t="s">
        <v>22</v>
      </c>
      <c r="I6" s="6"/>
      <c r="J6" s="6"/>
      <c r="K6" s="6"/>
      <c r="L6" s="7" t="str">
        <f>IF(C6="yes",_xlfn.CONCAT($P$3,G6,IF(H6="","","&lt;img src=images\inline\linebrk.png&gt;"),H6,IF(I6="","","&lt;img src=images\inline\linebrk.png&gt;"),I6,IF(J6="","","&lt;img src=images\inline\linebrk.png&gt;"),J6,),_xlfn.CONCAT($O$3,G6,IF(H6="","","&lt;img src=images\inline\linebrk.png&gt;"),H6,IF(I6="","","&lt;img src=images\inline\linebrk.png&gt;"),I6,IF(J6="","","&lt;img src=images\inline\linebrk.png&gt;"),J6,))</f>
        <v>&lt;p style="font-size:14px;"&gt;&lt;br&gt;&lt;b&gt;Coat in Clay: &lt;/b&gt;1 AP +  weirdT&lt;br&gt;A target gains up to 4 temporary composure and -2 speed until the end of their next turn.&lt;img src=images\inline\linebrk.png&gt;&lt;i&gt;Passive -&lt;b&gt; Spreading clay: &lt;/i&gt;&lt;/b&gt;&lt;br&gt;Whenever you spend weirdt, gain up to 1 temporary composure.</v>
      </c>
    </row>
    <row r="7" spans="1:16" ht="409.5" x14ac:dyDescent="0.25">
      <c r="A7" s="6" t="s">
        <v>23</v>
      </c>
      <c r="B7" s="6" t="s">
        <v>11</v>
      </c>
      <c r="C7" s="6"/>
      <c r="D7" s="6"/>
      <c r="E7" s="6"/>
      <c r="F7" s="6"/>
      <c r="G7" s="6" t="s">
        <v>109</v>
      </c>
      <c r="H7" s="6"/>
      <c r="I7" s="6"/>
      <c r="J7" s="6"/>
      <c r="K7" s="6"/>
      <c r="L7" s="7" t="str">
        <f>IF(C7="yes",_xlfn.CONCAT($P$3,G7,IF(H7="","","&lt;img src=images\inline\linebrk.png&gt;"),H7,IF(I7="","","&lt;img src=images\inline\linebrk.png&gt;"),I7,IF(J7="","","&lt;img src=images\inline\linebrk.png&gt;"),J7,),_xlfn.CONCAT($O$3,G7,IF(H7="","","&lt;img src=images\inline\linebrk.png&gt;"),H7,IF(I7="","","&lt;img src=images\inline\linebrk.png&gt;"),I7,IF(J7="","","&lt;img src=images\inline\linebrk.png&gt;"),J7,))</f>
        <v>&lt;p style="font-size:14px;"&gt;&lt;br&gt;&lt;i&gt;Passive -&lt;b&gt; Autonomous Limb: &lt;/i&gt;&lt;/b&gt;&lt;br&gt;At the end of your turn, this limb uses &lt;b&gt;Flail&lt;/b&gt; for free, it will target you if there are no other targets available.&lt;br&gt;Melee Attack - &lt;b&gt;Flail:&lt;br&gt;&lt;/b&gt;Damage = 4, close range.</v>
      </c>
      <c r="M7" t="s">
        <v>25</v>
      </c>
    </row>
    <row r="8" spans="1:16" ht="409.5" x14ac:dyDescent="0.25">
      <c r="A8" s="6" t="s">
        <v>91</v>
      </c>
      <c r="B8" s="6" t="s">
        <v>11</v>
      </c>
      <c r="C8" s="6"/>
      <c r="D8" s="6"/>
      <c r="E8" s="6"/>
      <c r="F8" s="6"/>
      <c r="G8" s="6" t="s">
        <v>110</v>
      </c>
      <c r="H8" s="6"/>
      <c r="I8" s="6" t="s">
        <v>111</v>
      </c>
      <c r="J8" s="6"/>
      <c r="K8" s="6"/>
      <c r="L8" s="7" t="str">
        <f>IF(C8="yes",_xlfn.CONCAT($P$3,G8,IF(H8="","","&lt;img src=images\inline\linebrk.png&gt;"),H8,IF(I8="","","&lt;img src=images\inline\linebrk.png&gt;"),I8,IF(J8="","","&lt;img src=images\inline\linebrk.png&gt;"),J8,),_xlfn.CONCAT($O$3,G8,IF(H8="","","&lt;img src=images\inline\linebrk.png&gt;"),H8,IF(I8="","","&lt;img src=images\inline\linebrk.png&gt;"),I8,IF(J8="","","&lt;img src=images\inline\linebrk.png&gt;"),J8,))</f>
        <v>&lt;p style="font-size:14px;"&gt;&lt;br&gt;&lt;i&gt;Melee Attack -&lt;/i&gt;&lt;b&gt; Back-kick: &lt;/b&gt;2 AP&lt;br&gt;Damage = 4 , close range.&lt;br&gt;&lt;img src=images\inline\linebrk.png&gt;Critical options:&lt;br&gt;&lt;b&gt;Dash:&lt;/b&gt; Take a move action.&lt;br&gt;&lt;b&gt;Mighty Shove:&lt;/b&gt; Push the target 2 hexes.</v>
      </c>
      <c r="M8" t="s">
        <v>29</v>
      </c>
    </row>
    <row r="9" spans="1:16" ht="409.5" x14ac:dyDescent="0.25">
      <c r="A9" s="6" t="s">
        <v>24</v>
      </c>
      <c r="B9" s="6" t="s">
        <v>11</v>
      </c>
      <c r="C9" s="6"/>
      <c r="D9" s="6"/>
      <c r="E9" s="11"/>
      <c r="F9" s="11"/>
      <c r="G9" t="s">
        <v>112</v>
      </c>
      <c r="H9" s="6" t="s">
        <v>120</v>
      </c>
      <c r="I9" s="6"/>
      <c r="J9" s="6"/>
      <c r="K9" s="6"/>
      <c r="L9" s="7" t="str">
        <f>IF(C9="yes",_xlfn.CONCAT($P$3,G9,IF(H9="","","&lt;img src=images\inline\linebrk.png&gt;"),H9,IF(I9="","","&lt;img src=images\inline\linebrk.png&gt;"),I9,IF(J9="","","&lt;img src=images\inline\linebrk.png&gt;"),J9,),_xlfn.CONCAT($O$3,G9,IF(H9="","","&lt;img src=images\inline\linebrk.png&gt;"),H9,IF(I9="","","&lt;img src=images\inline\linebrk.png&gt;"),I9,IF(J9="","","&lt;img src=images\inline\linebrk.png&gt;"),J9,))</f>
        <v>&lt;p style="font-size:14px;"&gt;&lt;br&gt;&lt;i&gt;Melee Attack -&lt;/i&gt;&lt;b&gt; Shock: &lt;/b&gt;2 AP&lt;br&gt;Damage = 1 , reach.&lt;br&gt;This damage cannot be reduced.&lt;img src=images\inline\linebrk.png&gt;&lt;i&gt;Passive -&lt;b&gt; Sparks: &lt;/i&gt;&lt;/b&gt;Whenever you spend weirdt, deal 1 damage to any target. This damage cannot be reduced.</v>
      </c>
      <c r="M9" t="s">
        <v>32</v>
      </c>
    </row>
    <row r="10" spans="1:16" ht="409.5" x14ac:dyDescent="0.25">
      <c r="A10" s="6" t="s">
        <v>26</v>
      </c>
      <c r="B10" s="6" t="s">
        <v>11</v>
      </c>
      <c r="C10" s="6"/>
      <c r="D10" s="6"/>
      <c r="E10" s="6"/>
      <c r="F10" s="6"/>
      <c r="G10" s="6" t="s">
        <v>27</v>
      </c>
      <c r="H10" s="6" t="s">
        <v>28</v>
      </c>
      <c r="I10" s="6"/>
      <c r="J10" s="6"/>
      <c r="K10" s="6"/>
      <c r="L10" s="7" t="str">
        <f>IF(C10="yes",_xlfn.CONCAT($P$3,G10,IF(H10="","","&lt;img src=images\inline\linebrk.png&gt;"),H10,IF(I10="","","&lt;img src=images\inline\linebrk.png&gt;"),I10,IF(J10="","","&lt;img src=images\inline\linebrk.png&gt;"),J10,),_xlfn.CONCAT($O$3,G10,IF(H10="","","&lt;img src=images\inline\linebrk.png&gt;"),H10,IF(I10="","","&lt;img src=images\inline\linebrk.png&gt;"),I10,IF(J10="","","&lt;img src=images\inline\linebrk.png&gt;"),J10,))</f>
        <v>&lt;p style="font-size:14px;"&gt;&lt;br&gt;&lt;b&gt;Embed: &lt;/b&gt;weirdT&lt;br&gt;Place a 1 hex crystal on an adjacent hex. The crystal breaks if it takes damage.&lt;img src=images\inline\linebrk.png&gt;&lt;i&gt;Passive -&lt;b&gt; Radiance: &lt;/b&gt;&lt;/i&gt;&lt;br&gt;At the end of your turn, if you are adjacent to a crystal, choose one of the following status effects to gain:&lt;br&gt;&lt;b&gt;Monstrous, Well Rested, Imbued.</v>
      </c>
    </row>
    <row r="11" spans="1:16" ht="409.5" x14ac:dyDescent="0.25">
      <c r="A11" s="6" t="s">
        <v>92</v>
      </c>
      <c r="B11" s="6" t="s">
        <v>11</v>
      </c>
      <c r="C11" s="6"/>
      <c r="D11" s="6"/>
      <c r="E11" s="6"/>
      <c r="F11" s="6"/>
      <c r="G11" s="6" t="s">
        <v>113</v>
      </c>
      <c r="H11" s="6" t="s">
        <v>114</v>
      </c>
      <c r="I11" s="6"/>
      <c r="J11" s="6"/>
      <c r="K11" s="6"/>
      <c r="L11" s="7" t="str">
        <f>IF(C11="yes",_xlfn.CONCAT($P$3,G11,IF(H11="","","&lt;img src=images\inline\linebrk.png&gt;"),H11,IF(I11="","","&lt;img src=images\inline\linebrk.png&gt;"),I11,IF(J11="","","&lt;img src=images\inline\linebrk.png&gt;"),J11,),_xlfn.CONCAT($O$3,G11,IF(H11="","","&lt;img src=images\inline\linebrk.png&gt;"),H11,IF(I11="","","&lt;img src=images\inline\linebrk.png&gt;"),I11,IF(J11="","","&lt;img src=images\inline\linebrk.png&gt;"),J11,))</f>
        <v>&lt;p style="font-size:14px;"&gt;&lt;br&gt;&lt;i&gt;Melee Attack -&lt;/i&gt;&lt;b&gt; Smash: &lt;/b&gt;2 AP + 3 Composure&lt;br&gt;Damage = 5 , close range.&lt;br&gt;&lt;img src=images\inline\linebrk.png&gt;&lt;b&gt;Drive-Power: &lt;/b&gt;weirdt&lt;br&gt;Add +1 damage and +1 range to attacks this turn, use only once each turn.</v>
      </c>
    </row>
    <row r="12" spans="1:16" ht="409.5" x14ac:dyDescent="0.25">
      <c r="A12" s="6" t="s">
        <v>30</v>
      </c>
      <c r="B12" s="6" t="s">
        <v>11</v>
      </c>
      <c r="C12" s="6"/>
      <c r="D12" s="6"/>
      <c r="E12" s="6"/>
      <c r="F12" s="6"/>
      <c r="G12" s="6" t="s">
        <v>31</v>
      </c>
      <c r="H12" s="6" t="s">
        <v>115</v>
      </c>
      <c r="I12" s="6"/>
      <c r="J12" s="6"/>
      <c r="K12" s="6"/>
      <c r="L12" s="7" t="str">
        <f>IF(C12="yes",_xlfn.CONCAT($P$3,G12,IF(H12="","","&lt;img src=images\inline\linebrk.png&gt;"),H12,IF(I12="","","&lt;img src=images\inline\linebrk.png&gt;"),I12,IF(J12="","","&lt;img src=images\inline\linebrk.png&gt;"),J12,),_xlfn.CONCAT($O$3,G12,IF(H12="","","&lt;img src=images\inline\linebrk.png&gt;"),H12,IF(I12="","","&lt;img src=images\inline\linebrk.png&gt;"),I12,IF(J12="","","&lt;img src=images\inline\linebrk.png&gt;"),J12,))</f>
        <v>&lt;p style="font-size:14px;"&gt;&lt;br&gt;&lt;i&gt;Melee Attack -&lt;/i&gt;&lt;b&gt; Thwack: &lt;/b&gt;1 AP&lt;br&gt;Damage = 1 , close range.&lt;br&gt;Critical Options:&lt;br&gt;&lt;b&gt;Omen:&lt;/b&gt; Inflict the &lt;b&gt;Cursed&lt;/b&gt; status effect.&lt;img src=images\inline\linebrk.png&gt;&lt;b&gt;Smear:&lt;/b&gt; 2 AP + weirdT weirdT&lt;br&gt;Inflict the &lt;b&gt;Cursed&lt;/b&gt; status effect on a target in close range.</v>
      </c>
    </row>
    <row r="13" spans="1:16" ht="409.5" x14ac:dyDescent="0.25">
      <c r="A13" s="6" t="s">
        <v>33</v>
      </c>
      <c r="B13" s="6" t="s">
        <v>11</v>
      </c>
      <c r="C13" s="6"/>
      <c r="D13" s="6"/>
      <c r="E13" s="6"/>
      <c r="F13" s="6"/>
      <c r="G13" s="6" t="s">
        <v>34</v>
      </c>
      <c r="H13" s="6" t="s">
        <v>35</v>
      </c>
      <c r="I13" s="6"/>
      <c r="J13" s="6"/>
      <c r="K13" s="6"/>
      <c r="L13" s="7" t="str">
        <f>IF(C13="yes",_xlfn.CONCAT($P$3,G13,IF(H13="","","&lt;img src=images\inline\linebrk.png&gt;"),H13,IF(I13="","","&lt;img src=images\inline\linebrk.png&gt;"),I13,IF(J13="","","&lt;img src=images\inline\linebrk.png&gt;"),J13,),_xlfn.CONCAT($O$3,G13,IF(H13="","","&lt;img src=images\inline\linebrk.png&gt;"),H13,IF(I13="","","&lt;img src=images\inline\linebrk.png&gt;"),I13,IF(J13="","","&lt;img src=images\inline\linebrk.png&gt;"),J13,))</f>
        <v>&lt;p style="font-size:14px;"&gt;&lt;br&gt;&lt;i&gt;Melee Attack -&lt;/i&gt; &lt;b&gt;Flay:&lt;/b&gt; 2 AP&lt;br&gt;Damage = 3 , close range.&lt;br&gt;Critical Options:&lt;br&gt;&lt;b&gt;Burn:&lt;/b&gt; Inflict the &lt;b&gt;Burning&lt;/b&gt; status effect.&lt;img src=images\inline\linebrk.png&gt;&lt;b&gt;Stoke the Flames:&lt;/b&gt; WeirdT&lt;br&gt;Your attacks this turn inflict the &lt;b&gt;Burning&lt;/b&gt; status effect on a hit and have + 1 range</v>
      </c>
    </row>
    <row r="14" spans="1:16" ht="375" x14ac:dyDescent="0.25">
      <c r="A14" s="6" t="s">
        <v>105</v>
      </c>
      <c r="B14" s="6" t="s">
        <v>11</v>
      </c>
      <c r="C14" s="6"/>
      <c r="D14" s="6"/>
      <c r="E14" s="6"/>
      <c r="F14" s="6"/>
      <c r="G14" s="6" t="s">
        <v>116</v>
      </c>
      <c r="H14" s="6"/>
      <c r="I14" s="6"/>
      <c r="J14" s="6"/>
      <c r="K14" s="6"/>
      <c r="L14" s="7" t="str">
        <f>IF(C14="yes",_xlfn.CONCAT($P$3,G14,IF(H14="","","&lt;img src=images\inline\linebrk.png&gt;"),H14,IF(I14="","","&lt;img src=images\inline\linebrk.png&gt;"),I14,IF(J14="","","&lt;img src=images\inline\linebrk.png&gt;"),J14,),_xlfn.CONCAT($O$3,G14,IF(H14="","","&lt;img src=images\inline\linebrk.png&gt;"),H14,IF(I14="","","&lt;img src=images\inline\linebrk.png&gt;"),I14,IF(J14="","","&lt;img src=images\inline\linebrk.png&gt;"),J14,))</f>
        <v>&lt;p style="font-size:14px;"&gt;&lt;br&gt;&lt;i&gt;Reaction - &lt;/i&gt;&lt;b&gt;Burst Block: &lt;/b&gt;&lt;br&gt;Destroy this card to completely block an incoming attack and deal 5 damage to all adjacent beings.</v>
      </c>
    </row>
    <row r="15" spans="1:16" ht="409.5" x14ac:dyDescent="0.25">
      <c r="A15" s="6" t="s">
        <v>93</v>
      </c>
      <c r="B15" s="6" t="s">
        <v>11</v>
      </c>
      <c r="D15" s="6" t="s">
        <v>122</v>
      </c>
      <c r="E15" s="11"/>
      <c r="F15" s="11"/>
      <c r="G15" s="9" t="s">
        <v>117</v>
      </c>
      <c r="H15" s="9" t="s">
        <v>118</v>
      </c>
      <c r="I15" s="6"/>
      <c r="J15" s="6"/>
      <c r="K15" s="6"/>
      <c r="L15" s="7" t="str">
        <f>IF(D15="yes",_xlfn.CONCAT($P$3,G15,IF(H15="","","&lt;img src=images\inline\linebrk.png&gt;"),H15,IF(I15="","","&lt;img src=images\inline\linebrk.png&gt;"),I15,IF(J15="","","&lt;img src=images\inline\linebrk.png&gt;"),J15,),_xlfn.CONCAT($O$3,G15,IF(H15="","","&lt;img src=images\inline\linebrk.png&gt;"),H15,IF(I15="","","&lt;img src=images\inline\linebrk.png&gt;"),I15,IF(J15="","","&lt;img src=images\inline\linebrk.png&gt;"),J15,))</f>
        <v>&lt;p style="font-size:14px;"&gt;&lt;br&gt;&lt;b&gt;Lay Egg:&lt;/b&gt; 1 AP + (chargeT or  weirdT)&lt;br&gt;Place an explosive egg on an adjacent hex.&lt;img src=images\inline\linebrk.png&gt;&lt;i&gt;Reaction - &lt;/i&gt;&lt;b&gt;Detonate:&lt;/b&gt; 1 AP&lt;br&gt;All eggs on the map explode, adjacent beings take 5 damage and terrain is destroyed, including walls.</v>
      </c>
    </row>
    <row r="16" spans="1:16" ht="409.5" x14ac:dyDescent="0.25">
      <c r="A16" s="6" t="s">
        <v>36</v>
      </c>
      <c r="B16" s="6" t="s">
        <v>11</v>
      </c>
      <c r="C16" s="6"/>
      <c r="D16" s="6"/>
      <c r="E16" s="6"/>
      <c r="F16" s="6"/>
      <c r="G16" s="6" t="s">
        <v>123</v>
      </c>
      <c r="H16" s="6"/>
      <c r="I16" s="6"/>
      <c r="J16" s="6"/>
      <c r="K16" s="6"/>
      <c r="L16" s="7" t="str">
        <f>IF(C16="yes",_xlfn.CONCAT($P$3,G16,IF(H16="","","&lt;img src=images\inline\linebrk.png&gt;"),H16,IF(I16="","","&lt;img src=images\inline\linebrk.png&gt;"),I16,IF(J16="","","&lt;img src=images\inline\linebrk.png&gt;"),J16,),_xlfn.CONCAT($O$3,G16,IF(H16="","","&lt;img src=images\inline\linebrk.png&gt;"),H16,IF(I16="","","&lt;img src=images\inline\linebrk.png&gt;"),I16,IF(J16="","","&lt;img src=images\inline\linebrk.png&gt;"),J16,))</f>
        <v>&lt;p style="font-size:14px;"&gt;&lt;br&gt;&lt;i&gt;Melee Attack - &lt;/i&gt;&lt;b&gt;Crush:&lt;/b&gt; 4 AP or (2 AP + fleshT fleshT)&lt;br&gt;Damage = 8 , close range.&lt;br&gt;Critical Options:&lt;b&gt;&lt;br&gt;Concuss:&lt;/b&gt; Inflict the &lt;b&gt;Stunned&lt;/b&gt; status effect.</v>
      </c>
    </row>
    <row r="17" spans="1:12" ht="409.5" x14ac:dyDescent="0.25">
      <c r="A17" s="6" t="s">
        <v>37</v>
      </c>
      <c r="B17" s="6" t="s">
        <v>11</v>
      </c>
      <c r="C17" s="6"/>
      <c r="D17" s="6"/>
      <c r="E17" s="6"/>
      <c r="F17" s="6"/>
      <c r="G17" s="6" t="s">
        <v>38</v>
      </c>
      <c r="H17" s="6" t="s">
        <v>119</v>
      </c>
      <c r="I17" s="6"/>
      <c r="J17" s="6"/>
      <c r="K17" s="6"/>
      <c r="L17" s="7" t="str">
        <f>IF(C17="yes",_xlfn.CONCAT($P$3,G17,IF(H17="","","&lt;img src=images\inline\linebrk.png&gt;"),H17,IF(I17="","","&lt;img src=images\inline\linebrk.png&gt;"),I17,IF(J17="","","&lt;img src=images\inline\linebrk.png&gt;"),J17,),_xlfn.CONCAT($O$3,G17,IF(H17="","","&lt;img src=images\inline\linebrk.png&gt;"),H17,IF(I17="","","&lt;img src=images\inline\linebrk.png&gt;"),I17,IF(J17="","","&lt;img src=images\inline\linebrk.png&gt;"),J17,))</f>
        <v>&lt;p style="font-size:14px;"&gt;&lt;br&gt;&lt;i&gt;Melee Attack - &lt;/i&gt;&lt;b&gt;Bludgeon:&lt;/b&gt; 3 AP&lt;br&gt;Damage = 6 , close range.&lt;img src=images\inline\linebrk.png&gt;&lt;i&gt;Melee Attack - &lt;/i&gt;&lt;b&gt;Whelm:&lt;/b&gt; 1 AP + weirdT&lt;br&gt;Damage = 3 , close range.&lt;br&gt;Inflicts the &lt;b&gt;Entangled&lt;/b&gt; status effect on a hit.</v>
      </c>
    </row>
    <row r="18" spans="1:12" ht="409.5" x14ac:dyDescent="0.25">
      <c r="A18" s="8" t="s">
        <v>94</v>
      </c>
      <c r="B18" s="8"/>
      <c r="C18" s="8"/>
      <c r="D18" s="8"/>
      <c r="E18" s="8"/>
      <c r="F18" s="8"/>
      <c r="G18" s="8" t="s">
        <v>121</v>
      </c>
      <c r="H18" s="8"/>
      <c r="I18" s="8"/>
      <c r="J18" s="8"/>
      <c r="K18" s="8"/>
      <c r="L18" s="7" t="str">
        <f>IF(C18="yes",_xlfn.CONCAT($P$3,G18,IF(H18="","","&lt;img src=images\inline\linebrk.png&gt;"),H18,IF(I18="","","&lt;img src=images\inline\linebrk.png&gt;"),I18,IF(J18="","","&lt;img src=images\inline\linebrk.png&gt;"),J18,),_xlfn.CONCAT($O$3,G18,IF(H18="","","&lt;img src=images\inline\linebrk.png&gt;"),H18,IF(I18="","","&lt;img src=images\inline\linebrk.png&gt;"),I18,IF(J18="","","&lt;img src=images\inline\linebrk.png&gt;"),J18,))</f>
        <v>&lt;p style="font-size:14px;"&gt;&lt;br&gt;&lt;i&gt;Melee Attack - &lt;/i&gt;&lt;b&gt;Vandalise:&lt;/b&gt; 2 AP&lt;br&gt;Damage = 2 , close range.&lt;br&gt;On a hit, you may destroy this card to destroy any equipped Limb or Impression from the target.</v>
      </c>
    </row>
    <row r="19" spans="1:12" ht="409.5" x14ac:dyDescent="0.25">
      <c r="A19" s="6" t="s">
        <v>39</v>
      </c>
      <c r="B19" s="6" t="s">
        <v>11</v>
      </c>
      <c r="C19" s="6" t="s">
        <v>40</v>
      </c>
      <c r="D19" s="6"/>
      <c r="E19" s="6"/>
      <c r="F19" s="6"/>
      <c r="G19" s="10" t="s">
        <v>124</v>
      </c>
      <c r="H19" s="10" t="s">
        <v>41</v>
      </c>
      <c r="I19" s="6"/>
      <c r="J19" s="6"/>
      <c r="K19" s="6"/>
      <c r="L19" s="7" t="str">
        <f>IF(C19="yes",_xlfn.CONCAT($P$3,G19,IF(H19="","","&lt;img src=images\inline\linebrk.png&gt;"),H19,IF(I19="","","&lt;img src=images\inline\linebrk.png&gt;"),I19,IF(J19="","","&lt;img src=images\inline\linebrk.png&gt;"),J19,),_xlfn.CONCAT($O$3,G19,IF(H19="","","&lt;img src=images\inline\linebrk.png&gt;"),H19,IF(I19="","","&lt;img src=images\inline\linebrk.png&gt;"),I19,IF(J19="","","&lt;img src=images\inline\linebrk.png&gt;"),J19,))</f>
        <v>&lt;p style="font-size:12px;"&gt;&lt;br&gt;&lt;i&gt;Melee Attack -&lt;/i&gt;&lt;b&gt; Charge!:&lt;/b&gt; 2 AP&lt;br&gt;Damage = hexes moved , close range.&lt;br&gt;You may move any number of hexes in a straight line as part of making the attack. &lt;br&gt;hornshexes&lt;img src=images\inline\linebrk.png&gt;&lt;i&gt;Melee Attack -&lt;/i&gt;&lt;b&gt; Shove :&lt;/b&gt; 1 AP +fleshT&lt;br&gt;Damage = 2 , close range.&lt;br&gt;On a hit, the target is pushed back hexes equal to your &lt;span style="color:#e74c3c"&gt;&lt;strong&gt;Flesh&lt;/strong&gt;&lt;/span&gt;.</v>
      </c>
    </row>
    <row r="20" spans="1:12" ht="409.5" x14ac:dyDescent="0.25">
      <c r="A20" s="6" t="s">
        <v>42</v>
      </c>
      <c r="B20" s="6" t="s">
        <v>11</v>
      </c>
      <c r="C20" s="6"/>
      <c r="D20" s="6"/>
      <c r="E20" s="6"/>
      <c r="F20" s="6"/>
      <c r="G20" s="6" t="s">
        <v>43</v>
      </c>
      <c r="H20" s="6"/>
      <c r="I20" s="6"/>
      <c r="J20" s="6"/>
      <c r="K20" s="6"/>
      <c r="L20" s="7" t="str">
        <f>IF(C20="yes",_xlfn.CONCAT($P$3,G20,IF(H20="","","&lt;img src=images\inline\linebrk.png&gt;"),H20,IF(I20="","","&lt;img src=images\inline\linebrk.png&gt;"),I20,IF(J20="","","&lt;img src=images\inline\linebrk.png&gt;"),J20,),_xlfn.CONCAT($O$3,G20,IF(H20="","","&lt;img src=images\inline\linebrk.png&gt;"),H20,IF(I20="","","&lt;img src=images\inline\linebrk.png&gt;"),I20,IF(J20="","","&lt;img src=images\inline\linebrk.png&gt;"),J20,))</f>
        <v>&lt;p style="font-size:14px;"&gt;&lt;br&gt;&lt;i&gt;Melee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v>
      </c>
    </row>
    <row r="21" spans="1:12" ht="409.5" x14ac:dyDescent="0.25">
      <c r="A21" s="6" t="s">
        <v>44</v>
      </c>
      <c r="B21" s="6" t="s">
        <v>11</v>
      </c>
      <c r="C21" s="6"/>
      <c r="D21" s="6"/>
      <c r="E21" s="6"/>
      <c r="F21" s="6"/>
      <c r="G21" s="6" t="s">
        <v>125</v>
      </c>
      <c r="H21" s="6" t="s">
        <v>45</v>
      </c>
      <c r="I21" s="6"/>
      <c r="J21" s="6"/>
      <c r="K21" s="6"/>
      <c r="L21" s="7" t="str">
        <f>IF(C21="yes",_xlfn.CONCAT($P$3,G21,IF(H21="","","&lt;img src=images\inline\linebrk.png&gt;"),H21,IF(I21="","","&lt;img src=images\inline\linebrk.png&gt;"),I21,IF(J21="","","&lt;img src=images\inline\linebrk.png&gt;"),J21,),_xlfn.CONCAT($O$3,G21,IF(H21="","","&lt;img src=images\inline\linebrk.png&gt;"),H21,IF(I21="","","&lt;img src=images\inline\linebrk.png&gt;"),I21,IF(J21="","","&lt;img src=images\inline\linebrk.png&gt;"),J21,))</f>
        <v>&lt;p style="font-size:14px;"&gt;&lt;br&gt;&lt;i&gt;Melee Attack -&lt;/i&gt;&lt;b&gt; Bite:&lt;/b&gt; 2 AP&lt;br&gt;Damage = 4 , close range.&lt;br&gt;&lt;img src=images\inline\linebrk.png&gt;&lt;i&gt;Ranged Attack -&lt;/i&gt;&lt;b&gt; Phage: &lt;/b&gt;2 AP&lt;br&gt;Damage = 7 &lt;br&gt;Throw this limb at your target as part of the attack, regardless of attack outcome, they now have Hungering Hand equipped .</v>
      </c>
    </row>
    <row r="22" spans="1:12" ht="409.5" x14ac:dyDescent="0.25">
      <c r="A22" s="6" t="s">
        <v>46</v>
      </c>
      <c r="B22" s="6" t="s">
        <v>11</v>
      </c>
      <c r="C22" s="6"/>
      <c r="D22" s="6"/>
      <c r="E22" s="6"/>
      <c r="F22" s="6"/>
      <c r="G22" s="6" t="s">
        <v>126</v>
      </c>
      <c r="H22" s="6" t="s">
        <v>127</v>
      </c>
      <c r="I22" s="6"/>
      <c r="J22" s="6"/>
      <c r="K22" s="6"/>
      <c r="L22" s="7" t="str">
        <f>IF(C22="yes",_xlfn.CONCAT($P$3,G22,IF(H22="","","&lt;img src=images\inline\linebrk.png&gt;"),H22,IF(I22="","","&lt;img src=images\inline\linebrk.png&gt;"),I22,IF(J22="","","&lt;img src=images\inline\linebrk.png&gt;"),J22,),_xlfn.CONCAT($O$3,G22,IF(H22="","","&lt;img src=images\inline\linebrk.png&gt;"),H22,IF(I22="","","&lt;img src=images\inline\linebrk.png&gt;"),I22,IF(J22="","","&lt;img src=images\inline\linebrk.png&gt;"),J22,))</f>
        <v>&lt;p style="font-size:14px;"&gt;&lt;br&gt;&lt;i&gt;Melee Attack - &lt;/i&gt;&lt;b&gt;Impale: &lt;/b&gt;2 AP&lt;br&gt;Damage = 4 , reach.&lt;img src=images\inline\linebrk.png&gt;&lt;i&gt;Reaction - &lt;/i&gt;&lt;b&gt;Bloom: &lt;/b&gt; WeirdT + &lt;b&gt;exhausted&lt;/b&gt; &lt;br&gt;Destroy this card to completely block an incoming attack.</v>
      </c>
    </row>
    <row r="23" spans="1:12" ht="409.5" x14ac:dyDescent="0.25">
      <c r="A23" s="6" t="s">
        <v>47</v>
      </c>
      <c r="B23" s="6" t="s">
        <v>11</v>
      </c>
      <c r="C23" s="6"/>
      <c r="D23" s="6" t="s">
        <v>48</v>
      </c>
      <c r="E23" s="6"/>
      <c r="F23" s="6"/>
      <c r="G23" s="6" t="s">
        <v>49</v>
      </c>
      <c r="H23" s="6" t="s">
        <v>50</v>
      </c>
      <c r="I23" s="6"/>
      <c r="J23" s="6"/>
      <c r="K23" s="6"/>
      <c r="L23" s="7" t="str">
        <f>IF(C23="yes",_xlfn.CONCAT($P$3,G23,IF(H23="","","&lt;img src=images\inline\linebrk.png&gt;"),H23,IF(I23="","","&lt;img src=images\inline\linebrk.png&gt;"),I23,IF(J23="","","&lt;img src=images\inline\linebrk.png&gt;"),J23,),_xlfn.CONCAT($O$3,G23,IF(H23="","","&lt;img src=images\inline\linebrk.png&gt;"),H23,IF(I23="","","&lt;img src=images\inline\linebrk.png&gt;"),I23,IF(J23="","","&lt;img src=images\inline\linebrk.png&gt;"),J23,))</f>
        <v>&lt;p style="font-size:14px;"&gt;&lt;br&gt;&lt;b&gt;Splinter Trail:&lt;/b&gt; 1 AP + (chargeT or weirdT)&lt;br&gt;For the rest of your turn, leave a conductive trail behind in any hex you move out of.&lt;img src=images\inline\linebrk.png&gt;&lt;b&gt;Electrify:&lt;/b&gt; 2 AP&lt;br&gt;Electrify an adjacent hex and all connected conductive hexes. All beings electrified take 3 damage. This damage cannot be reduced. Hexes with water are also conductive.</v>
      </c>
    </row>
    <row r="24" spans="1:12" ht="75" x14ac:dyDescent="0.25">
      <c r="A24" s="8" t="s">
        <v>95</v>
      </c>
      <c r="B24" s="6" t="s">
        <v>11</v>
      </c>
      <c r="C24" s="8"/>
      <c r="D24" s="8"/>
      <c r="E24" s="8"/>
      <c r="F24" s="8"/>
      <c r="G24" s="8"/>
      <c r="H24" s="8"/>
      <c r="I24" s="8"/>
      <c r="J24" s="8"/>
      <c r="K24" s="8"/>
      <c r="L24" s="7" t="str">
        <f>IF(C24="yes",_xlfn.CONCAT($P$3,G24,IF(H24="","","&lt;img src=images\inline\linebrk.png&gt;"),H24,IF(I24="","","&lt;img src=images\inline\linebrk.png&gt;"),I24,IF(J24="","","&lt;img src=images\inline\linebrk.png&gt;"),J24,),_xlfn.CONCAT($O$3,G24,IF(H24="","","&lt;img src=images\inline\linebrk.png&gt;"),H24,IF(I24="","","&lt;img src=images\inline\linebrk.png&gt;"),I24,IF(J24="","","&lt;img src=images\inline\linebrk.png&gt;"),J24,))</f>
        <v>&lt;p style="font-size:14px;"&gt;&lt;br&gt;</v>
      </c>
    </row>
    <row r="25" spans="1:12" ht="390" x14ac:dyDescent="0.25">
      <c r="A25" s="6" t="s">
        <v>51</v>
      </c>
      <c r="B25" s="6" t="s">
        <v>11</v>
      </c>
      <c r="C25" s="6"/>
      <c r="D25" s="6"/>
      <c r="E25" s="6"/>
      <c r="F25" s="6"/>
      <c r="G25" s="6" t="s">
        <v>52</v>
      </c>
      <c r="H25" s="6" t="s">
        <v>53</v>
      </c>
      <c r="I25" s="6"/>
      <c r="J25" s="6"/>
      <c r="K25" s="6"/>
      <c r="L25" s="7" t="str">
        <f>IF(C25="yes",_xlfn.CONCAT($P$3,G25,IF(H25="","","&lt;img src=images\inline\linebrk.png&gt;"),H25,IF(I25="","","&lt;img src=images\inline\linebrk.png&gt;"),I25,IF(J25="","","&lt;img src=images\inline\linebrk.png&gt;"),J25,),_xlfn.CONCAT($O$3,G25,IF(H25="","","&lt;img src=images\inline\linebrk.png&gt;"),H25,IF(I25="","","&lt;img src=images\inline\linebrk.png&gt;"),I25,IF(J25="","","&lt;img src=images\inline\linebrk.png&gt;"),J25,))</f>
        <v>&lt;p style="font-size:14px;"&gt;&lt;br&gt;&lt;i&gt;Melee Attack -&lt;/i&gt;&lt;b&gt; Gnaw:&lt;/b&gt; 1 AP&lt;br&gt;Damage = 1 , close range.&lt;br&gt;This attack always hits, do not roll.&lt;img src=images\inline\linebrk.png&gt;il</v>
      </c>
    </row>
    <row r="26" spans="1:12" ht="409.5" x14ac:dyDescent="0.25">
      <c r="A26" s="6" t="s">
        <v>54</v>
      </c>
      <c r="B26" s="6" t="s">
        <v>11</v>
      </c>
      <c r="C26" s="6"/>
      <c r="D26" s="6"/>
      <c r="E26" s="6"/>
      <c r="F26" s="6"/>
      <c r="G26" s="6" t="s">
        <v>55</v>
      </c>
      <c r="H26" s="6" t="s">
        <v>56</v>
      </c>
      <c r="I26" s="6"/>
      <c r="J26" s="6"/>
      <c r="K26" s="6"/>
      <c r="L26" s="7" t="str">
        <f>IF(C26="yes",_xlfn.CONCAT($P$3,G26,IF(H26="","","&lt;img src=images\inline\linebrk.png&gt;"),H26,IF(I26="","","&lt;img src=images\inline\linebrk.png&gt;"),I26,IF(J26="","","&lt;img src=images\inline\linebrk.png&gt;"),J26,),_xlfn.CONCAT($O$3,G26,IF(H26="","","&lt;img src=images\inline\linebrk.png&gt;"),H26,IF(I26="","","&lt;img src=images\inline\linebrk.png&gt;"),I26,IF(J26="","","&lt;img src=images\inline\linebrk.png&gt;"),J26,))</f>
        <v>&lt;p style="font-size:14px;"&gt;&lt;br&gt;&lt;i&gt;Melee Attack -&lt;/i&gt;&lt;b&gt; Nasty Stab:&lt;/b&gt; 3 AP&lt;br&gt;Damage = 6 , close range.&lt;br&gt;Crit options:&lt;br&gt;&lt;b&gt;Armour Piercing:&lt;/b&gt; Ignore damage reduction effects.&lt;br&gt;&lt;b&gt;Strike:&lt;/b&gt; +1 damage.&lt;img src=images\inline\linebrk.png&gt;&lt;i&gt;Melee Attack - &lt;/i&gt;&lt;b&gt;Lance:&lt;/b&gt; 2 AP&lt;br&gt;Damage = 4 , reach.&lt;br&gt;Crit option:&lt;br&gt;&lt;b&gt;Dash&lt;/b&gt; Take a move action for free.</v>
      </c>
    </row>
    <row r="27" spans="1:12" ht="409.5" x14ac:dyDescent="0.25">
      <c r="A27" s="6" t="s">
        <v>57</v>
      </c>
      <c r="B27" s="6" t="s">
        <v>11</v>
      </c>
      <c r="C27" s="6"/>
      <c r="D27" s="6"/>
      <c r="E27" s="6"/>
      <c r="F27" s="6"/>
      <c r="G27" s="6" t="s">
        <v>58</v>
      </c>
      <c r="H27" s="6" t="s">
        <v>59</v>
      </c>
      <c r="I27" s="6"/>
      <c r="J27" s="6"/>
      <c r="K27" s="6"/>
      <c r="L27" s="7" t="str">
        <f>IF(C27="yes",_xlfn.CONCAT($P$3,G27,IF(H27="","","&lt;img src=images\inline\linebrk.png&gt;"),H27,IF(I27="","","&lt;img src=images\inline\linebrk.png&gt;"),I27,IF(J27="","","&lt;img src=images\inline\linebrk.png&gt;"),J27,),_xlfn.CONCAT($O$3,G27,IF(H27="","","&lt;img src=images\inline\linebrk.png&gt;"),H27,IF(I27="","","&lt;img src=images\inline\linebrk.png&gt;"),I27,IF(J27="","","&lt;img src=images\inline\linebrk.png&gt;"),J27,))</f>
        <v>&lt;p style="font-size:14px;"&gt;&lt;br&gt;&lt;i&gt;Reaction - &lt;/i&gt;&lt;b&gt;Salt in the wound:&lt;/b&gt; 1 AP or weirdT&lt;br&gt;Whenever an adjacent creature takes a wound, you may activate this and inflict the &lt;b&gt;Stunned&lt;/b&gt; status effect on them.&lt;img src=images\inline\linebrk.png&gt;&lt;i&gt;Passive - &lt;b&gt;Fueled by pain:&lt;/i&gt;&lt;/b&gt;&lt;br&gt;Whenever you take a wound, gain the &lt;b&gt;Well Rested&lt;/b&gt; status effect.</v>
      </c>
    </row>
    <row r="28" spans="1:12" ht="409.5" x14ac:dyDescent="0.25">
      <c r="A28" s="6" t="s">
        <v>60</v>
      </c>
      <c r="B28" s="6" t="s">
        <v>11</v>
      </c>
      <c r="C28" s="6"/>
      <c r="D28" s="6"/>
      <c r="E28" s="6"/>
      <c r="F28" s="6"/>
      <c r="G28" s="6" t="s">
        <v>61</v>
      </c>
      <c r="H28" s="6" t="s">
        <v>62</v>
      </c>
      <c r="I28" s="6"/>
      <c r="J28" s="6"/>
      <c r="K28" s="6"/>
      <c r="L28" s="7" t="str">
        <f>IF(C28="yes",_xlfn.CONCAT($P$3,G28,IF(H28="","","&lt;img src=images\inline\linebrk.png&gt;"),H28,IF(I28="","","&lt;img src=images\inline\linebrk.png&gt;"),I28,IF(J28="","","&lt;img src=images\inline\linebrk.png&gt;"),J28,),_xlfn.CONCAT($O$3,G28,IF(H28="","","&lt;img src=images\inline\linebrk.png&gt;"),H28,IF(I28="","","&lt;img src=images\inline\linebrk.png&gt;"),I28,IF(J28="","","&lt;img src=images\inline\linebrk.png&gt;"),J28,))</f>
        <v>&lt;p style="font-size:14px;"&gt;&lt;br&gt;&lt;i&gt;Melee Attack -&lt;/i&gt; &lt;b&gt;Nip: &lt;/b&gt;2 AP&lt;br&gt;Damage = 3 , close range.&lt;br&gt;Crit option:&lt;br&gt;&lt;b&gt;Strike:&lt;/b&gt; +1 damage.&lt;br&gt;&lt;img src=images\inline\linebrk.png&gt;&lt;i&gt;Passive - &lt;b&gt; Precise:&lt;/b&gt;&lt;/i&gt;&lt;br&gt;Wounds inflicted by this limb's attacks always target the stat of your choice.</v>
      </c>
    </row>
    <row r="29" spans="1:12" ht="330" x14ac:dyDescent="0.25">
      <c r="A29" s="6" t="s">
        <v>63</v>
      </c>
      <c r="B29" s="6" t="s">
        <v>11</v>
      </c>
      <c r="C29" s="6"/>
      <c r="D29" s="6"/>
      <c r="E29" s="6"/>
      <c r="F29" s="6"/>
      <c r="G29" s="6" t="s">
        <v>64</v>
      </c>
      <c r="H29" s="6"/>
      <c r="I29" s="6"/>
      <c r="J29" s="6"/>
      <c r="K29" s="6"/>
      <c r="L29" s="7" t="str">
        <f>IF(C29="yes",_xlfn.CONCAT($P$3,G29,IF(H29="","","&lt;img src=images\inline\linebrk.png&gt;"),H29,IF(I29="","","&lt;img src=images\inline\linebrk.png&gt;"),I29,IF(J29="","","&lt;img src=images\inline\linebrk.png&gt;"),J29,),_xlfn.CONCAT($O$3,G29,IF(H29="","","&lt;img src=images\inline\linebrk.png&gt;"),H29,IF(I29="","","&lt;img src=images\inline\linebrk.png&gt;"),I29,IF(J29="","","&lt;img src=images\inline\linebrk.png&gt;"),J29,))</f>
        <v>&lt;p style="font-size:14px;"&gt;&lt;br&gt;&lt;i&gt;Ranged Attack - &lt;/i&gt;&lt;b&gt;Corrosive spit: &lt;/b&gt;2 AP + weirdT&lt;br&gt;Damage = 4. &lt;br&gt;Ignores damage reduction effects.</v>
      </c>
    </row>
    <row r="30" spans="1:12" ht="75" x14ac:dyDescent="0.25">
      <c r="A30" s="8" t="s">
        <v>96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7" t="str">
        <f>IF(C30="yes",_xlfn.CONCAT($P$3,G30,IF(H30="","","&lt;img src=images\inline\linebrk.png&gt;"),H30,IF(I30="","","&lt;img src=images\inline\linebrk.png&gt;"),I30,IF(J30="","","&lt;img src=images\inline\linebrk.png&gt;"),J30,),_xlfn.CONCAT($O$3,G30,IF(H30="","","&lt;img src=images\inline\linebrk.png&gt;"),H30,IF(I30="","","&lt;img src=images\inline\linebrk.png&gt;"),I30,IF(J30="","","&lt;img src=images\inline\linebrk.png&gt;"),J30,))</f>
        <v>&lt;p style="font-size:14px;"&gt;&lt;br&gt;</v>
      </c>
    </row>
    <row r="31" spans="1:12" ht="409.5" x14ac:dyDescent="0.25">
      <c r="A31" s="6" t="s">
        <v>65</v>
      </c>
      <c r="B31" s="6" t="s">
        <v>11</v>
      </c>
      <c r="C31" s="6"/>
      <c r="D31" s="6"/>
      <c r="E31" s="6"/>
      <c r="F31" s="6"/>
      <c r="G31" s="6" t="s">
        <v>66</v>
      </c>
      <c r="H31" s="6" t="s">
        <v>67</v>
      </c>
      <c r="I31" s="6" t="s">
        <v>68</v>
      </c>
      <c r="J31" s="6"/>
      <c r="K31" s="6"/>
      <c r="L31" s="7" t="str">
        <f>IF(C31="yes",_xlfn.CONCAT($P$3,G31,IF(H31="","","&lt;img src=images\inline\linebrk.png&gt;"),H31,IF(I31="","","&lt;img src=images\inline\linebrk.png&gt;"),I31,IF(J31="","","&lt;img src=images\inline\linebrk.png&gt;"),J31,),_xlfn.CONCAT($O$3,G31,IF(H31="","","&lt;img src=images\inline\linebrk.png&gt;"),H31,IF(I31="","","&lt;img src=images\inline\linebrk.png&gt;"),I31,IF(J31="","","&lt;img src=images\inline\linebrk.png&gt;"),J31,))</f>
        <v>&lt;p style="font-size:14px;"&gt;&lt;br&gt;&lt;i&gt;Melee Attack -&lt;/i&gt;&lt;b&gt; Slam:&lt;/b&gt; 4 AP&lt;br&gt;Damage = 8, close range.&lt;br&gt;&lt;img src=images\inline\linebrk.png&gt;&lt;b&gt;Wall of Splendor: &lt;/b&gt;1 AP&lt;br&gt;Place the slab down on an adjacent hex, it extends straight on each side to become a three hex wall, if there is space. This wall blocks vision and is indestructable.&lt;img src=images\inline\linebrk.png&gt;&lt;b&gt;Reclaim: &lt;/b&gt;3 AP or fleshtfleshtfleshT&lt;br&gt;Pick up a deployed painted slab, any adjacent being can do this.</v>
      </c>
    </row>
    <row r="32" spans="1:12" ht="315" x14ac:dyDescent="0.25">
      <c r="A32" s="6" t="s">
        <v>69</v>
      </c>
      <c r="B32" s="6" t="s">
        <v>11</v>
      </c>
      <c r="C32" s="6"/>
      <c r="D32" s="6"/>
      <c r="E32" s="6"/>
      <c r="F32" s="6"/>
      <c r="G32" s="6" t="s">
        <v>70</v>
      </c>
      <c r="H32" s="6"/>
      <c r="I32" s="6"/>
      <c r="J32" s="6"/>
      <c r="K32" s="6"/>
      <c r="L32" s="7" t="str">
        <f>IF(C32="yes",_xlfn.CONCAT($P$3,G32,IF(H32="","","&lt;img src=images\inline\linebrk.png&gt;"),H32,IF(I32="","","&lt;img src=images\inline\linebrk.png&gt;"),I32,IF(J32="","","&lt;img src=images\inline\linebrk.png&gt;"),J32,),_xlfn.CONCAT($O$3,G32,IF(H32="","","&lt;img src=images\inline\linebrk.png&gt;"),H32,IF(I32="","","&lt;img src=images\inline\linebrk.png&gt;"),I32,IF(J32="","","&lt;img src=images\inline\linebrk.png&gt;"),J32,))</f>
        <v>&lt;p style="font-size:14px;"&gt;&lt;br&gt;&lt;i&gt;Ranged Attack -&lt;/i&gt;&lt;b&gt; Fling:&lt;/b&gt; 2 AP&lt;br&gt;Damage = 4. &lt;br&gt;You take 1 damage when you use this attack.</v>
      </c>
    </row>
    <row r="33" spans="1:12" ht="409.5" x14ac:dyDescent="0.25">
      <c r="A33" s="6" t="s">
        <v>71</v>
      </c>
      <c r="B33" s="6" t="s">
        <v>11</v>
      </c>
      <c r="C33" s="6"/>
      <c r="D33" s="6"/>
      <c r="E33" s="6"/>
      <c r="F33" s="6"/>
      <c r="G33" s="6" t="s">
        <v>72</v>
      </c>
      <c r="H33" s="6" t="s">
        <v>73</v>
      </c>
      <c r="I33" s="6"/>
      <c r="J33" s="6"/>
      <c r="K33" s="6"/>
      <c r="L33" s="7" t="str">
        <f>IF(C33="yes",_xlfn.CONCAT($P$3,G33,IF(H33="","","&lt;img src=images\inline\linebrk.png&gt;"),H33,IF(I33="","","&lt;img src=images\inline\linebrk.png&gt;"),I33,IF(J33="","","&lt;img src=images\inline\linebrk.png&gt;"),J33,),_xlfn.CONCAT($O$3,G33,IF(H33="","","&lt;img src=images\inline\linebrk.png&gt;"),H33,IF(I33="","","&lt;img src=images\inline\linebrk.png&gt;"),I33,IF(J33="","","&lt;img src=images\inline\linebrk.png&gt;"),J33,))</f>
        <v>&lt;p style="font-size:14px;"&gt;&lt;br&gt;&lt;b&gt;Embed:&lt;/b&gt; weirdt&lt;br&gt;Place a 1 hex sized heartstone on an adjacent hex. It will break if it takes damage.&lt;img src=images\inline\linebrk.png&gt;&lt;i&gt;Passive - &lt;b&gt; Living Rythm:&lt;/i&gt;&lt;/b&gt;&lt;br&gt;While there is at least 1 heartstone on the map, you gain up to 3 temporary composure at the end of your turn.</v>
      </c>
    </row>
    <row r="34" spans="1:12" ht="75" x14ac:dyDescent="0.25">
      <c r="A34" s="8" t="s">
        <v>97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7" t="str">
        <f>IF(C34="yes",_xlfn.CONCAT($P$3,G34,IF(H34="","","&lt;img src=images\inline\linebrk.png&gt;"),H34,IF(I34="","","&lt;img src=images\inline\linebrk.png&gt;"),I34,IF(J34="","","&lt;img src=images\inline\linebrk.png&gt;"),J34,),_xlfn.CONCAT($O$3,G34,IF(H34="","","&lt;img src=images\inline\linebrk.png&gt;"),H34,IF(I34="","","&lt;img src=images\inline\linebrk.png&gt;"),I34,IF(J34="","","&lt;img src=images\inline\linebrk.png&gt;"),J34,))</f>
        <v>&lt;p style="font-size:14px;"&gt;&lt;br&gt;</v>
      </c>
    </row>
    <row r="35" spans="1:12" ht="409.5" x14ac:dyDescent="0.25">
      <c r="A35" s="6" t="s">
        <v>74</v>
      </c>
      <c r="B35" s="6" t="s">
        <v>11</v>
      </c>
      <c r="C35" s="6"/>
      <c r="D35" s="6" t="s">
        <v>75</v>
      </c>
      <c r="E35" s="6"/>
      <c r="F35" s="6"/>
      <c r="G35" s="6" t="s">
        <v>76</v>
      </c>
      <c r="H35" s="6" t="s">
        <v>77</v>
      </c>
      <c r="I35" s="6"/>
      <c r="J35" s="6"/>
      <c r="K35" s="6"/>
      <c r="L35" s="7" t="str">
        <f>IF(C35="yes",_xlfn.CONCAT($P$3,G35,IF(H35="","","&lt;img src=images\inline\linebrk.png&gt;"),H35,IF(I35="","","&lt;img src=images\inline\linebrk.png&gt;"),I35,IF(J35="","","&lt;img src=images\inline\linebrk.png&gt;"),J35,),_xlfn.CONCAT($O$3,G35,IF(H35="","","&lt;img src=images\inline\linebrk.png&gt;"),H35,IF(I35="","","&lt;img src=images\inline\linebrk.png&gt;"),I35,IF(J35="","","&lt;img src=images\inline\linebrk.png&gt;"),J35,))</f>
        <v>&lt;p style="font-size:14px;"&gt;&lt;br&gt;&lt;i&gt;Ranged Attack - &lt;/i&gt;&lt;b&gt;Throw: &lt;/b&gt;1 AP + charget&lt;br&gt;Damage = &lt;span style="color:#e74c3c"&gt;&lt;strong&gt;Flesh&lt;/strong&gt;&lt;/span&gt;.&lt;img src=images\inline\linebrk.png&gt;&lt;b&gt;Rummage:&lt;/b&gt; 3 AP + fleshT&lt;br&gt;Recharge this item.</v>
      </c>
    </row>
    <row r="36" spans="1:12" ht="409.5" x14ac:dyDescent="0.25">
      <c r="A36" s="6" t="s">
        <v>78</v>
      </c>
      <c r="B36" s="6" t="s">
        <v>11</v>
      </c>
      <c r="C36" s="6"/>
      <c r="D36" s="6"/>
      <c r="E36" s="6"/>
      <c r="F36" s="6"/>
      <c r="G36" s="6" t="s">
        <v>79</v>
      </c>
      <c r="H36" s="6" t="s">
        <v>80</v>
      </c>
      <c r="I36" s="6"/>
      <c r="J36" s="6"/>
      <c r="K36" s="6"/>
      <c r="L36" s="7" t="str">
        <f>IF(C36="yes",_xlfn.CONCAT($P$3,G36,IF(H36="","","&lt;img src=images\inline\linebrk.png&gt;"),H36,IF(I36="","","&lt;img src=images\inline\linebrk.png&gt;"),I36,IF(J36="","","&lt;img src=images\inline\linebrk.png&gt;"),J36,),_xlfn.CONCAT($O$3,G36,IF(H36="","","&lt;img src=images\inline\linebrk.png&gt;"),H36,IF(I36="","","&lt;img src=images\inline\linebrk.png&gt;"),I36,IF(J36="","","&lt;img src=images\inline\linebrk.png&gt;"),J36,))</f>
        <v>&lt;p style="font-size:14px;"&gt;&lt;br&gt;&lt;i&gt;Melee Attack -&lt;/i&gt; &lt;b&gt;Thump: &lt;/b&gt;2 AP&lt;br&gt;Damage =4, close range.&lt;br&gt;Crit Option:&lt;br&gt;&lt;b&gt;Concuss:&lt;/b&gt; Inflict the &lt;b&gt;Stunned&lt;/b&gt; status effect.&lt;img src=images\inline\linebrk.png&gt;&lt;b&gt;Dig:&lt;/b&gt; 1 AP or fleshT&lt;br&gt;Clear an adjacent hex of any player generated terrain features.</v>
      </c>
    </row>
    <row r="37" spans="1:12" ht="409.5" x14ac:dyDescent="0.25">
      <c r="A37" s="6" t="s">
        <v>81</v>
      </c>
      <c r="B37" s="6" t="s">
        <v>11</v>
      </c>
      <c r="C37" s="6"/>
      <c r="D37" s="6"/>
      <c r="E37" s="6"/>
      <c r="F37" s="6"/>
      <c r="G37" s="6" t="s">
        <v>82</v>
      </c>
      <c r="H37" s="6"/>
      <c r="I37" s="6"/>
      <c r="J37" s="6"/>
      <c r="K37" s="6"/>
      <c r="L37" s="7" t="str">
        <f>IF(C37="yes",_xlfn.CONCAT($P$3,G37,IF(H37="","","&lt;img src=images\inline\linebrk.png&gt;"),H37,IF(I37="","","&lt;img src=images\inline\linebrk.png&gt;"),I37,IF(J37="","","&lt;img src=images\inline\linebrk.png&gt;"),J37,),_xlfn.CONCAT($O$3,G37,IF(H37="","","&lt;img src=images\inline\linebrk.png&gt;"),H37,IF(I37="","","&lt;img src=images\inline\linebrk.png&gt;"),I37,IF(J37="","","&lt;img src=images\inline\linebrk.png&gt;"),J37,))</f>
        <v>&lt;p style="font-size:14px;"&gt;&lt;br&gt;&lt;i&gt;Ranged Attack&lt;/i&gt; -&lt;b&gt; Yoink:&lt;/b&gt; 1 AP&lt;br&gt;Damage = 0.&lt;br&gt;Pull the target to an adjacent hex on a hit&lt;br&gt;Crit Option:&lt;br&gt;&lt;b&gt;Entangle:&lt;/b&gt; Inflict the &lt;b&gt;Entangled&lt;/b&gt; status effect.</v>
      </c>
    </row>
    <row r="38" spans="1:12" ht="409.5" x14ac:dyDescent="0.25">
      <c r="A38" s="6" t="s">
        <v>83</v>
      </c>
      <c r="B38" s="6" t="s">
        <v>11</v>
      </c>
      <c r="C38" s="6"/>
      <c r="D38" s="6"/>
      <c r="E38" s="6"/>
      <c r="F38" s="6"/>
      <c r="G38" s="6" t="s">
        <v>84</v>
      </c>
      <c r="H38" s="6" t="s">
        <v>85</v>
      </c>
      <c r="I38" s="6"/>
      <c r="J38" s="6"/>
      <c r="K38" s="6"/>
      <c r="L38" s="7" t="str">
        <f>IF(C38="yes",_xlfn.CONCAT($P$3,G38,IF(H38="","","&lt;img src=images\inline\linebrk.png&gt;"),H38,IF(I38="","","&lt;img src=images\inline\linebrk.png&gt;"),I38,IF(J38="","","&lt;img src=images\inline\linebrk.png&gt;"),J38,),_xlfn.CONCAT($O$3,G38,IF(H38="","","&lt;img src=images\inline\linebrk.png&gt;"),H38,IF(I38="","","&lt;img src=images\inline\linebrk.png&gt;"),I38,IF(J38="","","&lt;img src=images\inline\linebrk.png&gt;"),J38,))</f>
        <v>&lt;p style="font-size:14px;"&gt;&lt;br&gt;&lt;i&gt;Melee Attack -&lt;/i&gt;&lt;b&gt; Slime Glob: &lt;/b&gt;2 AP&lt;br&gt;Damage = 2, reach.&lt;br&gt;Inflicts the &lt;b&gt;Entangled&lt;/b&gt; status effect on a hit.&lt;img src=images\inline\linebrk.png&gt;&lt;i&gt;Passive - &lt;b&gt; Secretions:&lt;/i&gt;&lt;/b&gt;&lt;br&gt;When you take a move action, you may spend weirdt to leave a trail of goo in all hexes moved out of. Moving through this goo costs 2 hexes of movement per hex.</v>
      </c>
    </row>
    <row r="39" spans="1:12" ht="75" x14ac:dyDescent="0.25">
      <c r="A39" s="8" t="s">
        <v>98</v>
      </c>
      <c r="B39" s="6" t="s">
        <v>11</v>
      </c>
      <c r="C39" s="8"/>
      <c r="D39" s="8"/>
      <c r="E39" s="8"/>
      <c r="F39" s="8"/>
      <c r="G39" s="8"/>
      <c r="H39" s="8"/>
      <c r="I39" s="8"/>
      <c r="J39" s="8"/>
      <c r="K39" s="8"/>
      <c r="L39" s="7" t="str">
        <f>IF(C39="yes",_xlfn.CONCAT($P$3,G39,IF(H39="","","&lt;img src=images\inline\linebrk.png&gt;"),H39,IF(I39="","","&lt;img src=images\inline\linebrk.png&gt;"),I39,IF(J39="","","&lt;img src=images\inline\linebrk.png&gt;"),J39,),_xlfn.CONCAT($O$3,G39,IF(H39="","","&lt;img src=images\inline\linebrk.png&gt;"),H39,IF(I39="","","&lt;img src=images\inline\linebrk.png&gt;"),I39,IF(J39="","","&lt;img src=images\inline\linebrk.png&gt;"),J39,))</f>
        <v>&lt;p style="font-size:14px;"&gt;&lt;br&gt;</v>
      </c>
    </row>
    <row r="40" spans="1:12" ht="15" customHeight="1" x14ac:dyDescent="0.25">
      <c r="A40" s="9" t="s">
        <v>86</v>
      </c>
      <c r="B40" s="6" t="s">
        <v>11</v>
      </c>
      <c r="C40" s="8"/>
      <c r="D40" s="8"/>
      <c r="E40" s="8"/>
      <c r="F40" s="8"/>
      <c r="G40" s="8"/>
      <c r="H40" s="8"/>
      <c r="I40" s="8"/>
      <c r="J40" s="8"/>
      <c r="K40" s="8"/>
      <c r="L40" s="7" t="str">
        <f>IF(C40="yes",_xlfn.CONCAT($P$3,G40,IF(H40="","","&lt;img src=images\inline\linebrk.png&gt;"),H40,IF(I40="","","&lt;img src=images\inline\linebrk.png&gt;"),I40,IF(J40="","","&lt;img src=images\inline\linebrk.png&gt;"),J40,),_xlfn.CONCAT($O$3,G40,IF(H40="","","&lt;img src=images\inline\linebrk.png&gt;"),H40,IF(I40="","","&lt;img src=images\inline\linebrk.png&gt;"),I40,IF(J40="","","&lt;img src=images\inline\linebrk.png&gt;"),J40,))</f>
        <v>&lt;p style="font-size:14px;"&gt;&lt;br&gt;</v>
      </c>
    </row>
    <row r="41" spans="1:12" ht="15" customHeight="1" x14ac:dyDescent="0.25">
      <c r="A41" t="s">
        <v>99</v>
      </c>
      <c r="B41" s="6" t="s">
        <v>11</v>
      </c>
      <c r="C41" s="8"/>
      <c r="D41" s="8"/>
      <c r="E41" s="8"/>
      <c r="F41" s="8"/>
      <c r="G41" s="8"/>
      <c r="H41" s="8"/>
      <c r="I41" s="8"/>
      <c r="J41" s="8"/>
      <c r="K41" s="8"/>
      <c r="L41" s="7" t="str">
        <f>IF(C41="yes",_xlfn.CONCAT($P$3,G41,IF(H41="","","&lt;img src=images\inline\linebrk.png&gt;"),H41,IF(I41="","","&lt;img src=images\inline\linebrk.png&gt;"),I41,IF(J41="","","&lt;img src=images\inline\linebrk.png&gt;"),J41,),_xlfn.CONCAT($O$3,G41,IF(H41="","","&lt;img src=images\inline\linebrk.png&gt;"),H41,IF(I41="","","&lt;img src=images\inline\linebrk.png&gt;"),I41,IF(J41="","","&lt;img src=images\inline\linebrk.png&gt;"),J41,))</f>
        <v>&lt;p style="font-size:14px;"&gt;&lt;br&gt;</v>
      </c>
    </row>
    <row r="42" spans="1:12" ht="15" customHeight="1" x14ac:dyDescent="0.25">
      <c r="A42" t="s">
        <v>100</v>
      </c>
      <c r="B42" s="6" t="s">
        <v>11</v>
      </c>
      <c r="C42" s="8"/>
      <c r="D42" s="8"/>
      <c r="E42" s="8"/>
      <c r="F42" s="8"/>
      <c r="G42" s="8"/>
      <c r="H42" s="8"/>
      <c r="I42" s="8"/>
      <c r="J42" s="8"/>
      <c r="K42" s="8"/>
      <c r="L42" s="7" t="str">
        <f>IF(C42="yes",_xlfn.CONCAT($P$3,G42,IF(H42="","","&lt;img src=images\inline\linebrk.png&gt;"),H42,IF(I42="","","&lt;img src=images\inline\linebrk.png&gt;"),I42,IF(J42="","","&lt;img src=images\inline\linebrk.png&gt;"),J42,),_xlfn.CONCAT($O$3,G42,IF(H42="","","&lt;img src=images\inline\linebrk.png&gt;"),H42,IF(I42="","","&lt;img src=images\inline\linebrk.png&gt;"),I42,IF(J42="","","&lt;img src=images\inline\linebrk.png&gt;"),J42,))</f>
        <v>&lt;p style="font-size:14px;"&gt;&lt;br&gt;</v>
      </c>
    </row>
    <row r="43" spans="1:12" ht="15" customHeight="1" x14ac:dyDescent="0.25">
      <c r="A43" s="9" t="s">
        <v>87</v>
      </c>
      <c r="B43" s="6" t="s">
        <v>11</v>
      </c>
      <c r="C43" s="8"/>
      <c r="D43" s="8"/>
      <c r="E43" s="8"/>
      <c r="F43" s="8"/>
      <c r="G43" s="8"/>
      <c r="H43" s="8"/>
      <c r="I43" s="8"/>
      <c r="J43" s="8"/>
      <c r="K43" s="8"/>
      <c r="L43" s="7" t="str">
        <f>IF(C43="yes",_xlfn.CONCAT($P$3,G43,IF(H43="","","&lt;img src=images\inline\linebrk.png&gt;"),H43,IF(I43="","","&lt;img src=images\inline\linebrk.png&gt;"),I43,IF(J43="","","&lt;img src=images\inline\linebrk.png&gt;"),J43,),_xlfn.CONCAT($O$3,G43,IF(H43="","","&lt;img src=images\inline\linebrk.png&gt;"),H43,IF(I43="","","&lt;img src=images\inline\linebrk.png&gt;"),I43,IF(J43="","","&lt;img src=images\inline\linebrk.png&gt;"),J43,))</f>
        <v>&lt;p style="font-size:14px;"&gt;&lt;br&gt;</v>
      </c>
    </row>
    <row r="44" spans="1:12" ht="15" customHeight="1" x14ac:dyDescent="0.25">
      <c r="A44" t="s">
        <v>101</v>
      </c>
      <c r="B44" s="6" t="s">
        <v>11</v>
      </c>
      <c r="C44" s="8"/>
      <c r="D44" s="8"/>
      <c r="E44" s="8"/>
      <c r="F44" s="8"/>
      <c r="G44" s="8"/>
      <c r="H44" s="8"/>
      <c r="I44" s="8"/>
      <c r="J44" s="8"/>
      <c r="K44" s="8"/>
      <c r="L44" s="7" t="str">
        <f>IF(C44="yes",_xlfn.CONCAT($P$3,G44,IF(H44="","","&lt;img src=images\inline\linebrk.png&gt;"),H44,IF(I44="","","&lt;img src=images\inline\linebrk.png&gt;"),I44,IF(J44="","","&lt;img src=images\inline\linebrk.png&gt;"),J44,),_xlfn.CONCAT($O$3,G44,IF(H44="","","&lt;img src=images\inline\linebrk.png&gt;"),H44,IF(I44="","","&lt;img src=images\inline\linebrk.png&gt;"),I44,IF(J44="","","&lt;img src=images\inline\linebrk.png&gt;"),J44,))</f>
        <v>&lt;p style="font-size:14px;"&gt;&lt;br&gt;</v>
      </c>
    </row>
    <row r="45" spans="1:12" ht="15" customHeight="1" x14ac:dyDescent="0.25">
      <c r="A45" s="9" t="s">
        <v>88</v>
      </c>
      <c r="B45" s="6" t="s">
        <v>11</v>
      </c>
      <c r="C45" s="8"/>
      <c r="D45" s="8"/>
      <c r="E45" s="8"/>
      <c r="F45" s="8"/>
      <c r="G45" s="8"/>
      <c r="H45" s="8"/>
      <c r="I45" s="8"/>
      <c r="J45" s="8"/>
      <c r="K45" s="8"/>
      <c r="L45" s="7" t="str">
        <f>IF(C45="yes",_xlfn.CONCAT($P$3,G45,IF(H45="","","&lt;img src=images\inline\linebrk.png&gt;"),H45,IF(I45="","","&lt;img src=images\inline\linebrk.png&gt;"),I45,IF(J45="","","&lt;img src=images\inline\linebrk.png&gt;"),J45,),_xlfn.CONCAT($O$3,G45,IF(H45="","","&lt;img src=images\inline\linebrk.png&gt;"),H45,IF(I45="","","&lt;img src=images\inline\linebrk.png&gt;"),I45,IF(J45="","","&lt;img src=images\inline\linebrk.png&gt;"),J45,))</f>
        <v>&lt;p style="font-size:14px;"&gt;&lt;br&gt;</v>
      </c>
    </row>
    <row r="46" spans="1:12" ht="15" customHeight="1" x14ac:dyDescent="0.25">
      <c r="A46" t="s">
        <v>102</v>
      </c>
      <c r="B46" s="6" t="s">
        <v>11</v>
      </c>
      <c r="C46" s="8"/>
      <c r="D46" s="8"/>
      <c r="E46" s="8"/>
      <c r="F46" s="8"/>
      <c r="G46" s="8"/>
      <c r="H46" s="8"/>
      <c r="I46" s="8"/>
      <c r="J46" s="8"/>
      <c r="K46" s="8"/>
      <c r="L46" s="7" t="str">
        <f>IF(C46="yes",_xlfn.CONCAT($P$3,G46,IF(H46="","","&lt;img src=images\inline\linebrk.png&gt;"),H46,IF(I46="","","&lt;img src=images\inline\linebrk.png&gt;"),I46,IF(J46="","","&lt;img src=images\inline\linebrk.png&gt;"),J46,),_xlfn.CONCAT($O$3,G46,IF(H46="","","&lt;img src=images\inline\linebrk.png&gt;"),H46,IF(I46="","","&lt;img src=images\inline\linebrk.png&gt;"),I46,IF(J46="","","&lt;img src=images\inline\linebrk.png&gt;"),J46,))</f>
        <v>&lt;p style="font-size:14px;"&gt;&lt;br&gt;</v>
      </c>
    </row>
    <row r="47" spans="1:12" ht="15" customHeight="1" x14ac:dyDescent="0.25">
      <c r="A47" t="s">
        <v>103</v>
      </c>
      <c r="B47" s="6" t="s">
        <v>11</v>
      </c>
      <c r="C47" s="8"/>
      <c r="D47" s="8"/>
      <c r="E47" s="8"/>
      <c r="F47" s="8"/>
      <c r="G47" s="8"/>
      <c r="H47" s="8"/>
      <c r="I47" s="8"/>
      <c r="J47" s="8"/>
      <c r="K47" s="8"/>
      <c r="L47" s="7" t="str">
        <f>IF(C47="yes",_xlfn.CONCAT($P$3,G47,IF(H47="","","&lt;img src=images\inline\linebrk.png&gt;"),H47,IF(I47="","","&lt;img src=images\inline\linebrk.png&gt;"),I47,IF(J47="","","&lt;img src=images\inline\linebrk.png&gt;"),J47,),_xlfn.CONCAT($O$3,G47,IF(H47="","","&lt;img src=images\inline\linebrk.png&gt;"),H47,IF(I47="","","&lt;img src=images\inline\linebrk.png&gt;"),I47,IF(J47="","","&lt;img src=images\inline\linebrk.png&gt;"),J47,))</f>
        <v>&lt;p style="font-size:14px;"&gt;&lt;br&gt;</v>
      </c>
    </row>
    <row r="48" spans="1:12" ht="15" customHeight="1" x14ac:dyDescent="0.25">
      <c r="A48" s="9" t="s">
        <v>89</v>
      </c>
      <c r="B48" s="6" t="s">
        <v>11</v>
      </c>
      <c r="C48" s="8"/>
      <c r="D48" s="8"/>
      <c r="E48" s="8"/>
      <c r="F48" s="8"/>
      <c r="G48" s="8"/>
      <c r="H48" s="8"/>
      <c r="I48" s="8"/>
      <c r="J48" s="8"/>
      <c r="K48" s="8"/>
      <c r="L48" s="7" t="str">
        <f>IF(C48="yes",_xlfn.CONCAT($P$3,G48,IF(H48="","","&lt;img src=images\inline\linebrk.png&gt;"),H48,IF(I48="","","&lt;img src=images\inline\linebrk.png&gt;"),I48,IF(J48="","","&lt;img src=images\inline\linebrk.png&gt;"),J48,),_xlfn.CONCAT($O$3,G48,IF(H48="","","&lt;img src=images\inline\linebrk.png&gt;"),H48,IF(I48="","","&lt;img src=images\inline\linebrk.png&gt;"),I48,IF(J48="","","&lt;img src=images\inline\linebrk.png&gt;"),J48,))</f>
        <v>&lt;p style="font-size:14px;"&gt;&lt;br&gt;</v>
      </c>
    </row>
    <row r="49" spans="1:12" ht="15" customHeight="1" x14ac:dyDescent="0.25">
      <c r="A49" s="9" t="s">
        <v>90</v>
      </c>
      <c r="B49" s="6" t="s">
        <v>11</v>
      </c>
      <c r="C49" s="8"/>
      <c r="D49" s="8"/>
      <c r="E49" s="8"/>
      <c r="F49" s="8"/>
      <c r="G49" s="8"/>
      <c r="H49" s="8"/>
      <c r="I49" s="8"/>
      <c r="J49" s="8"/>
      <c r="K49" s="8"/>
      <c r="L49" s="7" t="str">
        <f>IF(C49="yes",_xlfn.CONCAT($P$3,G49,IF(H49="","","&lt;img src=images\inline\linebrk.png&gt;"),H49,IF(I49="","","&lt;img src=images\inline\linebrk.png&gt;"),I49,IF(J49="","","&lt;img src=images\inline\linebrk.png&gt;"),J49,),_xlfn.CONCAT($O$3,G49,IF(H49="","","&lt;img src=images\inline\linebrk.png&gt;"),H49,IF(I49="","","&lt;img src=images\inline\linebrk.png&gt;"),I49,IF(J49="","","&lt;img src=images\inline\linebrk.png&gt;"),J49,))</f>
        <v>&lt;p style="font-size:14px;"&gt;&lt;br&gt;</v>
      </c>
    </row>
    <row r="50" spans="1:12" ht="15" customHeight="1" x14ac:dyDescent="0.25">
      <c r="A50" t="s">
        <v>104</v>
      </c>
      <c r="B50" s="6" t="s">
        <v>11</v>
      </c>
      <c r="C50" s="8"/>
      <c r="D50" s="8"/>
      <c r="E50" s="8"/>
      <c r="F50" s="8"/>
      <c r="G50" s="8"/>
      <c r="H50" s="8"/>
      <c r="I50" s="8"/>
      <c r="J50" s="8"/>
      <c r="K50" s="8"/>
      <c r="L50" s="7" t="str">
        <f>IF(C50="yes",_xlfn.CONCAT($P$3,G50,IF(H50="","","&lt;img src=images\inline\linebrk.png&gt;"),H50,IF(I50="","","&lt;img src=images\inline\linebrk.png&gt;"),I50,IF(J50="","","&lt;img src=images\inline\linebrk.png&gt;"),J50,),_xlfn.CONCAT($O$3,G50,IF(H50="","","&lt;img src=images\inline\linebrk.png&gt;"),H50,IF(I50="","","&lt;img src=images\inline\linebrk.png&gt;"),I50,IF(J50="","","&lt;img src=images\inline\linebrk.png&gt;"),J50,))</f>
        <v>&lt;p style="font-size:14px;"&gt;&lt;br&gt;</v>
      </c>
    </row>
    <row r="51" spans="1:12" ht="1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7"/>
    </row>
    <row r="52" spans="1:12" ht="1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7"/>
    </row>
    <row r="53" spans="1:12" ht="1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7"/>
    </row>
    <row r="54" spans="1:12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7"/>
    </row>
    <row r="63" spans="1:12" ht="15" customHeight="1" x14ac:dyDescent="0.25">
      <c r="A63" s="9"/>
    </row>
    <row r="66" spans="1:1" ht="15" customHeight="1" x14ac:dyDescent="0.25">
      <c r="A66" s="9"/>
    </row>
    <row r="68" spans="1:1" ht="15" customHeight="1" x14ac:dyDescent="0.25">
      <c r="A68" s="9"/>
    </row>
    <row r="71" spans="1:1" ht="15" customHeight="1" x14ac:dyDescent="0.25">
      <c r="A71" s="9"/>
    </row>
    <row r="72" spans="1:1" ht="15" customHeight="1" x14ac:dyDescent="0.25">
      <c r="A72" s="9"/>
    </row>
  </sheetData>
  <conditionalFormatting sqref="B1:C14 B15 B16:C54 D15:F15">
    <cfRule type="containsText" dxfId="5" priority="2" operator="containsText" text="Accessory">
      <formula>NOT(ISERROR(SEARCH("Accessory",B1)))</formula>
    </cfRule>
    <cfRule type="containsText" dxfId="4" priority="3" operator="containsText" text="Armour">
      <formula>NOT(ISERROR(SEARCH("Armour",B1)))</formula>
    </cfRule>
    <cfRule type="containsText" dxfId="3" priority="4" operator="containsText" text="Equipment">
      <formula>NOT(ISERROR(SEARCH("Equipment",B1)))</formula>
    </cfRule>
    <cfRule type="containsText" dxfId="2" priority="5" operator="containsText" text="Impression">
      <formula>NOT(ISERROR(SEARCH("Impression",B1)))</formula>
    </cfRule>
    <cfRule type="containsText" dxfId="1" priority="6" operator="containsText" text="Spell">
      <formula>NOT(ISERROR(SEARCH("Spell",B1)))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2025-11-18T09:12:29Z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