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  <sheet name="NaN" sheetId="2" state="visible" r:id="rId4"/>
  </sheets>
  <definedNames>
    <definedName function="false" hidden="true" localSheetId="0" name="_xlnm._FilterDatabase" vbProcedure="false">Sheet3!$A$1:$AJ$140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<sst xmlns="http://schemas.openxmlformats.org/spreadsheetml/2006/main" count="1181" uniqueCount="616">
  <si>
    <t xml:space="preserve">Change state</t>
  </si>
  <si>
    <t xml:space="preserve">Name</t>
  </si>
  <si>
    <t xml:space="preserve">Difficulty</t>
  </si>
  <si>
    <t xml:space="preserve">Type</t>
  </si>
  <si>
    <t xml:space="preserve">NAN_Type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</si>
  <si>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</si>
  <si>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</si>
  <si>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</si>
  <si>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</si>
  <si>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</si>
  <si>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</si>
  <si>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</si>
  <si>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</si>
  <si>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</si>
  <si>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</si>
  <si>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</si>
  <si>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</si>
  <si>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</si>
  <si>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</si>
  <si>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</si>
  <si>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</si>
  <si>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</si>
  <si>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</si>
  <si>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</si>
  <si>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</si>
  <si>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</si>
  <si>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</si>
  <si>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</si>
  <si>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</si>
  <si>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</si>
  <si>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</si>
  <si>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</si>
  <si>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</si>
  <si>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</si>
  <si>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</si>
  <si>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</si>
  <si>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</si>
  <si>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A</t>
  </si>
  <si>
    <t xml:space="preserve">Form</t>
  </si>
  <si>
    <t xml:space="preserve">Passive</t>
  </si>
  <si>
    <t xml:space="preserve">&lt;b&gt;Clear Mind&lt;/b&gt;</t>
  </si>
  <si>
    <t xml:space="preserve">At the start of your turn, flip an impression face up.</t>
  </si>
  <si>
    <t xml:space="preserve">Active</t>
  </si>
  <si>
    <t xml:space="preserve">&lt;b&gt;Thief of Thought&lt;/b&gt;</t>
  </si>
  <si>
    <t xml:space="preserve">Turn one of your impressions face down to inflict the &lt;b&gt;Stunned&lt;/b&gt; status on a target.</t>
  </si>
  <si>
    <t xml:space="preserve">&lt;b&gt;Abandon Soul&lt;/b&gt;</t>
  </si>
  <si>
    <t xml:space="preserve">If you have no impressions face up at the end of your turn, refresh a stat token and gain &lt;b&gt;Monstrous&lt;b&gt;.</t>
  </si>
  <si>
    <t xml:space="preserve">Beast</t>
  </si>
  <si>
    <t xml:space="preserve">B</t>
  </si>
  <si>
    <t xml:space="preserve">&lt;b&gt;Reckless&lt;/b&gt;</t>
  </si>
  <si>
    <t xml:space="preserve">&lt;b&gt;Increase damage taken by 1.&lt;/b&gt;
&lt;br /&gt;+1 Movement Speed.</t>
  </si>
  <si>
    <t xml:space="preserve">&lt;b&gt;Relentless&lt;/b&gt;</t>
  </si>
  <si>
    <t xml:space="preserve">If you are &lt;b&gt;Monstrous&lt;/b&gt;, gain 1 extra AP at the start of your turn.</t>
  </si>
  <si>
    <t xml:space="preserve">Crit</t>
  </si>
  <si>
    <t xml:space="preserve">General Critical</t>
  </si>
  <si>
    <t xml:space="preserve">Attacks gain the critical option
&lt;br /&gt;&lt;b&gt;Howl: &lt;/b&gt;Gain &lt;b&gt;Monstrous&lt;/b&gt;.</t>
  </si>
  <si>
    <t xml:space="preserve">Carcinous</t>
  </si>
  <si>
    <t xml:space="preserve">Shape = Hex2wide</t>
  </si>
  <si>
    <t xml:space="preserve">&lt;b&gt;Many Legs&lt;/b&gt;</t>
  </si>
  <si>
    <t xml:space="preserve">+1 Movement Speed.</t>
  </si>
  <si>
    <t xml:space="preserve">&lt;b&gt;Sideways Scuttle&lt;/b&gt;</t>
  </si>
  <si>
    <t xml:space="preserve">Mark a front hex and back hex for your character token. 
&lt;br /&gt;You may attack using either hex.
&lt;br /&gt;You move with your front hex. When you stop moving, place your back hex in any adjacent hex.</t>
  </si>
  <si>
    <t xml:space="preserve">&lt;b&gt;Cracked Shell&lt;/b&gt;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</si>
  <si>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</si>
  <si>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</si>
  <si>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</si>
  <si>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</si>
  <si>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</si>
  <si>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
&lt;br /&gt;Then gain up to tempcttempct.</t>
  </si>
  <si>
    <t xml:space="preserve">&lt;b&gt;Budding Growth&lt;/b&gt;</t>
  </si>
  <si>
    <t xml:space="preserve">At the start of combat, add an extra ChargeT to all your limbs with ChargeT.</t>
  </si>
  <si>
    <t xml:space="preserve">&lt;span style="color:#3366cc"&gt;&lt;b&gt;Weird&lt;/b&gt;&lt;/span&gt;</t>
  </si>
  <si>
    <t xml:space="preserve">Fungal</t>
  </si>
  <si>
    <t xml:space="preserve">&lt;b&gt;Pulpy&lt;/b&gt;</t>
  </si>
  <si>
    <t xml:space="preserve">Increase your maximum composure by 1.</t>
  </si>
  <si>
    <t xml:space="preserve">&lt;b&gt;Toxic&lt;/b&gt;</t>
  </si>
  <si>
    <t xml:space="preserve">Whenever you would deal damage, you may instead set that beings composure to 1.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</si>
  <si>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</si>
  <si>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</si>
  <si>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</si>
  <si>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&lt;b&gt;Behemoth&lt;/b&gt;</t>
  </si>
  <si>
    <t xml:space="preserve">You can't be be forced to move against your will.</t>
  </si>
  <si>
    <t xml:space="preserve">&lt;b&gt;Massive Limbs&lt;/b&gt;</t>
  </si>
  <si>
    <t xml:space="preserve">Attacks that cost more than 2 AP cost 1 less and have &lt;b&gt;Reach&lt;/b&gt;.</t>
  </si>
  <si>
    <t xml:space="preserve">&lt;b&gt;Hefty&lt;/b&gt;</t>
  </si>
  <si>
    <t xml:space="preserve">After emergence, gain +1 Heft.</t>
  </si>
  <si>
    <t xml:space="preserve">Glowing Kintsugi</t>
  </si>
  <si>
    <t xml:space="preserve">&lt;b&gt;Warm Glow&lt;/b&gt;</t>
  </si>
  <si>
    <t xml:space="preserve">At the start of your turn, gain 
&lt;br /&gt;tempct tempct. Temporary composure can stack from any source up to 5.</t>
  </si>
  <si>
    <t xml:space="preserve">&lt;b&gt;Light Beam:&lt;/b&gt; 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</si>
  <si>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</si>
  <si>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</si>
  <si>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&lt;b&gt;Symptom Sower:&lt;/b&gt; 2 AP + weirdt</t>
  </si>
  <si>
    <t xml:space="preserve">Inflict any status other than &lt;b&gt;Cursed&lt;/b&gt; effect on target being.</t>
  </si>
  <si>
    <t xml:space="preserve">&lt;b&gt;Putrefy:&lt;/b&gt; 1AP</t>
  </si>
  <si>
    <t xml:space="preserve">Suffer a wound to a stat of your choice and inflict the &lt;b&gt;Cursed&lt;/b&gt; status on an adjacent target.</t>
  </si>
  <si>
    <t xml:space="preserve">Attacks gain the critical option
&lt;br /&gt;&lt;b&gt;Rake Essence:&lt;/b&gt; If your target is &lt;b&gt;Cursed&lt;/b&gt;, restore a weirdt. Choose only once per attack.</t>
  </si>
  <si>
    <t xml:space="preserve">Hollow</t>
  </si>
  <si>
    <t xml:space="preserve">&lt;b&gt;Odd structure&lt;/b&gt;</t>
  </si>
  <si>
    <t xml:space="preserve">Your composure is equal to &lt;b&gt;twice&lt;/b&gt; your &lt;span style="color:#3366cc"&gt;&lt;strong&gt;Weird&lt;/strong&gt;&lt;/span&gt;.</t>
  </si>
  <si>
    <t xml:space="preserve">&lt;b&gt;Fragile&lt;/b&gt;</t>
  </si>
  <si>
    <t xml:space="preserve">If you take a wound during combat, you &lt;b&gt;die.&lt;/b&gt;</t>
  </si>
  <si>
    <t xml:space="preserve">Human</t>
  </si>
  <si>
    <t xml:space="preserve">&lt;b&gt;Two Legs&lt;/b&gt;</t>
  </si>
  <si>
    <t xml:space="preserve">&lt;b&gt;Two Arms&lt;/b&gt;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</si>
  <si>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</si>
  <si>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</si>
  <si>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</si>
  <si>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</si>
  <si>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&lt;b&gt;Consuming&lt;/b&gt;</t>
  </si>
  <si>
    <t xml:space="preserve">Your attacks have the Crit option:
&lt;br /&gt;&lt;b&gt;Absorb:&lt;/b&gt; Heal a wound of the same stat you wounded.</t>
  </si>
  <si>
    <t xml:space="preserve">&lt;b&gt;Regenerative&lt;/b&gt;</t>
  </si>
  <si>
    <t xml:space="preserve">When you take a wound, replenish a spent token of the same stat.</t>
  </si>
  <si>
    <t xml:space="preserve">Insectile</t>
  </si>
  <si>
    <t xml:space="preserve">&lt;b&gt;Exoskeleton&lt;/b&gt;</t>
  </si>
  <si>
    <t xml:space="preserve">Whenever you take a move action, gain a charget.&lt;/br&gt;Maximum of 4 charges.</t>
  </si>
  <si>
    <t xml:space="preserve">&lt;b&gt;Leap:&lt;/b&gt; 4 x charget</t>
  </si>
  <si>
    <t xml:space="preserve">Leap to target hex and gain &lt;b&gt;Monstrous.&lt;/b&gt;&lt;/br&gt;Your next melee attack this turn hits all targets in range.</t>
  </si>
  <si>
    <t xml:space="preserve">Lanky</t>
  </si>
  <si>
    <t xml:space="preserve">&lt;b&gt;Long Limbed&lt;/b&gt;</t>
  </si>
  <si>
    <t xml:space="preserve">You have +1 range on all melee attacks and terrain interactions.</t>
  </si>
  <si>
    <t xml:space="preserve">&lt;b&gt;Sweeper&lt;/b&gt;</t>
  </si>
  <si>
    <t xml:space="preserve">Your melee attacks target all possible targets in range, roll once for the attack.</t>
  </si>
  <si>
    <t xml:space="preserve">&lt;b&gt;Butter Cutter&lt;/b&gt;</t>
  </si>
  <si>
    <t xml:space="preserve">When you hit two or more creatures with a single attack, replenish a multtok.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</si>
  <si>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</si>
  <si>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</si>
  <si>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</si>
  <si>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</si>
  <si>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</si>
  <si>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</si>
  <si>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&lt;b&gt;Recharge&lt;/b&gt;</t>
  </si>
  <si>
    <t xml:space="preserve">Your attacks have the Crit option:
&lt;br /&gt;&lt;b&gt;Extract energy:&lt;/b&gt; Refresh 1 chargeT.</t>
  </si>
  <si>
    <t xml:space="preserve">Mechanical</t>
  </si>
  <si>
    <t xml:space="preserve">&lt;b&gt;Modal&lt;/b&gt;</t>
  </si>
  <si>
    <t xml:space="preserve">&lt;p style="font-size:12px;"&gt;At the start of your turn, put a counter on an empty mode, then gain up to tempcttempct and use that effect.&lt;/p&gt;</t>
  </si>
  <si>
    <t xml:space="preserve">&lt;b&gt;Modes&lt;/b&gt;</t>
  </si>
  <si>
    <t xml:space="preserve">&lt;p style="font-size:12px;"&gt;
&lt;b&gt;Flight Mode:&lt;/b&gt; Gain +2 move speed and ignore terrain effects this turn.
&lt;/br&gt;&lt;b&gt;Destruction Mode:&lt;/b&gt; All attacks deal 2 extra damage this turn.
&lt;/br&gt;&lt;b&gt;Charge Mode:&lt;/b&gt; Refresh a multtok or charget.
&lt;/br&gt;&lt;b&gt;Overdrive:&lt;/b&gt; Remove all counters from this and gain up to two tempct for each removed.&lt;/p&gt;</t>
  </si>
  <si>
    <t xml:space="preserve">Mob of The Deep</t>
  </si>
  <si>
    <t xml:space="preserve">hex1big   hex1big   hex1big</t>
  </si>
  <si>
    <t xml:space="preserve">&lt;b&gt;Very Fast&lt;/b&gt;</t>
  </si>
  <si>
    <t xml:space="preserve">+2 Movement Speed.</t>
  </si>
  <si>
    <t xml:space="preserve">&lt;b&gt;Multitudinous&lt;/b&gt;</t>
  </si>
  <si>
    <t xml:space="preserve">You have 3 bodies, each 1 hex1a in size. You may distribute movement between them when moving. All bodies attack when you make a melee attack.</t>
  </si>
  <si>
    <t xml:space="preserve">&lt;b&gt;Shared Mind&lt;/b&gt;</t>
  </si>
  <si>
    <t xml:space="preserve">Damage taken by any of your bodies is taken in full. </t>
  </si>
  <si>
    <t xml:space="preserve">Ooze</t>
  </si>
  <si>
    <t xml:space="preserve">&lt;b&gt;Easy as Walking&lt;/b&gt;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</si>
  <si>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</si>
  <si>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</si>
  <si>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</si>
  <si>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&lt;b&gt;Moving is Optional&lt;/b&gt;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</si>
  <si>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</si>
  <si>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</si>
  <si>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</si>
  <si>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</si>
  <si>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 target &lt;b&gt;well rested.&lt;/b&gt;</t>
  </si>
  <si>
    <t xml:space="preserve">&lt;b&gt;Command:&lt;/b&gt; 1 AP or WeirdT</t>
  </si>
  <si>
    <t xml:space="preserve">Target creature moves one tile under your control.</t>
  </si>
  <si>
    <t xml:space="preserve">&lt;b&gt;Consume&lt;/b&gt;</t>
  </si>
  <si>
    <t xml:space="preserve">Whenever you land a killing blow (including death by command), restore all wounds to one stat of your choice.</t>
  </si>
  <si>
    <t xml:space="preserve">Phantom</t>
  </si>
  <si>
    <t xml:space="preserve">&lt;b&gt;Ghostly&lt;/b&gt;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</si>
  <si>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</si>
  <si>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jazzT</t>
  </si>
  <si>
    <t xml:space="preserve">Reduce the composure of a being you have moved through this turn by 3 (minimum 1).</t>
  </si>
  <si>
    <t xml:space="preserve">Serpentine</t>
  </si>
  <si>
    <t xml:space="preserve">&lt;b&gt;Just a Tail&lt;/b&gt;</t>
  </si>
  <si>
    <t xml:space="preserve">While you have at most 1 limb equipped, you refresh 1 WeirdT at the start of each of your turns.</t>
  </si>
  <si>
    <t xml:space="preserve">&lt;b&gt;Fast&lt;/b&gt;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</si>
  <si>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</si>
  <si>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</si>
  <si>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</si>
  <si>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beings.&lt;/p&gt;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</si>
  <si>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</si>
  <si>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</si>
  <si>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</si>
  <si>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&lt;b&gt;Stone Flesh&lt;/b&gt;</t>
  </si>
  <si>
    <t xml:space="preserve">Reduce damage taken by 1.
&lt;br /&gt;-2 Movement Speed.</t>
  </si>
  <si>
    <t xml:space="preserve">&lt;b&gt;Impervious Plates&lt;/b&gt;</t>
  </si>
  <si>
    <t xml:space="preserve">Reduce damage from non-adjacent beings to 0.</t>
  </si>
  <si>
    <t xml:space="preserve">Unstable</t>
  </si>
  <si>
    <t xml:space="preserve">&lt;b&gt;Radioactive&lt;/b&gt;</t>
  </si>
  <si>
    <t xml:space="preserve">Whenever you spend weirdt, adjacent beings take 2 damage.</t>
  </si>
  <si>
    <t xml:space="preserve">&lt;b&gt;Decay&lt;/b&gt; </t>
  </si>
  <si>
    <t xml:space="preserve">At the end of each of your turns, take 2 damage and refresh 1 weirdT.</t>
  </si>
  <si>
    <t xml:space="preserve">Volcanic</t>
  </si>
  <si>
    <t xml:space="preserve">&lt;b&gt;Furnace&lt;/b&gt;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</si>
  <si>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</si>
  <si>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</si>
  <si>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</si>
  <si>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</si>
  <si>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5</t>
  </si>
  <si>
    <t xml:space="preserve">&lt;b&gt;Writhe and Revel&lt;/b&gt;</t>
  </si>
  <si>
    <t xml:space="preserve">At the start of your turn, gain 1 temporary composure for each infected being,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</si>
  <si>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</si>
  <si>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</si>
  <si>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</si>
  <si>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&lt;p style="font-size:12px;"&gt;Remove an infected token from a being, and force them to use an ability on one of their cards without paying AP costs.</t>
  </si>
  <si>
    <t xml:space="preserve">Wreathed in Flame</t>
  </si>
  <si>
    <t xml:space="preserve">&lt;b&gt;Enflamed&lt;/b&gt;</t>
  </si>
  <si>
    <t xml:space="preserve">&lt;b&gt;Fire&lt;/b&gt; and &lt;b&gt;Burning&lt;/b&gt; give you temporary composure instead of dealing damage.</t>
  </si>
  <si>
    <t xml:space="preserve">&lt;b&gt;Flame Geysers&lt;/b&gt;</t>
  </si>
  <si>
    <t xml:space="preserve">At the start of each turn, gain the &lt;b&gt;Burning&lt;/b&gt; status effect.</t>
  </si>
  <si>
    <t xml:space="preserve">Attacks gain the critical option
&lt;br /&gt;&lt;b&gt;Purification:&lt;/b&gt; Remove one of your status effects and inflict it.</t>
  </si>
  <si>
    <t xml:space="preserve">Writhing Mass</t>
  </si>
  <si>
    <t xml:space="preserve">&lt;b&gt;Generative&lt;/b&gt;</t>
  </si>
  <si>
    <t xml:space="preserve">At the start of your turn, if you have less than 4 limbs equipped, draw and equip a limb.</t>
  </si>
  <si>
    <t xml:space="preserve">&lt;b&gt;Regenerative:&lt;/b&gt; 1 AP</t>
  </si>
  <si>
    <t xml:space="preserve">You may destroy an equipped limb to refresh a multtok.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</si>
  <si>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</si>
  <si>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</si>
  <si>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</si>
  <si>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</si>
  <si>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</si>
  <si>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&lt;b&gt;Creative Duellist&lt;/b&gt;</t>
  </si>
  <si>
    <t xml:space="preserve">You may use Crit options available to any of your limbs on all attacks.</t>
  </si>
  <si>
    <t xml:space="preserve">Assertive</t>
  </si>
  <si>
    <t xml:space="preserve">&lt;b&gt;Charger&lt;/b&gt;</t>
  </si>
  <si>
    <t xml:space="preserve">When you make an attack, you may move 2 tiles before attacking.</t>
  </si>
  <si>
    <t xml:space="preserve">Balanced</t>
  </si>
  <si>
    <t xml:space="preserve">&lt;b&gt;Passive&lt;/b&gt;</t>
  </si>
  <si>
    <t xml:space="preserve">At the start of your turn, if you have an equal number of unspent tokens in each stat, refresh multtokmulttok.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</si>
  <si>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</si>
  <si>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</si>
  <si>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</si>
  <si>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</si>
  <si>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</si>
  <si>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</si>
  <si>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</si>
  <si>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</si>
  <si>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</si>
  <si>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</si>
  <si>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&lt;b&gt;On the Move&lt;/b&gt;</t>
  </si>
  <si>
    <t xml:space="preserve">Whenever you gain temporary composure, you may move that many hexes.</t>
  </si>
  <si>
    <t xml:space="preserve">Attacks gain the critical option
&lt;br /&gt;&lt;b&gt;Dash:&lt;/b&gt; Take a move action.</t>
  </si>
  <si>
    <t xml:space="preserve">Determined</t>
  </si>
  <si>
    <t xml:space="preserve">&lt;b&gt;Ignore Pain:&lt;/b&gt; FleshT</t>
  </si>
  <si>
    <t xml:space="preserve">Ignore damage from a source that wouldn't wound you.</t>
  </si>
  <si>
    <t xml:space="preserve">Disciplined</t>
  </si>
  <si>
    <t xml:space="preserve">When you take the &lt;b&gt;Chill Out&lt;/b&gt; action, also gain up to tempcttempct.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</si>
  <si>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</si>
  <si>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</si>
  <si>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</si>
  <si>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</si>
  <si>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</si>
  <si>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</si>
  <si>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</si>
  <si>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</si>
  <si>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</si>
  <si>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&lt;b&gt;World Sculptor&lt;/b&gt;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</si>
  <si>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</si>
  <si>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</si>
  <si>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</si>
  <si>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</si>
  <si>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Attacks gain the critical option
&lt;br /&gt;&lt;b&gt;Rally:&lt;/b&gt; You and one ally gain up to tempcttempct</t>
  </si>
  <si>
    <t xml:space="preserve">I'm Normal</t>
  </si>
  <si>
    <t xml:space="preserve">&lt;b&gt;Normality&lt;/b&gt;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</si>
  <si>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</si>
  <si>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</si>
  <si>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</si>
  <si>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</si>
  <si>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</si>
  <si>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</si>
  <si>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&lt;b&gt;Sharing&lt;/b&gt;</t>
  </si>
  <si>
    <t xml:space="preserve">Whenever you gain a status effect, you may also grant it to a willing target.</t>
  </si>
  <si>
    <t xml:space="preserve">&lt;b&gt;Giving&lt;/b&gt;</t>
  </si>
  <si>
    <t xml:space="preserve">Whenever you spend a weirdt, restore 2 of another targets composure.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</si>
  <si>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</si>
  <si>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</si>
  <si>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</si>
  <si>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</si>
  <si>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</si>
  <si>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&lt;b&gt;Treasure!&lt;/b&gt;</t>
  </si>
  <si>
    <t xml:space="preserve">During map creation, search the boons deck for any card. You may place this on the map in addition to your allotted terrain cards.</t>
  </si>
  <si>
    <t xml:space="preserve">Attacks gain the critical option
&lt;br /&gt;&lt;b&gt;Magic Touch:&lt;/b&gt; Gain the &lt;b&gt;Imbued&lt;/b&gt; status effect.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</si>
  <si>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</si>
  <si>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</si>
  <si>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</si>
  <si>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&lt;b&gt;Twisted Kindness&lt;/b&gt;</t>
  </si>
  <si>
    <t xml:space="preserve">Whenever you would give another creature temporary composure, you may deal that much damage instead.</t>
  </si>
  <si>
    <t xml:space="preserve">&lt;b&gt;Oppression&lt;/b&gt;</t>
  </si>
  <si>
    <t xml:space="preserve">Whenever you inflict a status effect, you may reduce that beings composure by 2 (down to a minimum of 1).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</si>
  <si>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</si>
  <si>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</si>
  <si>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 and a counter is removed. </t>
  </si>
  <si>
    <t xml:space="preserve">Musical</t>
  </si>
  <si>
    <t xml:space="preserve">&lt;b&gt;Rally Song:&lt;/b&gt; 2 AP or weirdT</t>
  </si>
  <si>
    <r>
      <rPr>
        <sz val="11"/>
        <color theme="1"/>
        <rFont val="Aptos Narrow"/>
        <family val="2"/>
        <charset val="1"/>
      </rPr>
      <t xml:space="preserve">You and any number of target allies gain up to 3 tempct</t>
    </r>
    <r>
      <rPr>
        <sz val="11"/>
        <color theme="1"/>
        <rFont val="Aptos Narrow"/>
        <family val="2"/>
      </rPr>
      <t xml:space="preserve">tempcttempct.</t>
    </r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</si>
  <si>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</si>
  <si>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</si>
  <si>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</si>
  <si>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</si>
  <si>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</si>
  <si>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</si>
  <si>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</si>
  <si>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</si>
  <si>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</si>
  <si>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&lt;b&gt;Vulgarity&lt;/b&gt;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</si>
  <si>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</si>
  <si>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</si>
  <si>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</si>
  <si>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</si>
  <si>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&lt;b&gt;Inhale&lt;/b&gt;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</si>
  <si>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</si>
  <si>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</si>
  <si>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</si>
  <si>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</si>
  <si>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</si>
  <si>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</si>
  <si>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&lt;b&gt;Aura of Earth&lt;/b&gt;</t>
  </si>
  <si>
    <t xml:space="preserve">Whenever you spend weirdt, target being gains up to 2 temporary composure.</t>
  </si>
  <si>
    <t xml:space="preserve">Ravenous</t>
  </si>
  <si>
    <t xml:space="preserve">&lt;b&gt;Unsated&lt;/b&gt;</t>
  </si>
  <si>
    <t xml:space="preserve">Start combat with all tokens spent instead of available. If you equip this impression during combat, immediately spend all available tokens.</t>
  </si>
  <si>
    <t xml:space="preserve">Whenever you inflict a wound, restore a multtok.</t>
  </si>
  <si>
    <t xml:space="preserve">Relentless</t>
  </si>
  <si>
    <t xml:space="preserve">&lt;b&gt;Relish in battle&lt;/b&gt;</t>
  </si>
  <si>
    <r>
      <rPr>
        <sz val="11"/>
        <color theme="1"/>
        <rFont val="Aptos Narrow"/>
        <family val="2"/>
        <charset val="1"/>
      </rPr>
      <t xml:space="preserve">Whenever you Critically hit, restore compTcompT or gain up to </t>
    </r>
    <r>
      <rPr>
        <sz val="11"/>
        <color theme="1"/>
        <rFont val="Aptos Narrow"/>
        <family val="2"/>
      </rPr>
      <t xml:space="preserve">tempcttempct</t>
    </r>
    <r>
      <rPr>
        <sz val="11"/>
        <color theme="1"/>
        <rFont val="Aptos Narrow"/>
        <family val="2"/>
        <charset val="1"/>
      </rPr>
      <t xml:space="preserve">.</t>
    </r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</si>
  <si>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</si>
  <si>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</si>
  <si>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</si>
  <si>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</si>
  <si>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</si>
  <si>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</si>
  <si>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</si>
  <si>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&lt;b&gt;Slinking&lt;/b&gt;</t>
  </si>
  <si>
    <t xml:space="preserve">You are unaffected by darkness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</si>
  <si>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</si>
  <si>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</si>
  <si>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</si>
  <si>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</si>
  <si>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</si>
  <si>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</si>
  <si>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</si>
  <si>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</si>
  <si>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</si>
  <si>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&lt;b&gt;Rubbery:&lt;/b&gt; 1 AP or weirdT</t>
  </si>
  <si>
    <t xml:space="preserve">Your next melee attack this turn has range equal to your &lt;span style="color:#27ae60"&gt;&lt;b&gt;Jazz&lt;/b&gt;&lt;/span&gt;.</t>
  </si>
  <si>
    <t xml:space="preserve">Attacks gain the critical option
&lt;br /&gt;&lt;b&gt;Puppeteer:&lt;/b&gt; Move the target 2 hexes in any direction.</t>
  </si>
  <si>
    <t xml:space="preserve">Strong Heartbeat</t>
  </si>
  <si>
    <t xml:space="preserve">Whenever you would heal or refresh a stat token, heal or refresh one more. </t>
  </si>
  <si>
    <t xml:space="preserve">Tinkerer</t>
  </si>
  <si>
    <t xml:space="preserve">&lt;b&gt;Wreath:&lt;/b&gt; 1 AP + weirdT</t>
  </si>
  <si>
    <t xml:space="preserve">Wreath target limb in shards, placing a counter on it. The next time this limb hits with an attack, that attack deals +2 damage and remove a counter.</t>
  </si>
  <si>
    <t xml:space="preserve">&lt;b&gt;Enchanting&lt;/b&gt;</t>
  </si>
  <si>
    <t xml:space="preserve">Whenever you spend Weirdt, wreath one of your own limbs.</t>
  </si>
  <si>
    <t xml:space="preserve">Treacherous</t>
  </si>
  <si>
    <t xml:space="preserve">&lt;b&gt;Snigger:&lt;/b&gt; WeirdT or &lt;b&gt;Exhaust&lt;/b&gt;</t>
  </si>
  <si>
    <t xml:space="preserve">When you see a being take damage from a source other than you, you may increase that damage by 2. This does not stack.</t>
  </si>
  <si>
    <t xml:space="preserve">&lt;b&gt;Minion&lt;/b&gt;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</si>
  <si>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</si>
  <si>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</si>
  <si>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</si>
  <si>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</si>
  <si>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Wilful</t>
  </si>
  <si>
    <t xml:space="preserve">&lt;b&gt;Overexert: Exhaust&lt;/b&gt; or fleshTfleshT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</si>
  <si>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</si>
  <si>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</si>
  <si>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</si>
  <si>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</si>
  <si>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</si>
  <si>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</si>
  <si>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Damage = 4, Ranged
&lt;br /&gt;This attack can only target your hated target.</t>
  </si>
  <si>
    <t xml:space="preserve">Limb Criticals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</si>
  <si>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</si>
  <si>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</si>
  <si>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</si>
  <si>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Damage = 3, Close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</si>
  <si>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</si>
  <si>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</si>
  <si>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</si>
  <si>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4 sigils. Other players may spend 3 AP to destroy an adjacent sigil</t>
  </si>
  <si>
    <t xml:space="preserve">&lt;b&gt;Siphon:&lt;/b&gt; 2 AP + weirdT</t>
  </si>
  <si>
    <t xml:space="preserve">If there are 3 sigils, deal a random wound to all other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</si>
  <si>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</si>
  <si>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</si>
  <si>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action, ignore terrain during this move (within reason).</t>
  </si>
  <si>
    <t xml:space="preserve">&lt;b&gt;Chorus:&lt;b/&gt; 3AP</t>
  </si>
  <si>
    <t xml:space="preserve">You and any number of target allies gain up to tempcttempcttempct</t>
  </si>
  <si>
    <t xml:space="preserve">Clay Exuder</t>
  </si>
  <si>
    <t xml:space="preserve">&lt;b&gt;Coat in Clay:&lt;/b&gt; 1 AP + weirdT</t>
  </si>
  <si>
    <t xml:space="preserve">A target gains up to 4 tempct and the &lt;b&gt;Entangled&lt;/b&gt; status.</t>
  </si>
  <si>
    <t xml:space="preserve">&lt;b&gt;Spreading Clay&lt;/b&gt;</t>
  </si>
  <si>
    <t xml:space="preserve">Whenever you spend weirdt, gain up to tempcttempct.</t>
  </si>
  <si>
    <t xml:space="preserve">Clayling</t>
  </si>
  <si>
    <t xml:space="preserve">&lt;b&gt;Flail:&lt;/b&gt; Automatic</t>
  </si>
  <si>
    <t xml:space="preserve">&lt;b&gt;Autonomous Limb&lt;/b&gt;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</si>
  <si>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</si>
  <si>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</si>
  <si>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</si>
  <si>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Damage = 4, Close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</si>
  <si>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</si>
  <si>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</si>
  <si>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</si>
  <si>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Damage = 1 &lt;b&gt;true damage&lt;/b&gt;, Reach
</t>
  </si>
  <si>
    <t xml:space="preserve">&lt;b&gt;Sparks&lt;/b&gt;</t>
  </si>
  <si>
    <t xml:space="preserve">Whenever you spend weirdt, deal 1 &lt;b&gt;true damage&lt;/b&gt;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</si>
  <si>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</si>
  <si>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</si>
  <si>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</si>
  <si>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&lt;b&gt;Radiance&lt;/b&gt;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</si>
  <si>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</si>
  <si>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</si>
  <si>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+ 2 compt</t>
  </si>
  <si>
    <t xml:space="preserve">Damage = 5, Close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</si>
  <si>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</si>
  <si>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</si>
  <si>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</si>
  <si>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</si>
  <si>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Damage = 1, Close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</si>
  <si>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</si>
  <si>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</si>
  <si>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</si>
  <si>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Dragonfly Wings</t>
  </si>
  <si>
    <t xml:space="preserve">&lt;b&gt;Fly:&lt;/b&gt; 2AP or WeirdT</t>
  </si>
  <si>
    <t xml:space="preserve">Make a move action with +1 speed, ignore terrain during this move (within reason).</t>
  </si>
  <si>
    <t xml:space="preserve">Weapon Critical</t>
  </si>
  <si>
    <t xml:space="preserve">Elastic Heart-Spike</t>
  </si>
  <si>
    <t xml:space="preserve">&lt;b&gt;Stretchy Strike: &lt;/b&gt;2AP + jazzt</t>
  </si>
  <si>
    <t xml:space="preserve">Damage = 4, Ranged</t>
  </si>
  <si>
    <t xml:space="preserve">&lt;b&gt;Cut:&lt;/b&gt; Remove all temporary composure from the target, before damage.</t>
  </si>
  <si>
    <t xml:space="preserve">Enflamed Lash</t>
  </si>
  <si>
    <t xml:space="preserve">&lt;b&gt;Flay:&lt;/b&gt; 2 AP</t>
  </si>
  <si>
    <t xml:space="preserve">Damage = 2, Reach</t>
  </si>
  <si>
    <t xml:space="preserve">&lt;b&gt;Burn:&lt;/b&gt; Inflict the &lt;b&gt;Burning&lt;/b&gt; status effect.
&lt;b&gt;Incinerate:&lt;/b&gt; Deal +2 damage if the target is burning. Use only once per attack</t>
  </si>
  <si>
    <t xml:space="preserve">Engraved Slab</t>
  </si>
  <si>
    <t xml:space="preserve">&lt;b&gt;Read the Runes:&lt;/b&gt; weirdT</t>
  </si>
  <si>
    <t xml:space="preserve">Inflict the &lt;b&gt;Entangled&lt;/b&gt; status effect on target being.</t>
  </si>
  <si>
    <t xml:space="preserve">&lt;B&gt;Slam:&lt;/b&gt; 4 AP</t>
  </si>
  <si>
    <t xml:space="preserve">Damage = 8, Close</t>
  </si>
  <si>
    <t xml:space="preserve">Eyes on Stalks</t>
  </si>
  <si>
    <t xml:space="preserve">&lt;b&gt;Glare: &lt;/b&gt;1AP + weirdT</t>
  </si>
  <si>
    <t xml:space="preserve">Remove all temporary composure from a target.</t>
  </si>
  <si>
    <t xml:space="preserve">&lt;b&gt;Surprising Thwack: jazzTjazzTjazzT</t>
  </si>
  <si>
    <t xml:space="preserve">Damage = 4, Close.</t>
  </si>
  <si>
    <t xml:space="preserve">Feet</t>
  </si>
  <si>
    <t xml:space="preserve">&lt;b&gt;Sure Footed&lt;/b&gt;</t>
  </si>
  <si>
    <t xml:space="preserve">You have + 1 speed and effects from terrain or abilities cannot reduce your speed.</t>
  </si>
  <si>
    <t xml:space="preserve">&lt;b&gt;Fleet&lt;/b&gt;</t>
  </si>
  <si>
    <t xml:space="preserve">While you have the &lt;b&gt;Well Rested&lt;/b&gt; status effect, gain an additional +1 speed.</t>
  </si>
  <si>
    <t xml:space="preserve">Fungal Miasma</t>
  </si>
  <si>
    <t xml:space="preserve">chargebigchargebig</t>
  </si>
  <si>
    <t xml:space="preserve">&lt;b&gt;Miasma:&lt;/b&gt; 2 AP + charget</t>
  </si>
  <si>
    <t xml:space="preserve">Create a 1 hex cloud at target empty hex.</t>
  </si>
  <si>
    <t xml:space="preserve">&lt;b&gt;Growing Cloud&lt;/b&gt;</t>
  </si>
  <si>
    <t xml:space="preserve">At the start of your turn, each cloud grows by one hex in all directions.</t>
  </si>
  <si>
    <t xml:space="preserve">Whenever you spend weirdT, all beings inside a cloud take 4 damage. This damage cannot be reduced.</t>
  </si>
  <si>
    <t xml:space="preserve">Gemstone Shards</t>
  </si>
  <si>
    <t xml:space="preserve">chargebigchargebigchargebig</t>
  </si>
  <si>
    <t xml:space="preserve">&lt;b&gt;Eject:&lt;/b&gt; 1 AP + charget</t>
  </si>
  <si>
    <t xml:space="preserve">Damage = 2 &lt;b&gt;true damage&lt;/b&gt;, Ranged</t>
  </si>
  <si>
    <t xml:space="preserve">&lt;b&gt;Burgeon:&lt;/b&gt; 2 AP + fleshT</t>
  </si>
  <si>
    <t xml:space="preserve">Recharge this item.</t>
  </si>
  <si>
    <t xml:space="preserve">&lt;b&gt;Bare&lt;/b&gt;</t>
  </si>
  <si>
    <t xml:space="preserve">This limb starts with no charges.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</si>
  <si>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</si>
  <si>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</si>
  <si>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</si>
  <si>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</si>
  <si>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</si>
  <si>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Damage = 6, Close</t>
  </si>
  <si>
    <t xml:space="preserve">&lt;b&gt;Whelm:&lt;/b&gt; 1 AP + weirdT</t>
  </si>
  <si>
    <t xml:space="preserve">Damage = 3, Close
&lt;br /&gt;Inflicts the &lt;b&gt;Entangled&lt;/b&gt; status effect on a hit.</t>
  </si>
  <si>
    <t xml:space="preserve">Hammer and Chisel</t>
  </si>
  <si>
    <t xml:space="preserve">&lt;b&gt;Vandalise:&lt;/b&gt; 2 AP</t>
  </si>
  <si>
    <t xml:space="preserve">Damage = 4, Close
&lt;br /&gt;On a hit, you may destroy this card to destroy any equipped Limb or Impression from the target.</t>
  </si>
  <si>
    <t xml:space="preserve">Hands</t>
  </si>
  <si>
    <t xml:space="preserve">&lt;b&gt;Slap:&lt;/b&gt; 2 AP or 1 AP + jazztjazzt</t>
  </si>
  <si>
    <t xml:space="preserve">&lt;b&gt;Handy&lt;/b&gt;</t>
  </si>
  <si>
    <t xml:space="preserve">Terrain interactions cost 1 AP less.</t>
  </si>
  <si>
    <t xml:space="preserve">&lt;b&gt;Strike:&lt;/b&gt; +1 damage.</t>
  </si>
  <si>
    <t xml:space="preserve">Horns</t>
  </si>
  <si>
    <t xml:space="preserve">&lt;b&gt;Charge:&lt;/b&gt; 2 AP</t>
  </si>
  <si>
    <t xml:space="preserve">Damage = hexes moved, Close
&lt;br /&gt;Charge any number of hexes in a straight line as part of making the attack. Hits all marked hexes.
&lt;br /&gt; hornshexes</t>
  </si>
  <si>
    <t xml:space="preserve">&lt;b&gt; Shove:&lt;/b&gt;  1 AP + fleshT</t>
  </si>
  <si>
    <t xml:space="preserve">Damage = 2, Close
&lt;br /&gt;On a hit, the target is pushed back hexes equal to your &lt;span style="color:#e74c3c"&gt;&lt;strong&gt;Heft&lt;/strong&gt;&lt;/span&gt;.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</si>
  <si>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</si>
  <si>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</si>
  <si>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</si>
  <si>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Damage = 7, Ranged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</si>
  <si>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</si>
  <si>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</si>
  <si>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Damage = 4, Reach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</si>
  <si>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</si>
  <si>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</si>
  <si>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</si>
  <si>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</si>
  <si>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&lt;b&gt;Splinters:&lt;/b&gt;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</si>
  <si>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</si>
  <si>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</si>
  <si>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&lt;b&gt;true damage.&lt;/b&gt;</t>
  </si>
  <si>
    <t xml:space="preserve">Locked Scream</t>
  </si>
  <si>
    <t xml:space="preserve">&lt;b&gt;Headbutt:&lt;/b&gt; 2 AP</t>
  </si>
  <si>
    <t xml:space="preserve">&lt;b&gt;Release&lt;/b&gt;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</si>
  <si>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</si>
  <si>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</si>
  <si>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</si>
  <si>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Damage = 1, Close
&lt;br /&gt;This attack always hits, do not roll.</t>
  </si>
  <si>
    <t xml:space="preserve">&lt;b&gt;Snack&lt;/b&gt;</t>
  </si>
  <si>
    <t xml:space="preserve">Whenever you inflict a wound with Mandibles, refresh a spent token of the same type as the wound.</t>
  </si>
  <si>
    <t xml:space="preserve">Mantid Scythe</t>
  </si>
  <si>
    <t xml:space="preserve">&lt;b&gt;Nasty Stab:&lt;/b&gt; 3 AP</t>
  </si>
  <si>
    <t xml:space="preserve">&lt;b&gt;True Strike:&lt;/b&gt; Attack deals &lt;b&gt;true damage&lt;/b&gt;.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</si>
  <si>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</si>
  <si>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</si>
  <si>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</si>
  <si>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&lt;b&gt;Fuelled by Pain&lt;/b&gt;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</si>
  <si>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</si>
  <si>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</si>
  <si>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</si>
  <si>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</si>
  <si>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</si>
  <si>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</si>
  <si>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</si>
  <si>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&lt;b&gt;Precise&lt;/b&gt;</t>
  </si>
  <si>
    <t xml:space="preserve">Wounds inflicted by this limb's attacks always target the stat of your choice.</t>
  </si>
  <si>
    <t xml:space="preserve">Noxious Trunk</t>
  </si>
  <si>
    <t xml:space="preserve">&lt;b&gt;Corrosive Spit:&lt;/b&gt; 2 AP + weirdT</t>
  </si>
  <si>
    <t xml:space="preserve">Damage = 4 true damage, Ranged
</t>
  </si>
  <si>
    <t xml:space="preserve">Oversized Claw</t>
  </si>
  <si>
    <t xml:space="preserve">&lt;b&gt;Snap:&lt;/b&gt; 3 AP + &lt;b&gt;Exhaust&lt;/b&gt;</t>
  </si>
  <si>
    <t xml:space="preserve">Damage = 7, Reach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</si>
  <si>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</si>
  <si>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</si>
  <si>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</si>
  <si>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</si>
  <si>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</si>
  <si>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</si>
  <si>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</si>
  <si>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Damage = &lt;span style="color:#e74c3c"&gt;Heft&lt;/span&gt;, Close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</si>
  <si>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</si>
  <si>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</si>
  <si>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</si>
  <si>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Damage = 4, Ranged
&lt;br /&gt;You take 1 &lt;b&gt;true damage&lt;/b&gt; when you use this attack, this damage cannot be reduced.</t>
  </si>
  <si>
    <t xml:space="preserve">Puffballs</t>
  </si>
  <si>
    <t xml:space="preserve">&lt;b&gt;Plant:&lt;/b&gt; 1 AP + (chargeT or  weirdT)</t>
  </si>
  <si>
    <t xml:space="preserve">Place a puffball on an adjacent hex. Puffballs are &lt;b&gt;destructible&lt;/b&gt; but will &lt;b&gt;Pop&lt;/b&gt; when destroyed.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</si>
  <si>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</si>
  <si>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</si>
  <si>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</si>
  <si>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is &lt;b&gt;destructible&lt;/b&gt;</t>
  </si>
  <si>
    <t xml:space="preserve">&lt;b&gt;Living Rhythm&lt;/b&gt;</t>
  </si>
  <si>
    <t xml:space="preserve">At the end of your turn, if there is at least one crystal on the map, you gain up to 3 temporary composure at the end of your turn.</t>
  </si>
  <si>
    <t xml:space="preserve">Pustule</t>
  </si>
  <si>
    <t xml:space="preserve">ChargeBig</t>
  </si>
  <si>
    <t xml:space="preserve">&lt;b&gt;Burst:&lt;/b&gt; chargeT</t>
  </si>
  <si>
    <t xml:space="preserve">Deal 6 damage to all beings within 2 hexes, activate only after taking damage.</t>
  </si>
  <si>
    <t xml:space="preserve">Quartz Seed</t>
  </si>
  <si>
    <t xml:space="preserve">&lt;b&gt;Sprout:&lt;/b&gt; 2 AP + (weirdt or charget)</t>
  </si>
  <si>
    <t xml:space="preserve">Place a &lt;b&gt;crystal spire&lt;/b&gt; on an adjacent hex, it has a two hex radius aura, blocks line of sight, and is &lt;b&gt;destructible&lt;/b&gt;.
&lt;br /&gt;Hex3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</si>
  <si>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</si>
  <si>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</si>
  <si>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</si>
  <si>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</si>
  <si>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</si>
  <si>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</si>
  <si>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</si>
  <si>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Damage = 0, Ranged
&lt;br /&gt;Pull the target to an adjacent hex on a hit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</si>
  <si>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</si>
  <si>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</si>
  <si>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</si>
  <si>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Damage = 2, Ranged
&lt;br /&gt;Inflicts the &lt;b&gt;Entangled&lt;/b&gt; status effect on a hit.</t>
  </si>
  <si>
    <t xml:space="preserve">Sneak Spurs</t>
  </si>
  <si>
    <t xml:space="preserve">&lt;b&gt;Ping:&lt;/b&gt; 1 AP</t>
  </si>
  <si>
    <t xml:space="preserve">&lt;b&gt;Dash:&lt;/b&gt; Take a move action for free.
&lt;br /&gt;&lt;b&gt;Brutal Strike:&lt;/b&gt; +2 damage. Use this only once per attack</t>
  </si>
  <si>
    <t xml:space="preserve">Spore Coat</t>
  </si>
  <si>
    <t xml:space="preserve">&lt;b&gt;Deadly Aura&lt;/b&gt;</t>
  </si>
  <si>
    <t xml:space="preserve">Whenever you take damage, deal 1 &lt;b&gt;true damage&lt;/b&gt; to all adjacent beings</t>
  </si>
  <si>
    <t xml:space="preserve">&lt;b&gt;Sponge:&lt;/b&gt; fleshTfleshT, &lt;b&gt;Exhaust&lt;/b&gt;</t>
  </si>
  <si>
    <t xml:space="preserve">Restore your composure.</t>
  </si>
  <si>
    <t xml:space="preserve">Stalagmite</t>
  </si>
  <si>
    <t xml:space="preserve">&lt;b&gt;Prod:&lt;/b&gt; 2 AP</t>
  </si>
  <si>
    <t xml:space="preserve">Damage = 4, Reach
&lt;br /&gt;This can only target non-adjacent beings.</t>
  </si>
  <si>
    <t xml:space="preserve">&lt;b&gt;Impale: &lt;/b&gt;Move to a hex adjacent to the target and deal + 2 damage. Use this only once per attack</t>
  </si>
  <si>
    <t xml:space="preserve">Steam Vent</t>
  </si>
  <si>
    <t xml:space="preserve">&lt;b&gt;Geyser:&lt;/b&gt; 2 AP</t>
  </si>
  <si>
    <t xml:space="preserve">Damage = 2, Reach
&lt;br /&gt;On a hit, remove all &lt;b&gt;temporary composure&lt;/b&gt; from the target before dealing damage.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</si>
  <si>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</si>
  <si>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</si>
  <si>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</si>
  <si>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</si>
  <si>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</si>
  <si>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 &lt;b&gt;true damage&lt;/b&gt;, Ranged&lt;/b&gt;</t>
  </si>
  <si>
    <t xml:space="preserve">Thermal Funnel</t>
  </si>
  <si>
    <t xml:space="preserve">&lt;b&gt;Flameball:&lt;/b&gt; 3 AP</t>
  </si>
  <si>
    <t xml:space="preserve">Damage = 5, Ranged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</si>
  <si>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</si>
  <si>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</si>
  <si>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</si>
  <si>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</si>
  <si>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</si>
  <si>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&lt;b&gt;Flex&lt;/b&gt;</t>
  </si>
  <si>
    <t xml:space="preserve">Whenever you spend a weirdt, add a charget to this card.</t>
  </si>
  <si>
    <t xml:space="preserve">Twitching Talons</t>
  </si>
  <si>
    <t xml:space="preserve">&lt;b&gt;Scour:&lt;/b&gt; 2 AP</t>
  </si>
  <si>
    <t xml:space="preserve">&lt;b&gt;Snatch&lt;/b&gt;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</si>
  <si>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</si>
  <si>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</si>
  <si>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</si>
  <si>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Damage = 3, Reach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</si>
  <si>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</si>
  <si>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</si>
  <si>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</si>
  <si>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Weird Stone</t>
  </si>
  <si>
    <t xml:space="preserve">&lt;b&gt;Embed:&lt;/b&gt; weirdtweirdt or charget</t>
  </si>
  <si>
    <t xml:space="preserve">Place a 1 hex crystal on an adjacent hex. Is blocks line of sight and is &lt;b&gt;destructible&lt;/b&gt;.</t>
  </si>
  <si>
    <t xml:space="preserve">&lt;b&gt;Disruption&lt;/b&gt;</t>
  </si>
  <si>
    <t xml:space="preserve">While the crystal is in play, any being that spends weirdT takes 2 damage.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</si>
  <si>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</si>
  <si>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</si>
  <si>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</si>
  <si>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is &lt;b&gt;destructible&lt;/b&gt;.</t>
  </si>
  <si>
    <t xml:space="preserve">Withered Hand</t>
  </si>
  <si>
    <t xml:space="preserve">&lt;b&gt;Anhedonia:&lt;/b&gt; 3 AP</t>
  </si>
  <si>
    <t xml:space="preserve">Damage = 5, Close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</si>
</sst>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"/>
        <bgColor rgb="FF3366FF"/>
      </patternFill>
    </fill>
    <fill>
      <patternFill patternType="solid">
        <fgColor theme="9" tint="0.3996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1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BEDDF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8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2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2" ySplit="1" topLeftCell="N2" activePane="bottomRight" state="frozen"/>
      <selection pane="topLeft" activeCell="A1" activeCellId="0" sqref="A1"/>
      <selection pane="topRight" activeCell="N1" activeCellId="0" sqref="N1"/>
      <selection pane="bottomLeft" activeCell="A2" activeCellId="0" sqref="A2"/>
      <selection pane="bottomRight" activeCell="AR4" activeCellId="0" sqref="AR4"/>
    </sheetView>
  </sheetViews>
  <sheetFormatPr defaultColWidth="8.5703125" defaultRowHeight="15" customHeight="true" zeroHeight="false" outlineLevelRow="0" outlineLevelCol="0"/>
  <cols>
    <col collapsed="false" customWidth="true" hidden="false" outlineLevel="0" max="2" min="1" style="1" width="11"/>
    <col collapsed="false" customWidth="true" hidden="false" outlineLevel="0" max="4" min="3" style="1" width="10"/>
    <col collapsed="false" customWidth="true" hidden="false" outlineLevel="0" max="5" min="5" style="1" width="1.27"/>
    <col collapsed="false" customWidth="true" hidden="false" outlineLevel="0" max="6" min="6" style="1" width="17.14"/>
    <col collapsed="false" customWidth="true" hidden="false" outlineLevel="0" max="7" min="7" style="1" width="1.42"/>
    <col collapsed="false" customWidth="true" hidden="false" outlineLevel="0" max="8" min="8" style="1" width="4.28"/>
    <col collapsed="false" customWidth="true" hidden="false" outlineLevel="0" max="9" min="9" style="1" width="8.28"/>
    <col collapsed="false" customWidth="true" hidden="false" outlineLevel="0" max="10" min="10" style="1" width="33"/>
    <col collapsed="false" customWidth="true" hidden="false" outlineLevel="0" max="11" min="11" style="1" width="42.42"/>
    <col collapsed="false" customWidth="true" hidden="false" outlineLevel="0" max="12" min="12" style="1" width="1.42"/>
    <col collapsed="false" customWidth="true" hidden="false" outlineLevel="0" max="13" min="13" style="1" width="6.85"/>
    <col collapsed="false" customWidth="true" hidden="false" outlineLevel="0" max="14" min="14" style="1" width="14.85"/>
    <col collapsed="false" customWidth="true" hidden="false" outlineLevel="0" max="15" min="15" style="1" width="31.72"/>
    <col collapsed="false" customWidth="true" hidden="false" outlineLevel="0" max="16" min="16" style="2" width="37.85"/>
    <col collapsed="false" customWidth="true" hidden="false" outlineLevel="0" max="17" min="17" style="1" width="1.42"/>
    <col collapsed="false" customWidth="true" hidden="false" outlineLevel="0" max="18" min="18" style="1" width="6.57"/>
    <col collapsed="false" customWidth="true" hidden="false" outlineLevel="0" max="19" min="19" style="1" width="8.42"/>
    <col collapsed="false" customWidth="true" hidden="false" outlineLevel="0" max="20" min="20" style="1" width="25.57"/>
    <col collapsed="false" customWidth="true" hidden="false" outlineLevel="0" max="21" min="21" style="1" width="35.14"/>
    <col collapsed="false" customWidth="true" hidden="false" outlineLevel="0" max="22" min="22" style="1" width="1.42"/>
    <col collapsed="false" customWidth="true" hidden="false" outlineLevel="0" max="23" min="23" style="1" width="10"/>
    <col collapsed="false" customWidth="true" hidden="false" outlineLevel="0" max="24" min="24" style="1" width="38"/>
    <col collapsed="false" customWidth="true" hidden="false" outlineLevel="0" max="34" min="27" style="1" width="10.57"/>
  </cols>
  <sheetData>
    <row r="1" customFormat="false" ht="35.2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6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4" t="s">
        <v>20</v>
      </c>
      <c r="V1" s="6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</row>
    <row r="2" customFormat="false" ht="69.75" hidden="false" customHeight="true" outlineLevel="0" collapsed="false">
      <c r="B2" s="8" t="s">
        <v>36</v>
      </c>
      <c r="C2" s="8" t="s">
        <v>37</v>
      </c>
      <c r="D2" s="9" t="s">
        <v>38</v>
      </c>
      <c r="E2" s="9" t="str">
        <f aca="false">D2&amp;C2</f>
        <v>FormA</v>
      </c>
      <c r="F2" s="10"/>
      <c r="G2" s="11"/>
      <c r="H2" s="10" t="n">
        <v>1</v>
      </c>
      <c r="I2" s="12" t="s">
        <v>39</v>
      </c>
      <c r="J2" s="12" t="s">
        <v>40</v>
      </c>
      <c r="K2" s="12" t="s">
        <v>41</v>
      </c>
      <c r="L2" s="11"/>
      <c r="M2" s="10" t="n">
        <v>4</v>
      </c>
      <c r="N2" s="12" t="s">
        <v>42</v>
      </c>
      <c r="O2" s="12" t="s">
        <v>43</v>
      </c>
      <c r="P2" s="10" t="s">
        <v>44</v>
      </c>
      <c r="Q2" s="13"/>
      <c r="R2" s="10" t="n">
        <v>8</v>
      </c>
      <c r="S2" s="10" t="s">
        <v>39</v>
      </c>
      <c r="T2" s="12" t="s">
        <v>45</v>
      </c>
      <c r="U2" s="10" t="s">
        <v>46</v>
      </c>
      <c r="V2" s="11"/>
      <c r="W2" s="10" t="n">
        <v>26</v>
      </c>
      <c r="X2" s="10" t="n">
        <v>4.4</v>
      </c>
      <c r="Y2" s="10" t="n">
        <v>3</v>
      </c>
      <c r="Z2" s="10" t="n">
        <v>-1.1</v>
      </c>
      <c r="AA2" s="10" t="n">
        <v>-6</v>
      </c>
      <c r="AB2" s="10" t="n">
        <f aca="false">AD2+AA$2</f>
        <v>20</v>
      </c>
      <c r="AC2" s="10" t="n">
        <f aca="false">AB2+Z$2</f>
        <v>18.9</v>
      </c>
      <c r="AD2" s="10" t="n">
        <f aca="false">W$2+X$2*(H2-1)</f>
        <v>26</v>
      </c>
      <c r="AE2" s="10" t="n">
        <f aca="false">AG2+AA$2</f>
        <v>36.2</v>
      </c>
      <c r="AF2" s="10" t="n">
        <f aca="false">AE2+Z$2</f>
        <v>35.1</v>
      </c>
      <c r="AG2" s="10" t="n">
        <f aca="false">W$2+X$2*(M2-1)+Y$2</f>
        <v>42.2</v>
      </c>
      <c r="AH2" s="10" t="n">
        <f aca="false">AJ2+AA$2</f>
        <v>56.8</v>
      </c>
      <c r="AI2" s="10" t="n">
        <f aca="false">AH2+Z$2</f>
        <v>55.7</v>
      </c>
      <c r="AJ2" s="12" t="n">
        <f aca="false">W$2+X$2*(R2-1)+2*Y$2</f>
        <v>62.8</v>
      </c>
    </row>
    <row r="3" customFormat="false" ht="55.4" hidden="false" customHeight="false" outlineLevel="0" collapsed="false">
      <c r="B3" s="8" t="s">
        <v>47</v>
      </c>
      <c r="C3" s="8" t="s">
        <v>48</v>
      </c>
      <c r="D3" s="9" t="s">
        <v>38</v>
      </c>
      <c r="E3" s="9" t="str">
        <f aca="false">D3&amp;C3</f>
        <v>FormB</v>
      </c>
      <c r="F3" s="10"/>
      <c r="G3" s="11"/>
      <c r="H3" s="10" t="n">
        <v>1</v>
      </c>
      <c r="I3" s="12" t="s">
        <v>39</v>
      </c>
      <c r="J3" s="12" t="s">
        <v>49</v>
      </c>
      <c r="K3" s="12" t="s">
        <v>50</v>
      </c>
      <c r="L3" s="11"/>
      <c r="M3" s="10" t="n">
        <v>4</v>
      </c>
      <c r="N3" s="12" t="s">
        <v>39</v>
      </c>
      <c r="O3" s="12" t="s">
        <v>51</v>
      </c>
      <c r="P3" s="10" t="s">
        <v>52</v>
      </c>
      <c r="Q3" s="13"/>
      <c r="R3" s="10" t="n">
        <v>10</v>
      </c>
      <c r="S3" s="12" t="s">
        <v>53</v>
      </c>
      <c r="T3" s="12" t="s">
        <v>54</v>
      </c>
      <c r="U3" s="14" t="s">
        <v>55</v>
      </c>
      <c r="V3" s="11"/>
      <c r="W3" s="10"/>
      <c r="X3" s="10"/>
      <c r="Y3" s="10"/>
      <c r="Z3" s="10"/>
      <c r="AA3" s="10"/>
      <c r="AB3" s="10" t="n">
        <f aca="false">AD3+AA$2</f>
        <v>20</v>
      </c>
      <c r="AC3" s="10" t="n">
        <f aca="false">AB3+Z$2</f>
        <v>18.9</v>
      </c>
      <c r="AD3" s="10" t="n">
        <f aca="false">W$2+X$2*(H3-1)</f>
        <v>26</v>
      </c>
      <c r="AE3" s="10" t="n">
        <f aca="false">AG3+AA$2</f>
        <v>36.2</v>
      </c>
      <c r="AF3" s="10" t="n">
        <f aca="false">AE3+Z$2</f>
        <v>35.1</v>
      </c>
      <c r="AG3" s="10" t="n">
        <f aca="false">W$2+X$2*(M3-1)+Y$2</f>
        <v>42.2</v>
      </c>
      <c r="AH3" s="10" t="n">
        <f aca="false">AJ3+AA$2</f>
        <v>65.6</v>
      </c>
      <c r="AI3" s="10" t="n">
        <f aca="false">AH3+Z$2</f>
        <v>64.5</v>
      </c>
      <c r="AJ3" s="12" t="n">
        <f aca="false">W$2+X$2*(R3-1)+2*Y$2</f>
        <v>71.6</v>
      </c>
    </row>
    <row r="4" customFormat="false" ht="66.25" hidden="false" customHeight="false" outlineLevel="0" collapsed="false">
      <c r="B4" s="8" t="s">
        <v>56</v>
      </c>
      <c r="C4" s="8" t="s">
        <v>37</v>
      </c>
      <c r="D4" s="9" t="s">
        <v>38</v>
      </c>
      <c r="E4" s="9" t="str">
        <f aca="false">D4&amp;C4</f>
        <v>FormA</v>
      </c>
      <c r="F4" s="10" t="s">
        <v>57</v>
      </c>
      <c r="G4" s="11"/>
      <c r="H4" s="10" t="n">
        <v>1</v>
      </c>
      <c r="I4" s="12" t="s">
        <v>39</v>
      </c>
      <c r="J4" s="12" t="s">
        <v>58</v>
      </c>
      <c r="K4" s="12" t="s">
        <v>59</v>
      </c>
      <c r="L4" s="11"/>
      <c r="M4" s="10" t="n">
        <v>3</v>
      </c>
      <c r="N4" s="12" t="s">
        <v>39</v>
      </c>
      <c r="O4" s="12" t="s">
        <v>60</v>
      </c>
      <c r="P4" s="12" t="s">
        <v>61</v>
      </c>
      <c r="Q4" s="13"/>
      <c r="R4" s="10" t="n">
        <v>10</v>
      </c>
      <c r="S4" s="12" t="s">
        <v>39</v>
      </c>
      <c r="T4" s="12" t="s">
        <v>62</v>
      </c>
      <c r="U4" s="10" t="s">
        <v>63</v>
      </c>
      <c r="V4" s="11"/>
      <c r="W4" s="10"/>
      <c r="X4" s="15" t="s">
        <v>64</v>
      </c>
      <c r="Y4" s="10"/>
      <c r="Z4" s="10"/>
      <c r="AA4" s="10"/>
      <c r="AB4" s="10" t="n">
        <f aca="false">AD4+AA$2</f>
        <v>20</v>
      </c>
      <c r="AC4" s="10" t="n">
        <f aca="false">AB4+Z$2</f>
        <v>18.9</v>
      </c>
      <c r="AD4" s="10" t="n">
        <f aca="false">W$2+X$2*(H4-1)</f>
        <v>26</v>
      </c>
      <c r="AE4" s="10" t="n">
        <f aca="false">AG4+AA$2</f>
        <v>31.8</v>
      </c>
      <c r="AF4" s="10" t="n">
        <f aca="false">AE4+Z$2</f>
        <v>30.7</v>
      </c>
      <c r="AG4" s="10" t="n">
        <f aca="false">W$2+X$2*(M4-1)+Y$2</f>
        <v>37.8</v>
      </c>
      <c r="AH4" s="10" t="n">
        <f aca="false">AJ4+AA$2</f>
        <v>65.6</v>
      </c>
      <c r="AI4" s="10" t="n">
        <f aca="false">AH4+Z$2</f>
        <v>64.5</v>
      </c>
      <c r="AJ4" s="12" t="n">
        <f aca="false">W$2+X$2*(R4-1)+2*Y$2</f>
        <v>71.6</v>
      </c>
    </row>
    <row r="5" customFormat="false" ht="55.4" hidden="false" customHeight="false" outlineLevel="0" collapsed="false">
      <c r="B5" s="8" t="s">
        <v>65</v>
      </c>
      <c r="C5" s="8" t="s">
        <v>48</v>
      </c>
      <c r="D5" s="9" t="s">
        <v>38</v>
      </c>
      <c r="E5" s="9" t="str">
        <f aca="false">D5&amp;C5</f>
        <v>FormB</v>
      </c>
      <c r="F5" s="10" t="s">
        <v>66</v>
      </c>
      <c r="G5" s="11"/>
      <c r="H5" s="10" t="n">
        <v>1</v>
      </c>
      <c r="I5" s="12" t="s">
        <v>42</v>
      </c>
      <c r="J5" s="12" t="s">
        <v>67</v>
      </c>
      <c r="K5" s="12" t="s">
        <v>68</v>
      </c>
      <c r="L5" s="11"/>
      <c r="M5" s="10" t="n">
        <v>6</v>
      </c>
      <c r="N5" s="12" t="s">
        <v>39</v>
      </c>
      <c r="O5" s="12" t="s">
        <v>69</v>
      </c>
      <c r="P5" s="10" t="s">
        <v>70</v>
      </c>
      <c r="Q5" s="13"/>
      <c r="R5" s="10"/>
      <c r="S5" s="12"/>
      <c r="T5" s="12"/>
      <c r="U5" s="10"/>
      <c r="V5" s="11"/>
      <c r="W5" s="10"/>
      <c r="X5" s="16" t="s">
        <v>71</v>
      </c>
      <c r="Y5" s="10"/>
      <c r="Z5" s="10"/>
      <c r="AA5" s="10"/>
      <c r="AB5" s="10" t="n">
        <f aca="false">AD5+AA$2</f>
        <v>20</v>
      </c>
      <c r="AC5" s="10" t="n">
        <f aca="false">AB5+Z$2</f>
        <v>18.9</v>
      </c>
      <c r="AD5" s="10" t="n">
        <f aca="false">W$2+X$2*(H5-1)</f>
        <v>26</v>
      </c>
      <c r="AE5" s="10" t="n">
        <f aca="false">AG5+AA$2</f>
        <v>45</v>
      </c>
      <c r="AF5" s="10" t="n">
        <f aca="false">AE5+Z$2</f>
        <v>43.9</v>
      </c>
      <c r="AG5" s="10" t="n">
        <f aca="false">W$2+X$2*(M5-1)+Y$2</f>
        <v>51</v>
      </c>
      <c r="AH5" s="10" t="n">
        <f aca="false">AJ5+AA$2</f>
        <v>21.6</v>
      </c>
      <c r="AI5" s="10" t="n">
        <f aca="false">AH5+Z$2</f>
        <v>20.5</v>
      </c>
      <c r="AJ5" s="12" t="n">
        <f aca="false">W$2+X$2*(R5-1)+2*Y$2</f>
        <v>27.6</v>
      </c>
    </row>
    <row r="6" customFormat="false" ht="55.4" hidden="false" customHeight="false" outlineLevel="0" collapsed="false">
      <c r="B6" s="8" t="s">
        <v>72</v>
      </c>
      <c r="C6" s="8" t="s">
        <v>48</v>
      </c>
      <c r="D6" s="9" t="s">
        <v>38</v>
      </c>
      <c r="E6" s="9" t="str">
        <f aca="false">D6&amp;C6</f>
        <v>FormB</v>
      </c>
      <c r="F6" s="10"/>
      <c r="G6" s="11"/>
      <c r="H6" s="10" t="n">
        <v>1</v>
      </c>
      <c r="I6" s="12" t="s">
        <v>39</v>
      </c>
      <c r="J6" s="12" t="s">
        <v>73</v>
      </c>
      <c r="K6" s="12" t="s">
        <v>74</v>
      </c>
      <c r="L6" s="11"/>
      <c r="M6" s="10" t="n">
        <v>4</v>
      </c>
      <c r="N6" s="12" t="s">
        <v>39</v>
      </c>
      <c r="O6" s="12" t="s">
        <v>75</v>
      </c>
      <c r="P6" s="10" t="s">
        <v>76</v>
      </c>
      <c r="Q6" s="13"/>
      <c r="R6" s="10"/>
      <c r="S6" s="12"/>
      <c r="T6" s="12"/>
      <c r="U6" s="10"/>
      <c r="V6" s="11"/>
      <c r="W6" s="10"/>
      <c r="X6" s="17" t="s">
        <v>77</v>
      </c>
      <c r="Y6" s="10"/>
      <c r="Z6" s="10"/>
      <c r="AA6" s="10"/>
      <c r="AB6" s="10" t="n">
        <f aca="false">AD6+AA$2</f>
        <v>20</v>
      </c>
      <c r="AC6" s="10" t="n">
        <f aca="false">AB6+Z$2</f>
        <v>18.9</v>
      </c>
      <c r="AD6" s="10" t="n">
        <f aca="false">W$2+X$2*(H6-1)</f>
        <v>26</v>
      </c>
      <c r="AE6" s="10" t="n">
        <f aca="false">AG6+AA$2</f>
        <v>36.2</v>
      </c>
      <c r="AF6" s="10" t="n">
        <f aca="false">AE6+Z$2</f>
        <v>35.1</v>
      </c>
      <c r="AG6" s="10" t="n">
        <f aca="false">W$2+X$2*(M6-1)+Y$2</f>
        <v>42.2</v>
      </c>
      <c r="AH6" s="10" t="n">
        <f aca="false">AJ6+AA$2</f>
        <v>21.6</v>
      </c>
      <c r="AI6" s="10" t="n">
        <f aca="false">AH6+Z$2</f>
        <v>20.5</v>
      </c>
      <c r="AJ6" s="12" t="n">
        <f aca="false">W$2+X$2*(R6-1)+2*Y$2</f>
        <v>27.6</v>
      </c>
    </row>
    <row r="7" customFormat="false" ht="55.4" hidden="false" customHeight="false" outlineLevel="0" collapsed="false">
      <c r="B7" s="8" t="s">
        <v>78</v>
      </c>
      <c r="C7" s="8" t="s">
        <v>48</v>
      </c>
      <c r="D7" s="9" t="s">
        <v>38</v>
      </c>
      <c r="E7" s="9" t="str">
        <f aca="false">D7&amp;C7</f>
        <v>FormB</v>
      </c>
      <c r="F7" s="10" t="s">
        <v>79</v>
      </c>
      <c r="G7" s="11"/>
      <c r="H7" s="10" t="n">
        <v>1</v>
      </c>
      <c r="I7" s="12" t="s">
        <v>39</v>
      </c>
      <c r="J7" s="12" t="s">
        <v>80</v>
      </c>
      <c r="K7" s="12" t="s">
        <v>81</v>
      </c>
      <c r="L7" s="11"/>
      <c r="M7" s="10" t="n">
        <v>4</v>
      </c>
      <c r="N7" s="12" t="s">
        <v>39</v>
      </c>
      <c r="O7" s="12" t="s">
        <v>82</v>
      </c>
      <c r="P7" s="10" t="s">
        <v>83</v>
      </c>
      <c r="Q7" s="13"/>
      <c r="R7" s="10" t="n">
        <v>7</v>
      </c>
      <c r="S7" s="12" t="s">
        <v>39</v>
      </c>
      <c r="T7" s="12" t="s">
        <v>84</v>
      </c>
      <c r="U7" s="10" t="s">
        <v>85</v>
      </c>
      <c r="V7" s="11"/>
      <c r="W7" s="10"/>
      <c r="X7" s="17"/>
      <c r="Y7" s="10"/>
      <c r="Z7" s="10"/>
      <c r="AA7" s="10"/>
      <c r="AB7" s="10" t="n">
        <f aca="false">AD7+AA$2</f>
        <v>20</v>
      </c>
      <c r="AC7" s="10" t="n">
        <f aca="false">AB7+Z$2</f>
        <v>18.9</v>
      </c>
      <c r="AD7" s="10" t="n">
        <f aca="false">W$2+X$2*(H7-1)</f>
        <v>26</v>
      </c>
      <c r="AE7" s="10" t="n">
        <f aca="false">AG7+AA$2</f>
        <v>36.2</v>
      </c>
      <c r="AF7" s="10" t="n">
        <f aca="false">AE7+Z$2</f>
        <v>35.1</v>
      </c>
      <c r="AG7" s="10" t="n">
        <f aca="false">W$2+X$2*(M7-1)+Y$2</f>
        <v>42.2</v>
      </c>
      <c r="AH7" s="10" t="n">
        <f aca="false">AJ7+AA$2</f>
        <v>52.4</v>
      </c>
      <c r="AI7" s="10" t="n">
        <f aca="false">AH7+Z$2</f>
        <v>51.3</v>
      </c>
      <c r="AJ7" s="12" t="n">
        <f aca="false">W$2+X$2*(R7-1)+2*Y$2</f>
        <v>58.4</v>
      </c>
    </row>
    <row r="8" customFormat="false" ht="55.4" hidden="false" customHeight="false" outlineLevel="0" collapsed="false">
      <c r="B8" s="8" t="s">
        <v>86</v>
      </c>
      <c r="C8" s="8" t="s">
        <v>48</v>
      </c>
      <c r="D8" s="9" t="s">
        <v>38</v>
      </c>
      <c r="E8" s="9" t="str">
        <f aca="false">D8&amp;C8</f>
        <v>FormB</v>
      </c>
      <c r="F8" s="10"/>
      <c r="G8" s="11"/>
      <c r="H8" s="10" t="n">
        <v>1</v>
      </c>
      <c r="I8" s="12" t="s">
        <v>39</v>
      </c>
      <c r="J8" s="12" t="s">
        <v>87</v>
      </c>
      <c r="K8" s="12" t="s">
        <v>88</v>
      </c>
      <c r="L8" s="11"/>
      <c r="M8" s="10" t="n">
        <v>5</v>
      </c>
      <c r="N8" s="12" t="s">
        <v>42</v>
      </c>
      <c r="O8" s="12" t="s">
        <v>89</v>
      </c>
      <c r="P8" s="10" t="s">
        <v>90</v>
      </c>
      <c r="Q8" s="13"/>
      <c r="R8" s="10"/>
      <c r="S8" s="12"/>
      <c r="T8" s="12"/>
      <c r="U8" s="10"/>
      <c r="V8" s="11"/>
      <c r="W8" s="10"/>
      <c r="X8" s="10"/>
      <c r="Y8" s="10"/>
      <c r="Z8" s="10"/>
      <c r="AA8" s="10"/>
      <c r="AB8" s="10" t="n">
        <f aca="false">AD8+AA$2</f>
        <v>20</v>
      </c>
      <c r="AC8" s="10" t="n">
        <f aca="false">AB8+Z$2</f>
        <v>18.9</v>
      </c>
      <c r="AD8" s="10" t="n">
        <f aca="false">W$2+X$2*(H8-1)</f>
        <v>26</v>
      </c>
      <c r="AE8" s="10" t="n">
        <f aca="false">AG8+AA$2</f>
        <v>40.6</v>
      </c>
      <c r="AF8" s="10" t="n">
        <f aca="false">AE8+Z$2</f>
        <v>39.5</v>
      </c>
      <c r="AG8" s="10" t="n">
        <f aca="false">W$2+X$2*(M8-1)+Y$2</f>
        <v>46.6</v>
      </c>
      <c r="AH8" s="10" t="n">
        <f aca="false">AJ8+AA$2</f>
        <v>21.6</v>
      </c>
      <c r="AI8" s="10" t="n">
        <f aca="false">AH8+Z$2</f>
        <v>20.5</v>
      </c>
      <c r="AJ8" s="12" t="n">
        <f aca="false">W$2+X$2*(R8-1)+2*Y$2</f>
        <v>27.6</v>
      </c>
    </row>
    <row r="9" customFormat="false" ht="57.45" hidden="false" customHeight="false" outlineLevel="0" collapsed="false">
      <c r="B9" s="8" t="s">
        <v>91</v>
      </c>
      <c r="C9" s="8" t="s">
        <v>37</v>
      </c>
      <c r="D9" s="9" t="s">
        <v>38</v>
      </c>
      <c r="E9" s="9" t="str">
        <f aca="false">D9&amp;C9</f>
        <v>FormA</v>
      </c>
      <c r="F9" s="10"/>
      <c r="G9" s="11"/>
      <c r="H9" s="10" t="n">
        <v>1</v>
      </c>
      <c r="I9" s="12" t="s">
        <v>42</v>
      </c>
      <c r="J9" s="12" t="s">
        <v>92</v>
      </c>
      <c r="K9" s="12" t="s">
        <v>93</v>
      </c>
      <c r="L9" s="11"/>
      <c r="M9" s="10" t="n">
        <v>4</v>
      </c>
      <c r="N9" s="12" t="s">
        <v>42</v>
      </c>
      <c r="O9" s="12" t="s">
        <v>94</v>
      </c>
      <c r="P9" s="10" t="s">
        <v>95</v>
      </c>
      <c r="Q9" s="13"/>
      <c r="R9" s="10" t="n">
        <v>8</v>
      </c>
      <c r="S9" s="12" t="s">
        <v>53</v>
      </c>
      <c r="T9" s="12" t="s">
        <v>54</v>
      </c>
      <c r="U9" s="14" t="s">
        <v>96</v>
      </c>
      <c r="V9" s="11"/>
      <c r="W9" s="10"/>
      <c r="X9" s="10"/>
      <c r="Y9" s="10"/>
      <c r="Z9" s="10"/>
      <c r="AA9" s="10"/>
      <c r="AB9" s="10" t="n">
        <f aca="false">AD9+AA$2</f>
        <v>20</v>
      </c>
      <c r="AC9" s="10" t="n">
        <f aca="false">AB9+Z$2</f>
        <v>18.9</v>
      </c>
      <c r="AD9" s="10" t="n">
        <f aca="false">W$2+X$2*(H9-1)</f>
        <v>26</v>
      </c>
      <c r="AE9" s="10" t="n">
        <f aca="false">AG9+AA$2</f>
        <v>36.2</v>
      </c>
      <c r="AF9" s="10" t="n">
        <f aca="false">AE9+Z$2</f>
        <v>35.1</v>
      </c>
      <c r="AG9" s="10" t="n">
        <f aca="false">W$2+X$2*(M9-1)+Y$2</f>
        <v>42.2</v>
      </c>
      <c r="AH9" s="10" t="n">
        <f aca="false">AJ9+AA$2</f>
        <v>56.8</v>
      </c>
      <c r="AI9" s="10" t="n">
        <f aca="false">AH9+Z$2</f>
        <v>55.7</v>
      </c>
      <c r="AJ9" s="12" t="n">
        <f aca="false">W$2+X$2*(R9-1)+2*Y$2</f>
        <v>62.8</v>
      </c>
    </row>
    <row r="10" customFormat="false" ht="55.4" hidden="false" customHeight="false" outlineLevel="0" collapsed="false">
      <c r="B10" s="8" t="s">
        <v>97</v>
      </c>
      <c r="C10" s="8" t="s">
        <v>37</v>
      </c>
      <c r="D10" s="9" t="s">
        <v>38</v>
      </c>
      <c r="E10" s="9" t="str">
        <f aca="false">D10&amp;C10</f>
        <v>FormA</v>
      </c>
      <c r="F10" s="10"/>
      <c r="G10" s="11"/>
      <c r="H10" s="10" t="n">
        <v>1</v>
      </c>
      <c r="I10" s="12" t="s">
        <v>39</v>
      </c>
      <c r="J10" s="12" t="s">
        <v>98</v>
      </c>
      <c r="K10" s="12" t="s">
        <v>99</v>
      </c>
      <c r="L10" s="11"/>
      <c r="M10" s="10" t="n">
        <v>4</v>
      </c>
      <c r="N10" s="12" t="s">
        <v>39</v>
      </c>
      <c r="O10" s="12" t="s">
        <v>100</v>
      </c>
      <c r="P10" s="10" t="s">
        <v>101</v>
      </c>
      <c r="Q10" s="13"/>
      <c r="R10" s="10"/>
      <c r="S10" s="12"/>
      <c r="T10" s="12"/>
      <c r="U10" s="10"/>
      <c r="V10" s="11"/>
      <c r="W10" s="10"/>
      <c r="X10" s="10"/>
      <c r="Y10" s="10"/>
      <c r="Z10" s="10"/>
      <c r="AA10" s="10"/>
      <c r="AB10" s="10" t="n">
        <f aca="false">AD10+AA$2</f>
        <v>20</v>
      </c>
      <c r="AC10" s="10" t="n">
        <f aca="false">AB10+Z$2</f>
        <v>18.9</v>
      </c>
      <c r="AD10" s="10" t="n">
        <f aca="false">W$2+X$2*(H10-1)</f>
        <v>26</v>
      </c>
      <c r="AE10" s="10" t="n">
        <f aca="false">AG10+AA$2</f>
        <v>36.2</v>
      </c>
      <c r="AF10" s="10" t="n">
        <f aca="false">AE10+Z$2</f>
        <v>35.1</v>
      </c>
      <c r="AG10" s="10" t="n">
        <f aca="false">W$2+X$2*(M10-1)+Y$2</f>
        <v>42.2</v>
      </c>
      <c r="AH10" s="10" t="n">
        <f aca="false">AJ10+AA$2</f>
        <v>21.6</v>
      </c>
      <c r="AI10" s="10" t="n">
        <f aca="false">AH10+Z$2</f>
        <v>20.5</v>
      </c>
      <c r="AJ10" s="12" t="n">
        <f aca="false">W$2+X$2*(R10-1)+2*Y$2</f>
        <v>27.6</v>
      </c>
    </row>
    <row r="11" customFormat="false" ht="55.4" hidden="false" customHeight="false" outlineLevel="0" collapsed="false">
      <c r="B11" s="8" t="s">
        <v>102</v>
      </c>
      <c r="C11" s="8" t="s">
        <v>48</v>
      </c>
      <c r="D11" s="9" t="s">
        <v>38</v>
      </c>
      <c r="E11" s="9" t="str">
        <f aca="false">D11&amp;C11</f>
        <v>FormB</v>
      </c>
      <c r="F11" s="10" t="s">
        <v>66</v>
      </c>
      <c r="G11" s="11"/>
      <c r="H11" s="10" t="n">
        <v>1</v>
      </c>
      <c r="I11" s="12" t="s">
        <v>39</v>
      </c>
      <c r="J11" s="12" t="s">
        <v>103</v>
      </c>
      <c r="K11" s="12" t="s">
        <v>59</v>
      </c>
      <c r="L11" s="11"/>
      <c r="M11" s="10" t="n">
        <v>3</v>
      </c>
      <c r="N11" s="12" t="s">
        <v>39</v>
      </c>
      <c r="O11" s="12" t="s">
        <v>104</v>
      </c>
      <c r="P11" s="10" t="s">
        <v>105</v>
      </c>
      <c r="Q11" s="13"/>
      <c r="R11" s="10" t="n">
        <v>5</v>
      </c>
      <c r="S11" s="12" t="s">
        <v>42</v>
      </c>
      <c r="T11" s="12" t="s">
        <v>106</v>
      </c>
      <c r="U11" s="10" t="s">
        <v>107</v>
      </c>
      <c r="V11" s="11"/>
      <c r="W11" s="10"/>
      <c r="X11" s="10"/>
      <c r="Y11" s="10"/>
      <c r="Z11" s="10"/>
      <c r="AA11" s="10"/>
      <c r="AB11" s="10" t="n">
        <f aca="false">AD11+AA$2</f>
        <v>20</v>
      </c>
      <c r="AC11" s="10" t="n">
        <f aca="false">AB11+Z$2</f>
        <v>18.9</v>
      </c>
      <c r="AD11" s="10" t="n">
        <f aca="false">W$2+X$2*(H11-1)</f>
        <v>26</v>
      </c>
      <c r="AE11" s="10" t="n">
        <f aca="false">AG11+AA$2</f>
        <v>31.8</v>
      </c>
      <c r="AF11" s="10" t="n">
        <f aca="false">AE11+Z$2</f>
        <v>30.7</v>
      </c>
      <c r="AG11" s="10" t="n">
        <f aca="false">W$2+X$2*(M11-1)+Y$2</f>
        <v>37.8</v>
      </c>
      <c r="AH11" s="10" t="n">
        <f aca="false">AJ11+AA$2</f>
        <v>43.6</v>
      </c>
      <c r="AI11" s="10" t="n">
        <f aca="false">AH11+Z$2</f>
        <v>42.5</v>
      </c>
      <c r="AJ11" s="12" t="n">
        <f aca="false">W$2+X$2*(R11-1)+2*Y$2</f>
        <v>49.6</v>
      </c>
    </row>
    <row r="12" customFormat="false" ht="55.4" hidden="false" customHeight="false" outlineLevel="0" collapsed="false">
      <c r="B12" s="8" t="s">
        <v>108</v>
      </c>
      <c r="C12" s="8" t="s">
        <v>48</v>
      </c>
      <c r="D12" s="9" t="s">
        <v>38</v>
      </c>
      <c r="E12" s="9" t="str">
        <f aca="false">D12&amp;C12</f>
        <v>FormB</v>
      </c>
      <c r="F12" s="10"/>
      <c r="G12" s="11"/>
      <c r="H12" s="10" t="n">
        <v>1</v>
      </c>
      <c r="I12" s="12" t="s">
        <v>39</v>
      </c>
      <c r="J12" s="12" t="s">
        <v>109</v>
      </c>
      <c r="K12" s="12" t="s">
        <v>110</v>
      </c>
      <c r="L12" s="11"/>
      <c r="M12" s="10" t="n">
        <v>5</v>
      </c>
      <c r="N12" s="12" t="s">
        <v>39</v>
      </c>
      <c r="O12" s="12" t="s">
        <v>111</v>
      </c>
      <c r="P12" s="10" t="s">
        <v>112</v>
      </c>
      <c r="Q12" s="13"/>
      <c r="R12" s="10"/>
      <c r="S12" s="12"/>
      <c r="T12" s="12"/>
      <c r="U12" s="10"/>
      <c r="V12" s="11"/>
      <c r="W12" s="10"/>
      <c r="X12" s="10"/>
      <c r="Y12" s="10"/>
      <c r="Z12" s="10"/>
      <c r="AA12" s="10"/>
      <c r="AB12" s="10" t="n">
        <f aca="false">AD12+AA$2</f>
        <v>20</v>
      </c>
      <c r="AC12" s="10" t="n">
        <f aca="false">AB12+Z$2</f>
        <v>18.9</v>
      </c>
      <c r="AD12" s="10" t="n">
        <f aca="false">W$2+X$2*(H12-1)</f>
        <v>26</v>
      </c>
      <c r="AE12" s="10" t="n">
        <f aca="false">AG12+AA$2</f>
        <v>40.6</v>
      </c>
      <c r="AF12" s="10" t="n">
        <f aca="false">AE12+Z$2</f>
        <v>39.5</v>
      </c>
      <c r="AG12" s="10" t="n">
        <f aca="false">W$2+X$2*(M12-1)+Y$2</f>
        <v>46.6</v>
      </c>
      <c r="AH12" s="10" t="n">
        <f aca="false">AJ12+AA$2</f>
        <v>21.6</v>
      </c>
      <c r="AI12" s="10" t="n">
        <f aca="false">AH12+Z$2</f>
        <v>20.5</v>
      </c>
      <c r="AJ12" s="12" t="n">
        <f aca="false">W$2+X$2*(R12-1)+2*Y$2</f>
        <v>27.6</v>
      </c>
    </row>
    <row r="13" customFormat="false" ht="55.4" hidden="false" customHeight="false" outlineLevel="0" collapsed="false">
      <c r="B13" s="8" t="s">
        <v>113</v>
      </c>
      <c r="C13" s="8" t="s">
        <v>48</v>
      </c>
      <c r="D13" s="9" t="s">
        <v>38</v>
      </c>
      <c r="E13" s="9" t="str">
        <f aca="false">D13&amp;C13</f>
        <v>FormB</v>
      </c>
      <c r="F13" s="10"/>
      <c r="G13" s="11"/>
      <c r="H13" s="10" t="n">
        <v>1</v>
      </c>
      <c r="I13" s="12" t="s">
        <v>39</v>
      </c>
      <c r="J13" s="12" t="s">
        <v>114</v>
      </c>
      <c r="K13" s="12" t="s">
        <v>115</v>
      </c>
      <c r="L13" s="11"/>
      <c r="M13" s="10" t="n">
        <v>5</v>
      </c>
      <c r="N13" s="12" t="s">
        <v>42</v>
      </c>
      <c r="O13" s="12" t="s">
        <v>116</v>
      </c>
      <c r="P13" s="10" t="s">
        <v>117</v>
      </c>
      <c r="Q13" s="13"/>
      <c r="R13" s="10"/>
      <c r="S13" s="12"/>
      <c r="T13" s="12"/>
      <c r="U13" s="10"/>
      <c r="V13" s="11"/>
      <c r="W13" s="10"/>
      <c r="X13" s="10"/>
      <c r="Y13" s="10"/>
      <c r="Z13" s="10"/>
      <c r="AA13" s="10"/>
      <c r="AB13" s="10" t="n">
        <f aca="false">AD13+AA$2</f>
        <v>20</v>
      </c>
      <c r="AC13" s="10" t="n">
        <f aca="false">AB13+Z$2</f>
        <v>18.9</v>
      </c>
      <c r="AD13" s="10" t="n">
        <f aca="false">W$2+X$2*(H13-1)</f>
        <v>26</v>
      </c>
      <c r="AE13" s="10" t="n">
        <f aca="false">AG13+AA$2</f>
        <v>40.6</v>
      </c>
      <c r="AF13" s="10" t="n">
        <f aca="false">AE13+Z$2</f>
        <v>39.5</v>
      </c>
      <c r="AG13" s="10" t="n">
        <f aca="false">W$2+X$2*(M13-1)+Y$2</f>
        <v>46.6</v>
      </c>
      <c r="AH13" s="10" t="n">
        <f aca="false">AJ13+AA$2</f>
        <v>21.6</v>
      </c>
      <c r="AI13" s="10" t="n">
        <f aca="false">AH13+Z$2</f>
        <v>20.5</v>
      </c>
      <c r="AJ13" s="12" t="n">
        <f aca="false">W$2+X$2*(R13-1)+2*Y$2</f>
        <v>27.6</v>
      </c>
    </row>
    <row r="14" customFormat="false" ht="55.4" hidden="false" customHeight="false" outlineLevel="0" collapsed="false">
      <c r="B14" s="8" t="s">
        <v>118</v>
      </c>
      <c r="C14" s="8" t="s">
        <v>48</v>
      </c>
      <c r="D14" s="9" t="s">
        <v>38</v>
      </c>
      <c r="E14" s="9" t="str">
        <f aca="false">D14&amp;C14</f>
        <v>FormB</v>
      </c>
      <c r="F14" s="10"/>
      <c r="G14" s="11"/>
      <c r="H14" s="10" t="n">
        <v>1</v>
      </c>
      <c r="I14" s="12" t="s">
        <v>39</v>
      </c>
      <c r="J14" s="12" t="s">
        <v>119</v>
      </c>
      <c r="K14" s="12" t="s">
        <v>120</v>
      </c>
      <c r="L14" s="11"/>
      <c r="M14" s="10" t="n">
        <v>4</v>
      </c>
      <c r="N14" s="12" t="s">
        <v>39</v>
      </c>
      <c r="O14" s="12" t="s">
        <v>121</v>
      </c>
      <c r="P14" s="10" t="s">
        <v>122</v>
      </c>
      <c r="Q14" s="13"/>
      <c r="R14" s="10" t="n">
        <v>8</v>
      </c>
      <c r="S14" s="12" t="s">
        <v>39</v>
      </c>
      <c r="T14" s="12" t="s">
        <v>123</v>
      </c>
      <c r="U14" s="10" t="s">
        <v>124</v>
      </c>
      <c r="V14" s="11"/>
      <c r="W14" s="10"/>
      <c r="X14" s="10"/>
      <c r="Y14" s="10"/>
      <c r="Z14" s="10"/>
      <c r="AA14" s="10"/>
      <c r="AB14" s="10" t="n">
        <f aca="false">AD14+AA$2</f>
        <v>20</v>
      </c>
      <c r="AC14" s="10" t="n">
        <f aca="false">AB14+Z$2</f>
        <v>18.9</v>
      </c>
      <c r="AD14" s="10" t="n">
        <f aca="false">W$2+X$2*(H14-1)</f>
        <v>26</v>
      </c>
      <c r="AE14" s="10" t="n">
        <f aca="false">AG14+AA$2</f>
        <v>36.2</v>
      </c>
      <c r="AF14" s="10" t="n">
        <f aca="false">AE14+Z$2</f>
        <v>35.1</v>
      </c>
      <c r="AG14" s="10" t="n">
        <f aca="false">W$2+X$2*(M14-1)+Y$2</f>
        <v>42.2</v>
      </c>
      <c r="AH14" s="10" t="n">
        <f aca="false">AJ14+AA$2</f>
        <v>56.8</v>
      </c>
      <c r="AI14" s="10" t="n">
        <f aca="false">AH14+Z$2</f>
        <v>55.7</v>
      </c>
      <c r="AJ14" s="12" t="n">
        <f aca="false">W$2+X$2*(R14-1)+2*Y$2</f>
        <v>62.8</v>
      </c>
    </row>
    <row r="15" customFormat="false" ht="55.4" hidden="false" customHeight="false" outlineLevel="0" collapsed="false">
      <c r="B15" s="8" t="s">
        <v>125</v>
      </c>
      <c r="C15" s="8" t="s">
        <v>48</v>
      </c>
      <c r="D15" s="9" t="s">
        <v>38</v>
      </c>
      <c r="E15" s="9" t="str">
        <f aca="false">D15&amp;C15</f>
        <v>FormB</v>
      </c>
      <c r="F15" s="10" t="s">
        <v>126</v>
      </c>
      <c r="G15" s="11"/>
      <c r="H15" s="10" t="n">
        <v>1</v>
      </c>
      <c r="I15" s="12" t="s">
        <v>42</v>
      </c>
      <c r="J15" s="12" t="s">
        <v>127</v>
      </c>
      <c r="K15" s="12" t="s">
        <v>128</v>
      </c>
      <c r="L15" s="11"/>
      <c r="M15" s="10" t="n">
        <v>4</v>
      </c>
      <c r="N15" s="12" t="s">
        <v>42</v>
      </c>
      <c r="O15" s="12" t="s">
        <v>129</v>
      </c>
      <c r="P15" s="10" t="s">
        <v>130</v>
      </c>
      <c r="Q15" s="13"/>
      <c r="R15" s="10" t="n">
        <v>7</v>
      </c>
      <c r="S15" s="12" t="s">
        <v>39</v>
      </c>
      <c r="T15" s="12" t="s">
        <v>131</v>
      </c>
      <c r="U15" s="10" t="s">
        <v>132</v>
      </c>
      <c r="V15" s="11"/>
      <c r="W15" s="10"/>
      <c r="X15" s="10"/>
      <c r="Y15" s="10"/>
      <c r="Z15" s="10"/>
      <c r="AA15" s="10"/>
      <c r="AB15" s="10" t="n">
        <f aca="false">AD15+AA$2</f>
        <v>20</v>
      </c>
      <c r="AC15" s="10" t="n">
        <f aca="false">AB15+Z$2</f>
        <v>18.9</v>
      </c>
      <c r="AD15" s="10" t="n">
        <f aca="false">W$2+X$2*(H15-1)</f>
        <v>26</v>
      </c>
      <c r="AE15" s="10" t="n">
        <f aca="false">AG15+AA$2</f>
        <v>36.2</v>
      </c>
      <c r="AF15" s="10" t="n">
        <f aca="false">AE15+Z$2</f>
        <v>35.1</v>
      </c>
      <c r="AG15" s="10" t="n">
        <f aca="false">W$2+X$2*(M15-1)+Y$2</f>
        <v>42.2</v>
      </c>
      <c r="AH15" s="10" t="n">
        <f aca="false">AJ15+AA$2</f>
        <v>52.4</v>
      </c>
      <c r="AI15" s="10" t="n">
        <f aca="false">AH15+Z$2</f>
        <v>51.3</v>
      </c>
      <c r="AJ15" s="12" t="n">
        <f aca="false">W$2+X$2*(R15-1)+2*Y$2</f>
        <v>58.4</v>
      </c>
    </row>
    <row r="16" customFormat="false" ht="109.6" hidden="false" customHeight="false" outlineLevel="0" collapsed="false">
      <c r="B16" s="8" t="s">
        <v>133</v>
      </c>
      <c r="C16" s="8" t="s">
        <v>37</v>
      </c>
      <c r="D16" s="9" t="s">
        <v>38</v>
      </c>
      <c r="E16" s="9" t="str">
        <f aca="false">D16&amp;C16</f>
        <v>FormA</v>
      </c>
      <c r="F16" s="10"/>
      <c r="G16" s="11"/>
      <c r="H16" s="10" t="n">
        <v>1</v>
      </c>
      <c r="I16" s="12" t="s">
        <v>39</v>
      </c>
      <c r="J16" s="12" t="s">
        <v>134</v>
      </c>
      <c r="K16" s="12" t="s">
        <v>135</v>
      </c>
      <c r="L16" s="11"/>
      <c r="M16" s="10" t="n">
        <v>5</v>
      </c>
      <c r="N16" s="12" t="s">
        <v>39</v>
      </c>
      <c r="O16" s="18" t="s">
        <v>136</v>
      </c>
      <c r="P16" s="12" t="s">
        <v>137</v>
      </c>
      <c r="Q16" s="13"/>
      <c r="R16" s="10"/>
      <c r="S16" s="12"/>
      <c r="T16" s="12"/>
      <c r="U16" s="10"/>
      <c r="V16" s="11"/>
      <c r="W16" s="10"/>
      <c r="X16" s="10"/>
      <c r="Y16" s="10"/>
      <c r="Z16" s="10"/>
      <c r="AA16" s="10"/>
      <c r="AB16" s="10" t="n">
        <f aca="false">AD16+AA$2</f>
        <v>20</v>
      </c>
      <c r="AC16" s="10" t="n">
        <f aca="false">AB16+Z$2</f>
        <v>18.9</v>
      </c>
      <c r="AD16" s="10" t="n">
        <f aca="false">W$2+X$2*(H16-1)</f>
        <v>26</v>
      </c>
      <c r="AE16" s="10" t="n">
        <f aca="false">AG16+AA$2</f>
        <v>40.6</v>
      </c>
      <c r="AF16" s="10" t="n">
        <f aca="false">AE16+Z$2</f>
        <v>39.5</v>
      </c>
      <c r="AG16" s="10" t="n">
        <f aca="false">W$2+X$2*(M16-1)+Y$2</f>
        <v>46.6</v>
      </c>
      <c r="AH16" s="10" t="n">
        <f aca="false">AJ16+AA$2</f>
        <v>21.6</v>
      </c>
      <c r="AI16" s="10" t="n">
        <f aca="false">AH16+Z$2</f>
        <v>20.5</v>
      </c>
      <c r="AJ16" s="12" t="n">
        <f aca="false">W$2+X$2*(R16-1)+2*Y$2</f>
        <v>27.6</v>
      </c>
    </row>
    <row r="17" customFormat="false" ht="55.4" hidden="false" customHeight="false" outlineLevel="0" collapsed="false">
      <c r="B17" s="8" t="s">
        <v>138</v>
      </c>
      <c r="C17" s="8" t="s">
        <v>37</v>
      </c>
      <c r="D17" s="9" t="s">
        <v>38</v>
      </c>
      <c r="E17" s="9" t="str">
        <f aca="false">D17&amp;C17</f>
        <v>FormA</v>
      </c>
      <c r="F17" s="10" t="s">
        <v>139</v>
      </c>
      <c r="G17" s="11"/>
      <c r="H17" s="10" t="n">
        <v>1</v>
      </c>
      <c r="I17" s="12" t="s">
        <v>39</v>
      </c>
      <c r="J17" s="12" t="s">
        <v>140</v>
      </c>
      <c r="K17" s="12" t="s">
        <v>141</v>
      </c>
      <c r="L17" s="11"/>
      <c r="M17" s="10" t="n">
        <v>3</v>
      </c>
      <c r="N17" s="12" t="s">
        <v>39</v>
      </c>
      <c r="O17" s="12" t="s">
        <v>142</v>
      </c>
      <c r="P17" s="10" t="s">
        <v>143</v>
      </c>
      <c r="Q17" s="13"/>
      <c r="R17" s="10" t="n">
        <v>9</v>
      </c>
      <c r="S17" s="12" t="s">
        <v>39</v>
      </c>
      <c r="T17" s="12" t="s">
        <v>144</v>
      </c>
      <c r="U17" s="10" t="s">
        <v>145</v>
      </c>
      <c r="V17" s="11"/>
      <c r="W17" s="10"/>
      <c r="X17" s="10"/>
      <c r="Y17" s="10"/>
      <c r="Z17" s="10"/>
      <c r="AA17" s="10"/>
      <c r="AB17" s="10" t="n">
        <f aca="false">AD17+AA$2</f>
        <v>20</v>
      </c>
      <c r="AC17" s="10" t="n">
        <f aca="false">AB17+Z$2</f>
        <v>18.9</v>
      </c>
      <c r="AD17" s="10" t="n">
        <f aca="false">W$2+X$2*(H17-1)</f>
        <v>26</v>
      </c>
      <c r="AE17" s="10" t="n">
        <f aca="false">AG17+AA$2</f>
        <v>31.8</v>
      </c>
      <c r="AF17" s="10" t="n">
        <f aca="false">AE17+Z$2</f>
        <v>30.7</v>
      </c>
      <c r="AG17" s="10" t="n">
        <f aca="false">W$2+X$2*(M17-1)+Y$2</f>
        <v>37.8</v>
      </c>
      <c r="AH17" s="10" t="n">
        <f aca="false">AJ17+AA$2</f>
        <v>61.2</v>
      </c>
      <c r="AI17" s="10" t="n">
        <f aca="false">AH17+Z$2</f>
        <v>60.1</v>
      </c>
      <c r="AJ17" s="12" t="n">
        <f aca="false">W$2+X$2*(R17-1)+2*Y$2</f>
        <v>67.2</v>
      </c>
    </row>
    <row r="18" customFormat="false" ht="55.4" hidden="false" customHeight="false" outlineLevel="0" collapsed="false">
      <c r="B18" s="8" t="s">
        <v>146</v>
      </c>
      <c r="C18" s="8" t="s">
        <v>48</v>
      </c>
      <c r="D18" s="9" t="s">
        <v>38</v>
      </c>
      <c r="E18" s="9" t="str">
        <f aca="false">D18&amp;C18</f>
        <v>FormB</v>
      </c>
      <c r="F18" s="10"/>
      <c r="G18" s="11"/>
      <c r="H18" s="10" t="n">
        <v>1</v>
      </c>
      <c r="I18" s="12" t="s">
        <v>39</v>
      </c>
      <c r="J18" s="12" t="s">
        <v>147</v>
      </c>
      <c r="K18" s="12" t="s">
        <v>148</v>
      </c>
      <c r="L18" s="11"/>
      <c r="M18" s="10" t="n">
        <v>3</v>
      </c>
      <c r="N18" s="12" t="s">
        <v>42</v>
      </c>
      <c r="O18" s="12" t="s">
        <v>149</v>
      </c>
      <c r="P18" s="10" t="s">
        <v>150</v>
      </c>
      <c r="Q18" s="13"/>
      <c r="R18" s="10" t="n">
        <v>9</v>
      </c>
      <c r="S18" s="12" t="s">
        <v>39</v>
      </c>
      <c r="T18" s="12" t="s">
        <v>151</v>
      </c>
      <c r="U18" s="10" t="s">
        <v>152</v>
      </c>
      <c r="V18" s="11"/>
      <c r="W18" s="10"/>
      <c r="X18" s="10"/>
      <c r="Y18" s="10"/>
      <c r="Z18" s="10"/>
      <c r="AA18" s="10"/>
      <c r="AB18" s="10" t="n">
        <f aca="false">AD18+AA$2</f>
        <v>20</v>
      </c>
      <c r="AC18" s="10" t="n">
        <f aca="false">AB18+Z$2</f>
        <v>18.9</v>
      </c>
      <c r="AD18" s="10" t="n">
        <f aca="false">W$2+X$2*(H18-1)</f>
        <v>26</v>
      </c>
      <c r="AE18" s="10" t="n">
        <f aca="false">AG18+AA$2</f>
        <v>31.8</v>
      </c>
      <c r="AF18" s="10" t="n">
        <f aca="false">AE18+Z$2</f>
        <v>30.7</v>
      </c>
      <c r="AG18" s="10" t="n">
        <f aca="false">W$2+X$2*(M18-1)+Y$2</f>
        <v>37.8</v>
      </c>
      <c r="AH18" s="10" t="n">
        <f aca="false">AJ18+AA$2</f>
        <v>61.2</v>
      </c>
      <c r="AI18" s="10" t="n">
        <f aca="false">AH18+Z$2</f>
        <v>60.1</v>
      </c>
      <c r="AJ18" s="12" t="n">
        <f aca="false">W$2+X$2*(R18-1)+2*Y$2</f>
        <v>67.2</v>
      </c>
    </row>
    <row r="19" customFormat="false" ht="55.4" hidden="false" customHeight="false" outlineLevel="0" collapsed="false">
      <c r="B19" s="8" t="s">
        <v>153</v>
      </c>
      <c r="C19" s="8" t="s">
        <v>48</v>
      </c>
      <c r="D19" s="9" t="s">
        <v>38</v>
      </c>
      <c r="E19" s="9" t="str">
        <f aca="false">D19&amp;C19</f>
        <v>FormB</v>
      </c>
      <c r="F19" s="10"/>
      <c r="G19" s="11"/>
      <c r="H19" s="10" t="n">
        <v>1</v>
      </c>
      <c r="I19" s="12" t="s">
        <v>154</v>
      </c>
      <c r="J19" s="12" t="s">
        <v>155</v>
      </c>
      <c r="K19" s="12" t="s">
        <v>156</v>
      </c>
      <c r="L19" s="11"/>
      <c r="M19" s="10" t="n">
        <v>3</v>
      </c>
      <c r="N19" s="12" t="s">
        <v>42</v>
      </c>
      <c r="O19" s="12" t="s">
        <v>157</v>
      </c>
      <c r="P19" s="10" t="s">
        <v>158</v>
      </c>
      <c r="Q19" s="13"/>
      <c r="R19" s="10" t="n">
        <v>6</v>
      </c>
      <c r="S19" s="12" t="s">
        <v>39</v>
      </c>
      <c r="T19" s="12" t="s">
        <v>159</v>
      </c>
      <c r="U19" s="10" t="s">
        <v>160</v>
      </c>
      <c r="V19" s="11"/>
      <c r="W19" s="10"/>
      <c r="X19" s="10"/>
      <c r="Y19" s="10"/>
      <c r="Z19" s="10"/>
      <c r="AA19" s="10"/>
      <c r="AB19" s="10" t="n">
        <f aca="false">AD19+AA$2</f>
        <v>20</v>
      </c>
      <c r="AC19" s="10" t="n">
        <f aca="false">AB19+Z$2</f>
        <v>18.9</v>
      </c>
      <c r="AD19" s="10" t="n">
        <f aca="false">W$2+X$2*(H19-1)</f>
        <v>26</v>
      </c>
      <c r="AE19" s="10" t="n">
        <f aca="false">AG19+AA$2</f>
        <v>31.8</v>
      </c>
      <c r="AF19" s="10" t="n">
        <f aca="false">AE19+Z$2</f>
        <v>30.7</v>
      </c>
      <c r="AG19" s="10" t="n">
        <f aca="false">W$2+X$2*(M19-1)+Y$2</f>
        <v>37.8</v>
      </c>
      <c r="AH19" s="10" t="n">
        <f aca="false">AJ19+AA$2</f>
        <v>48</v>
      </c>
      <c r="AI19" s="10" t="n">
        <f aca="false">AH19+Z$2</f>
        <v>46.9</v>
      </c>
      <c r="AJ19" s="12" t="n">
        <f aca="false">W$2+X$2*(R19-1)+2*Y$2</f>
        <v>54</v>
      </c>
    </row>
    <row r="20" customFormat="false" ht="55.4" hidden="false" customHeight="false" outlineLevel="0" collapsed="false">
      <c r="B20" s="8" t="s">
        <v>161</v>
      </c>
      <c r="C20" s="8" t="s">
        <v>37</v>
      </c>
      <c r="D20" s="9" t="s">
        <v>38</v>
      </c>
      <c r="E20" s="9" t="str">
        <f aca="false">D20&amp;C20</f>
        <v>FormA</v>
      </c>
      <c r="F20" s="10"/>
      <c r="G20" s="11"/>
      <c r="H20" s="10" t="n">
        <v>1</v>
      </c>
      <c r="I20" s="12" t="s">
        <v>39</v>
      </c>
      <c r="J20" s="12" t="s">
        <v>162</v>
      </c>
      <c r="K20" s="12" t="s">
        <v>163</v>
      </c>
      <c r="L20" s="11"/>
      <c r="M20" s="10" t="n">
        <v>7</v>
      </c>
      <c r="N20" s="12" t="s">
        <v>42</v>
      </c>
      <c r="O20" s="12" t="s">
        <v>164</v>
      </c>
      <c r="P20" s="10" t="s">
        <v>165</v>
      </c>
      <c r="Q20" s="13"/>
      <c r="R20" s="10"/>
      <c r="S20" s="12"/>
      <c r="T20" s="12"/>
      <c r="U20" s="10"/>
      <c r="V20" s="11"/>
      <c r="W20" s="10"/>
      <c r="X20" s="10"/>
      <c r="Y20" s="10"/>
      <c r="Z20" s="10"/>
      <c r="AA20" s="10"/>
      <c r="AB20" s="10" t="n">
        <f aca="false">AD20+AA$2</f>
        <v>20</v>
      </c>
      <c r="AC20" s="10" t="n">
        <f aca="false">AB20+Z$2</f>
        <v>18.9</v>
      </c>
      <c r="AD20" s="10" t="n">
        <f aca="false">W$2+X$2*(H20-1)</f>
        <v>26</v>
      </c>
      <c r="AE20" s="10" t="n">
        <f aca="false">AG20+AA$2</f>
        <v>49.4</v>
      </c>
      <c r="AF20" s="10" t="n">
        <f aca="false">AE20+Z$2</f>
        <v>48.3</v>
      </c>
      <c r="AG20" s="10" t="n">
        <f aca="false">W$2+X$2*(M20-1)+Y$2</f>
        <v>55.4</v>
      </c>
      <c r="AH20" s="10" t="n">
        <f aca="false">AJ20+AA$2</f>
        <v>21.6</v>
      </c>
      <c r="AI20" s="10" t="n">
        <f aca="false">AH20+Z$2</f>
        <v>20.5</v>
      </c>
      <c r="AJ20" s="12" t="n">
        <f aca="false">W$2+X$2*(R20-1)+2*Y$2</f>
        <v>27.6</v>
      </c>
    </row>
    <row r="21" customFormat="false" ht="55.4" hidden="false" customHeight="false" outlineLevel="0" collapsed="false">
      <c r="B21" s="8" t="s">
        <v>166</v>
      </c>
      <c r="C21" s="8" t="s">
        <v>48</v>
      </c>
      <c r="D21" s="9" t="s">
        <v>38</v>
      </c>
      <c r="E21" s="9" t="str">
        <f aca="false">D21&amp;C21</f>
        <v>FormB</v>
      </c>
      <c r="F21" s="10"/>
      <c r="G21" s="11"/>
      <c r="H21" s="10" t="n">
        <v>1</v>
      </c>
      <c r="I21" s="12" t="s">
        <v>39</v>
      </c>
      <c r="J21" s="12" t="s">
        <v>167</v>
      </c>
      <c r="K21" s="12" t="s">
        <v>168</v>
      </c>
      <c r="L21" s="11"/>
      <c r="M21" s="10" t="n">
        <v>5</v>
      </c>
      <c r="N21" s="12" t="s">
        <v>39</v>
      </c>
      <c r="O21" s="12" t="s">
        <v>169</v>
      </c>
      <c r="P21" s="10" t="s">
        <v>170</v>
      </c>
      <c r="Q21" s="13"/>
      <c r="R21" s="10"/>
      <c r="S21" s="12"/>
      <c r="T21" s="12"/>
      <c r="U21" s="10"/>
      <c r="V21" s="11"/>
      <c r="W21" s="10"/>
      <c r="X21" s="10"/>
      <c r="Y21" s="10"/>
      <c r="Z21" s="10"/>
      <c r="AA21" s="10"/>
      <c r="AB21" s="10" t="n">
        <f aca="false">AD21+AA$2</f>
        <v>20</v>
      </c>
      <c r="AC21" s="10" t="n">
        <f aca="false">AB21+Z$2</f>
        <v>18.9</v>
      </c>
      <c r="AD21" s="10" t="n">
        <f aca="false">W$2+X$2*(H21-1)</f>
        <v>26</v>
      </c>
      <c r="AE21" s="10" t="n">
        <f aca="false">AG21+AA$2</f>
        <v>40.6</v>
      </c>
      <c r="AF21" s="10" t="n">
        <f aca="false">AE21+Z$2</f>
        <v>39.5</v>
      </c>
      <c r="AG21" s="10" t="n">
        <f aca="false">W$2+X$2*(M21-1)+Y$2</f>
        <v>46.6</v>
      </c>
      <c r="AH21" s="10" t="n">
        <f aca="false">AJ21+AA$2</f>
        <v>21.6</v>
      </c>
      <c r="AI21" s="10" t="n">
        <f aca="false">AH21+Z$2</f>
        <v>20.5</v>
      </c>
      <c r="AJ21" s="12" t="n">
        <f aca="false">W$2+X$2*(R21-1)+2*Y$2</f>
        <v>27.6</v>
      </c>
    </row>
    <row r="22" customFormat="false" ht="87.95" hidden="false" customHeight="false" outlineLevel="0" collapsed="false">
      <c r="B22" s="8" t="s">
        <v>171</v>
      </c>
      <c r="C22" s="8" t="s">
        <v>37</v>
      </c>
      <c r="D22" s="9" t="s">
        <v>38</v>
      </c>
      <c r="E22" s="9" t="str">
        <f aca="false">D22&amp;C22</f>
        <v>FormA</v>
      </c>
      <c r="F22" s="10" t="s">
        <v>66</v>
      </c>
      <c r="G22" s="11"/>
      <c r="H22" s="10" t="n">
        <v>1</v>
      </c>
      <c r="I22" s="10" t="s">
        <v>42</v>
      </c>
      <c r="J22" s="12" t="s">
        <v>172</v>
      </c>
      <c r="K22" s="12" t="s">
        <v>173</v>
      </c>
      <c r="L22" s="11"/>
      <c r="M22" s="10" t="n">
        <v>10.5</v>
      </c>
      <c r="N22" s="10" t="s">
        <v>42</v>
      </c>
      <c r="O22" s="12" t="s">
        <v>174</v>
      </c>
      <c r="P22" s="10" t="s">
        <v>175</v>
      </c>
      <c r="Q22" s="13"/>
      <c r="R22" s="10"/>
      <c r="S22" s="12"/>
      <c r="T22" s="12"/>
      <c r="U22" s="10"/>
      <c r="V22" s="11"/>
      <c r="W22" s="10" t="n">
        <v>2.96</v>
      </c>
      <c r="X22" s="10" t="n">
        <v>0.43</v>
      </c>
      <c r="Y22" s="10" t="n">
        <v>0.3</v>
      </c>
      <c r="Z22" s="10" t="n">
        <v>-0.11</v>
      </c>
      <c r="AA22" s="10" t="n">
        <v>-0.6</v>
      </c>
      <c r="AB22" s="10" t="n">
        <f aca="false">AD22+AA$2</f>
        <v>20</v>
      </c>
      <c r="AC22" s="10" t="n">
        <f aca="false">AB22+Z$2</f>
        <v>18.9</v>
      </c>
      <c r="AD22" s="10" t="n">
        <f aca="false">W$2+X$2*(H22-1)</f>
        <v>26</v>
      </c>
      <c r="AE22" s="10" t="n">
        <f aca="false">AG22+AA$2</f>
        <v>64.8</v>
      </c>
      <c r="AF22" s="10" t="n">
        <f aca="false">AE22+Z$2</f>
        <v>63.7</v>
      </c>
      <c r="AG22" s="10" t="n">
        <f aca="false">W$2+X$2*(M22-1)+Y$2</f>
        <v>70.8</v>
      </c>
      <c r="AH22" s="10" t="n">
        <f aca="false">AJ22+AA$2</f>
        <v>21.6</v>
      </c>
      <c r="AI22" s="10" t="n">
        <f aca="false">AH22+Z$2</f>
        <v>20.5</v>
      </c>
      <c r="AJ22" s="12" t="n">
        <f aca="false">W$2+X$2*(R22-1)+2*Y$2</f>
        <v>27.6</v>
      </c>
    </row>
    <row r="23" customFormat="false" ht="55.4" hidden="false" customHeight="false" outlineLevel="0" collapsed="false">
      <c r="B23" s="8" t="s">
        <v>176</v>
      </c>
      <c r="C23" s="8" t="s">
        <v>37</v>
      </c>
      <c r="D23" s="9" t="s">
        <v>38</v>
      </c>
      <c r="E23" s="9" t="str">
        <f aca="false">D23&amp;C23</f>
        <v>FormA</v>
      </c>
      <c r="F23" s="10" t="s">
        <v>79</v>
      </c>
      <c r="G23" s="11"/>
      <c r="H23" s="10" t="n">
        <v>1</v>
      </c>
      <c r="I23" s="12" t="s">
        <v>39</v>
      </c>
      <c r="J23" s="12" t="s">
        <v>80</v>
      </c>
      <c r="K23" s="12" t="s">
        <v>81</v>
      </c>
      <c r="L23" s="11"/>
      <c r="M23" s="10" t="n">
        <v>4</v>
      </c>
      <c r="N23" s="12" t="s">
        <v>39</v>
      </c>
      <c r="O23" s="12" t="s">
        <v>177</v>
      </c>
      <c r="P23" s="12" t="s">
        <v>178</v>
      </c>
      <c r="Q23" s="13"/>
      <c r="R23" s="10" t="n">
        <v>7</v>
      </c>
      <c r="S23" s="12" t="s">
        <v>39</v>
      </c>
      <c r="T23" s="12" t="s">
        <v>179</v>
      </c>
      <c r="U23" s="10" t="s">
        <v>180</v>
      </c>
      <c r="V23" s="11"/>
      <c r="W23" s="10"/>
      <c r="X23" s="10"/>
      <c r="Y23" s="10"/>
      <c r="Z23" s="10"/>
      <c r="AA23" s="10"/>
      <c r="AB23" s="10" t="n">
        <f aca="false">AD23+AA$2</f>
        <v>20</v>
      </c>
      <c r="AC23" s="10" t="n">
        <f aca="false">AB23+Z$2</f>
        <v>18.9</v>
      </c>
      <c r="AD23" s="10" t="n">
        <f aca="false">W$2+X$2*(H23-1)</f>
        <v>26</v>
      </c>
      <c r="AE23" s="10" t="n">
        <f aca="false">AG23+AA$2</f>
        <v>36.2</v>
      </c>
      <c r="AF23" s="10" t="n">
        <f aca="false">AE23+Z$2</f>
        <v>35.1</v>
      </c>
      <c r="AG23" s="10" t="n">
        <f aca="false">W$2+X$2*(M23-1)+Y$2</f>
        <v>42.2</v>
      </c>
      <c r="AH23" s="10" t="n">
        <f aca="false">AJ23+AA$2</f>
        <v>52.4</v>
      </c>
      <c r="AI23" s="10" t="n">
        <f aca="false">AH23+Z$2</f>
        <v>51.3</v>
      </c>
      <c r="AJ23" s="12" t="n">
        <f aca="false">W$2+X$2*(R23-1)+2*Y$2</f>
        <v>58.4</v>
      </c>
    </row>
    <row r="24" customFormat="false" ht="55.4" hidden="false" customHeight="false" outlineLevel="0" collapsed="false">
      <c r="B24" s="8" t="s">
        <v>181</v>
      </c>
      <c r="C24" s="8" t="s">
        <v>48</v>
      </c>
      <c r="D24" s="9" t="s">
        <v>38</v>
      </c>
      <c r="E24" s="9" t="str">
        <f aca="false">D24&amp;C24</f>
        <v>FormB</v>
      </c>
      <c r="F24" s="10"/>
      <c r="G24" s="19"/>
      <c r="H24" s="10" t="n">
        <v>1</v>
      </c>
      <c r="I24" s="10" t="s">
        <v>39</v>
      </c>
      <c r="J24" s="10" t="s">
        <v>182</v>
      </c>
      <c r="K24" s="10" t="s">
        <v>183</v>
      </c>
      <c r="L24" s="19"/>
      <c r="M24" s="10" t="n">
        <v>4</v>
      </c>
      <c r="N24" s="12" t="s">
        <v>39</v>
      </c>
      <c r="O24" s="12" t="s">
        <v>184</v>
      </c>
      <c r="P24" s="10" t="s">
        <v>185</v>
      </c>
      <c r="Q24" s="20"/>
      <c r="R24" s="10"/>
      <c r="S24" s="10"/>
      <c r="T24" s="10"/>
      <c r="U24" s="10"/>
      <c r="V24" s="19"/>
      <c r="W24" s="10"/>
      <c r="X24" s="10"/>
      <c r="Y24" s="10"/>
      <c r="Z24" s="10"/>
      <c r="AA24" s="10"/>
      <c r="AB24" s="10" t="n">
        <f aca="false">AD24+AA$2</f>
        <v>20</v>
      </c>
      <c r="AC24" s="10" t="n">
        <f aca="false">AB24+Z$2</f>
        <v>18.9</v>
      </c>
      <c r="AD24" s="10" t="n">
        <f aca="false">W$2+X$2*(H24-1)</f>
        <v>26</v>
      </c>
      <c r="AE24" s="10" t="n">
        <f aca="false">AG24+AA$2</f>
        <v>36.2</v>
      </c>
      <c r="AF24" s="10" t="n">
        <f aca="false">AE24+Z$2</f>
        <v>35.1</v>
      </c>
      <c r="AG24" s="10" t="n">
        <f aca="false">W$2+X$2*(M24-1)+Y$2</f>
        <v>42.2</v>
      </c>
      <c r="AH24" s="10" t="n">
        <f aca="false">AJ24+AA$2</f>
        <v>21.6</v>
      </c>
      <c r="AI24" s="10" t="n">
        <f aca="false">AH24+Z$2</f>
        <v>20.5</v>
      </c>
      <c r="AJ24" s="12" t="n">
        <f aca="false">W$2+X$2*(R24-1)+2*Y$2</f>
        <v>27.6</v>
      </c>
    </row>
    <row r="25" customFormat="false" ht="55.4" hidden="false" customHeight="false" outlineLevel="0" collapsed="false">
      <c r="B25" s="8" t="s">
        <v>186</v>
      </c>
      <c r="C25" s="8" t="s">
        <v>37</v>
      </c>
      <c r="D25" s="9" t="s">
        <v>38</v>
      </c>
      <c r="E25" s="9" t="str">
        <f aca="false">D25&amp;C25</f>
        <v>FormA</v>
      </c>
      <c r="F25" s="10"/>
      <c r="G25" s="11"/>
      <c r="H25" s="10" t="n">
        <v>1</v>
      </c>
      <c r="I25" s="12" t="s">
        <v>39</v>
      </c>
      <c r="J25" s="12" t="s">
        <v>187</v>
      </c>
      <c r="K25" s="12" t="s">
        <v>188</v>
      </c>
      <c r="L25" s="11"/>
      <c r="M25" s="10" t="n">
        <v>4</v>
      </c>
      <c r="N25" s="10" t="s">
        <v>42</v>
      </c>
      <c r="O25" s="12" t="s">
        <v>189</v>
      </c>
      <c r="P25" s="12" t="s">
        <v>190</v>
      </c>
      <c r="Q25" s="13"/>
      <c r="R25" s="12"/>
      <c r="S25" s="12"/>
      <c r="T25" s="10"/>
      <c r="U25" s="10"/>
      <c r="V25" s="11"/>
      <c r="W25" s="10"/>
      <c r="X25" s="10"/>
      <c r="Y25" s="10"/>
      <c r="Z25" s="10"/>
      <c r="AA25" s="10"/>
      <c r="AB25" s="10" t="n">
        <f aca="false">AD25+AA$2</f>
        <v>20</v>
      </c>
      <c r="AC25" s="10" t="n">
        <f aca="false">AB25+Z$2</f>
        <v>18.9</v>
      </c>
      <c r="AD25" s="10" t="n">
        <f aca="false">W$2+X$2*(H25-1)</f>
        <v>26</v>
      </c>
      <c r="AE25" s="10" t="n">
        <f aca="false">AG25+AA$2</f>
        <v>36.2</v>
      </c>
      <c r="AF25" s="10" t="n">
        <f aca="false">AE25+Z$2</f>
        <v>35.1</v>
      </c>
      <c r="AG25" s="10" t="n">
        <f aca="false">W$2+X$2*(M25-1)+Y$2</f>
        <v>42.2</v>
      </c>
      <c r="AH25" s="10" t="n">
        <f aca="false">AJ25+AA$2</f>
        <v>21.6</v>
      </c>
      <c r="AI25" s="10" t="n">
        <f aca="false">AH25+Z$2</f>
        <v>20.5</v>
      </c>
      <c r="AJ25" s="12" t="n">
        <f aca="false">W$2+X$2*(R25-1)+2*Y$2</f>
        <v>27.6</v>
      </c>
    </row>
    <row r="26" customFormat="false" ht="55.4" hidden="false" customHeight="false" outlineLevel="0" collapsed="false">
      <c r="B26" s="8" t="s">
        <v>191</v>
      </c>
      <c r="C26" s="8" t="s">
        <v>37</v>
      </c>
      <c r="D26" s="9" t="s">
        <v>38</v>
      </c>
      <c r="E26" s="9" t="str">
        <f aca="false">D26&amp;C26</f>
        <v>FormA</v>
      </c>
      <c r="F26" s="10" t="s">
        <v>192</v>
      </c>
      <c r="G26" s="11"/>
      <c r="H26" s="10" t="n">
        <v>1</v>
      </c>
      <c r="I26" s="10" t="s">
        <v>39</v>
      </c>
      <c r="J26" s="12" t="s">
        <v>193</v>
      </c>
      <c r="K26" s="10" t="s">
        <v>194</v>
      </c>
      <c r="L26" s="11"/>
      <c r="M26" s="10" t="n">
        <v>5</v>
      </c>
      <c r="N26" s="12" t="s">
        <v>39</v>
      </c>
      <c r="O26" s="12" t="s">
        <v>195</v>
      </c>
      <c r="P26" s="12" t="s">
        <v>196</v>
      </c>
      <c r="Q26" s="13"/>
      <c r="R26" s="10" t="n">
        <v>9</v>
      </c>
      <c r="S26" s="10" t="s">
        <v>154</v>
      </c>
      <c r="T26" s="12" t="s">
        <v>197</v>
      </c>
      <c r="U26" s="10" t="s">
        <v>198</v>
      </c>
      <c r="V26" s="11"/>
      <c r="W26" s="10"/>
      <c r="X26" s="10"/>
      <c r="Y26" s="10"/>
      <c r="Z26" s="10"/>
      <c r="AA26" s="10"/>
      <c r="AB26" s="10" t="n">
        <f aca="false">AD26+AA$2</f>
        <v>20</v>
      </c>
      <c r="AC26" s="10" t="n">
        <f aca="false">AB26+Z$2</f>
        <v>18.9</v>
      </c>
      <c r="AD26" s="10" t="n">
        <f aca="false">W$2+X$2*(H26-1)</f>
        <v>26</v>
      </c>
      <c r="AE26" s="10" t="n">
        <f aca="false">AG26+AA$2</f>
        <v>40.6</v>
      </c>
      <c r="AF26" s="10" t="n">
        <f aca="false">AE26+Z$2</f>
        <v>39.5</v>
      </c>
      <c r="AG26" s="10" t="n">
        <f aca="false">W$2+X$2*(M26-1)+Y$2</f>
        <v>46.6</v>
      </c>
      <c r="AH26" s="10" t="n">
        <f aca="false">AJ26+AA$2</f>
        <v>61.2</v>
      </c>
      <c r="AI26" s="10" t="n">
        <f aca="false">AH26+Z$2</f>
        <v>60.1</v>
      </c>
      <c r="AJ26" s="12" t="n">
        <f aca="false">W$2+X$2*(R26-1)+2*Y$2</f>
        <v>67.2</v>
      </c>
    </row>
    <row r="27" customFormat="false" ht="55.4" hidden="false" customHeight="false" outlineLevel="0" collapsed="false">
      <c r="B27" s="8" t="s">
        <v>199</v>
      </c>
      <c r="C27" s="8" t="s">
        <v>48</v>
      </c>
      <c r="D27" s="9" t="s">
        <v>38</v>
      </c>
      <c r="E27" s="9" t="str">
        <f aca="false">D27&amp;C27</f>
        <v>FormB</v>
      </c>
      <c r="F27" s="10"/>
      <c r="G27" s="11"/>
      <c r="H27" s="10" t="n">
        <v>1</v>
      </c>
      <c r="I27" s="12" t="s">
        <v>39</v>
      </c>
      <c r="J27" s="12" t="s">
        <v>200</v>
      </c>
      <c r="K27" s="12" t="s">
        <v>201</v>
      </c>
      <c r="L27" s="11"/>
      <c r="M27" s="10" t="n">
        <v>5</v>
      </c>
      <c r="N27" s="12" t="s">
        <v>39</v>
      </c>
      <c r="O27" s="12" t="s">
        <v>202</v>
      </c>
      <c r="P27" s="10" t="s">
        <v>203</v>
      </c>
      <c r="Q27" s="13"/>
      <c r="R27" s="10" t="n">
        <v>9.5</v>
      </c>
      <c r="S27" s="12" t="s">
        <v>53</v>
      </c>
      <c r="T27" s="12" t="s">
        <v>54</v>
      </c>
      <c r="U27" s="14" t="s">
        <v>204</v>
      </c>
      <c r="V27" s="11"/>
      <c r="W27" s="10"/>
      <c r="X27" s="10"/>
      <c r="Y27" s="10"/>
      <c r="Z27" s="10"/>
      <c r="AA27" s="10"/>
      <c r="AB27" s="10" t="n">
        <f aca="false">AD27+AA$2</f>
        <v>20</v>
      </c>
      <c r="AC27" s="10" t="n">
        <f aca="false">AB27+Z$2</f>
        <v>18.9</v>
      </c>
      <c r="AD27" s="10" t="n">
        <f aca="false">W$2+X$2*(H27-1)</f>
        <v>26</v>
      </c>
      <c r="AE27" s="10" t="n">
        <f aca="false">AG27+AA$2</f>
        <v>40.6</v>
      </c>
      <c r="AF27" s="10" t="n">
        <f aca="false">AE27+Z$2</f>
        <v>39.5</v>
      </c>
      <c r="AG27" s="10" t="n">
        <f aca="false">W$2+X$2*(M27-1)+Y$2</f>
        <v>46.6</v>
      </c>
      <c r="AH27" s="10" t="n">
        <f aca="false">AJ27+AA$2</f>
        <v>63.4</v>
      </c>
      <c r="AI27" s="10" t="n">
        <f aca="false">AH27+Z$2</f>
        <v>62.3</v>
      </c>
      <c r="AJ27" s="12" t="n">
        <f aca="false">W$2+X$2*(R27-1)+2*Y$2</f>
        <v>69.4</v>
      </c>
    </row>
    <row r="28" customFormat="false" ht="56.95" hidden="false" customHeight="true" outlineLevel="0" collapsed="false">
      <c r="B28" s="8" t="s">
        <v>205</v>
      </c>
      <c r="C28" s="8" t="s">
        <v>37</v>
      </c>
      <c r="D28" s="9" t="s">
        <v>38</v>
      </c>
      <c r="E28" s="9" t="str">
        <f aca="false">D28&amp;C28</f>
        <v>FormA</v>
      </c>
      <c r="F28" s="10"/>
      <c r="G28" s="11"/>
      <c r="H28" s="10" t="n">
        <v>1</v>
      </c>
      <c r="I28" s="12" t="s">
        <v>39</v>
      </c>
      <c r="J28" s="12" t="s">
        <v>206</v>
      </c>
      <c r="K28" s="12" t="s">
        <v>207</v>
      </c>
      <c r="L28" s="11"/>
      <c r="M28" s="10" t="n">
        <v>5</v>
      </c>
      <c r="N28" s="10" t="s">
        <v>42</v>
      </c>
      <c r="O28" s="12" t="s">
        <v>208</v>
      </c>
      <c r="P28" s="10" t="s">
        <v>209</v>
      </c>
      <c r="Q28" s="13"/>
      <c r="R28" s="10"/>
      <c r="S28" s="12"/>
      <c r="T28" s="10"/>
      <c r="U28" s="10"/>
      <c r="V28" s="11"/>
      <c r="W28" s="10"/>
      <c r="X28" s="10"/>
      <c r="Y28" s="10"/>
      <c r="Z28" s="10"/>
      <c r="AA28" s="10"/>
      <c r="AB28" s="10" t="n">
        <f aca="false">AD28+AA$2</f>
        <v>20</v>
      </c>
      <c r="AC28" s="10" t="n">
        <f aca="false">AB28+Z$2</f>
        <v>18.9</v>
      </c>
      <c r="AD28" s="10" t="n">
        <f aca="false">W$2+X$2*(H28-1)</f>
        <v>26</v>
      </c>
      <c r="AE28" s="10" t="n">
        <f aca="false">AG28+AA$2</f>
        <v>40.6</v>
      </c>
      <c r="AF28" s="10" t="n">
        <f aca="false">AE28+Z$2</f>
        <v>39.5</v>
      </c>
      <c r="AG28" s="10" t="n">
        <f aca="false">W$2+X$2*(M28-1)+Y$2</f>
        <v>46.6</v>
      </c>
      <c r="AH28" s="10" t="n">
        <f aca="false">AJ28+AA$2</f>
        <v>21.6</v>
      </c>
      <c r="AI28" s="10" t="n">
        <f aca="false">AH28+Z$2</f>
        <v>20.5</v>
      </c>
      <c r="AJ28" s="12" t="n">
        <f aca="false">W$2+X$2*(R28-1)+2*Y$2</f>
        <v>27.6</v>
      </c>
    </row>
    <row r="29" customFormat="false" ht="55.85" hidden="false" customHeight="true" outlineLevel="0" collapsed="false">
      <c r="B29" s="8" t="s">
        <v>210</v>
      </c>
      <c r="C29" s="8" t="s">
        <v>37</v>
      </c>
      <c r="D29" s="21" t="s">
        <v>211</v>
      </c>
      <c r="E29" s="9" t="str">
        <f aca="false">D29&amp;C29</f>
        <v>ImpressionA</v>
      </c>
      <c r="F29" s="10"/>
      <c r="G29" s="11"/>
      <c r="H29" s="10" t="n">
        <v>1</v>
      </c>
      <c r="I29" s="10" t="s">
        <v>42</v>
      </c>
      <c r="J29" s="12" t="s">
        <v>212</v>
      </c>
      <c r="K29" s="12" t="s">
        <v>213</v>
      </c>
      <c r="L29" s="11"/>
      <c r="M29" s="10"/>
      <c r="N29" s="10"/>
      <c r="O29" s="10"/>
      <c r="P29" s="10"/>
      <c r="Q29" s="13"/>
      <c r="R29" s="10"/>
      <c r="S29" s="10"/>
      <c r="T29" s="10"/>
      <c r="U29" s="10"/>
      <c r="V29" s="11"/>
      <c r="W29" s="10"/>
      <c r="X29" s="10"/>
      <c r="Y29" s="10"/>
      <c r="Z29" s="10"/>
      <c r="AA29" s="10"/>
      <c r="AB29" s="10" t="n">
        <f aca="false">AD29+AA$2</f>
        <v>20</v>
      </c>
      <c r="AC29" s="10" t="n">
        <f aca="false">AB29+Z$2</f>
        <v>18.9</v>
      </c>
      <c r="AD29" s="10" t="n">
        <f aca="false">W$2+X$2*(H29-1)</f>
        <v>26</v>
      </c>
      <c r="AE29" s="10" t="n">
        <f aca="false">AG29+AA$2</f>
        <v>18.6</v>
      </c>
      <c r="AF29" s="10" t="n">
        <f aca="false">AE29+Z$2</f>
        <v>17.5</v>
      </c>
      <c r="AG29" s="10" t="n">
        <f aca="false">W$2+X$2*(M29-1)+Y$2</f>
        <v>24.6</v>
      </c>
      <c r="AH29" s="10" t="n">
        <f aca="false">AJ29+AA$2</f>
        <v>21.6</v>
      </c>
      <c r="AI29" s="10" t="n">
        <f aca="false">AH29+Z$2</f>
        <v>20.5</v>
      </c>
      <c r="AJ29" s="12" t="n">
        <f aca="false">W$2+X$2*(R29-1)+2*Y$2</f>
        <v>27.6</v>
      </c>
    </row>
    <row r="30" customFormat="false" ht="56.95" hidden="false" customHeight="true" outlineLevel="0" collapsed="false">
      <c r="B30" s="8" t="s">
        <v>214</v>
      </c>
      <c r="C30" s="8" t="s">
        <v>48</v>
      </c>
      <c r="D30" s="21" t="s">
        <v>211</v>
      </c>
      <c r="E30" s="9" t="str">
        <f aca="false">D30&amp;C30</f>
        <v>ImpressionB</v>
      </c>
      <c r="F30" s="10"/>
      <c r="G30" s="11"/>
      <c r="H30" s="10" t="n">
        <v>1</v>
      </c>
      <c r="I30" s="10" t="s">
        <v>39</v>
      </c>
      <c r="J30" s="12" t="s">
        <v>215</v>
      </c>
      <c r="K30" s="12" t="s">
        <v>216</v>
      </c>
      <c r="L30" s="11"/>
      <c r="M30" s="10"/>
      <c r="N30" s="10"/>
      <c r="O30" s="10"/>
      <c r="P30" s="10"/>
      <c r="Q30" s="13"/>
      <c r="R30" s="10"/>
      <c r="S30" s="10"/>
      <c r="T30" s="10"/>
      <c r="U30" s="10"/>
      <c r="V30" s="11"/>
      <c r="W30" s="10"/>
      <c r="X30" s="10"/>
      <c r="Y30" s="10"/>
      <c r="Z30" s="10"/>
      <c r="AA30" s="10"/>
      <c r="AB30" s="10" t="n">
        <f aca="false">AD30+AA$2</f>
        <v>20</v>
      </c>
      <c r="AC30" s="10" t="n">
        <f aca="false">AB30+Z$2</f>
        <v>18.9</v>
      </c>
      <c r="AD30" s="10" t="n">
        <f aca="false">W$2+X$2*(H30-1)</f>
        <v>26</v>
      </c>
      <c r="AE30" s="10" t="n">
        <f aca="false">AG30+AA$2</f>
        <v>18.6</v>
      </c>
      <c r="AF30" s="10" t="n">
        <f aca="false">AE30+Z$2</f>
        <v>17.5</v>
      </c>
      <c r="AG30" s="10" t="n">
        <f aca="false">W$2+X$2*(M30-1)+Y$2</f>
        <v>24.6</v>
      </c>
      <c r="AH30" s="10" t="n">
        <f aca="false">AJ30+AA$2</f>
        <v>21.6</v>
      </c>
      <c r="AI30" s="10" t="n">
        <f aca="false">AH30+Z$2</f>
        <v>20.5</v>
      </c>
      <c r="AJ30" s="12" t="n">
        <f aca="false">W$2+X$2*(R30-1)+2*Y$2</f>
        <v>27.6</v>
      </c>
    </row>
    <row r="31" customFormat="false" ht="56.95" hidden="false" customHeight="true" outlineLevel="0" collapsed="false">
      <c r="B31" s="8" t="s">
        <v>217</v>
      </c>
      <c r="C31" s="8" t="s">
        <v>48</v>
      </c>
      <c r="D31" s="21" t="s">
        <v>211</v>
      </c>
      <c r="E31" s="9" t="str">
        <f aca="false">D31&amp;C31</f>
        <v>ImpressionB</v>
      </c>
      <c r="F31" s="10"/>
      <c r="G31" s="19"/>
      <c r="H31" s="10" t="n">
        <v>1</v>
      </c>
      <c r="I31" s="12" t="s">
        <v>39</v>
      </c>
      <c r="J31" s="10" t="s">
        <v>218</v>
      </c>
      <c r="K31" s="10" t="s">
        <v>219</v>
      </c>
      <c r="L31" s="19"/>
      <c r="M31" s="10"/>
      <c r="N31" s="10"/>
      <c r="O31" s="10"/>
      <c r="P31" s="10"/>
      <c r="Q31" s="20"/>
      <c r="R31" s="10"/>
      <c r="S31" s="10"/>
      <c r="T31" s="10"/>
      <c r="U31" s="10"/>
      <c r="V31" s="19"/>
      <c r="W31" s="10"/>
      <c r="X31" s="10"/>
      <c r="Y31" s="10"/>
      <c r="Z31" s="10"/>
      <c r="AA31" s="10"/>
      <c r="AB31" s="10" t="n">
        <f aca="false">AD31+AA$2</f>
        <v>20</v>
      </c>
      <c r="AC31" s="10" t="n">
        <f aca="false">AB31+Z$2</f>
        <v>18.9</v>
      </c>
      <c r="AD31" s="10" t="n">
        <f aca="false">W$2+X$2*(H31-1)</f>
        <v>26</v>
      </c>
      <c r="AE31" s="10" t="n">
        <f aca="false">AG31+AA$2</f>
        <v>18.6</v>
      </c>
      <c r="AF31" s="10" t="n">
        <f aca="false">AE31+Z$2</f>
        <v>17.5</v>
      </c>
      <c r="AG31" s="10" t="n">
        <f aca="false">W$2+X$2*(M31-1)+Y$2</f>
        <v>24.6</v>
      </c>
      <c r="AH31" s="10" t="n">
        <f aca="false">AJ31+AA$2</f>
        <v>21.6</v>
      </c>
      <c r="AI31" s="10" t="n">
        <f aca="false">AH31+Z$2</f>
        <v>20.5</v>
      </c>
      <c r="AJ31" s="12" t="n">
        <f aca="false">W$2+X$2*(R31-1)+2*Y$2</f>
        <v>27.6</v>
      </c>
    </row>
    <row r="32" customFormat="false" ht="56.95" hidden="false" customHeight="true" outlineLevel="0" collapsed="false">
      <c r="B32" s="8" t="s">
        <v>220</v>
      </c>
      <c r="C32" s="8" t="s">
        <v>37</v>
      </c>
      <c r="D32" s="21" t="s">
        <v>211</v>
      </c>
      <c r="E32" s="9" t="str">
        <f aca="false">D32&amp;C32</f>
        <v>ImpressionA</v>
      </c>
      <c r="F32" s="10"/>
      <c r="G32" s="19"/>
      <c r="H32" s="10" t="n">
        <v>1</v>
      </c>
      <c r="I32" s="12" t="s">
        <v>39</v>
      </c>
      <c r="J32" s="10" t="s">
        <v>221</v>
      </c>
      <c r="K32" s="10" t="s">
        <v>222</v>
      </c>
      <c r="L32" s="19"/>
      <c r="M32" s="10"/>
      <c r="N32" s="10"/>
      <c r="O32" s="10"/>
      <c r="P32" s="10"/>
      <c r="Q32" s="20"/>
      <c r="R32" s="10"/>
      <c r="S32" s="10"/>
      <c r="T32" s="10"/>
      <c r="U32" s="10"/>
      <c r="V32" s="19"/>
      <c r="W32" s="10"/>
      <c r="X32" s="10"/>
      <c r="Y32" s="10"/>
      <c r="Z32" s="10"/>
      <c r="AA32" s="10"/>
      <c r="AB32" s="10" t="n">
        <f aca="false">AD32+AA$2</f>
        <v>20</v>
      </c>
      <c r="AC32" s="10" t="n">
        <f aca="false">AB32+Z$2</f>
        <v>18.9</v>
      </c>
      <c r="AD32" s="10" t="n">
        <f aca="false">W$2+X$2*(H32-1)</f>
        <v>26</v>
      </c>
      <c r="AE32" s="10" t="n">
        <f aca="false">AG32+AA$2</f>
        <v>18.6</v>
      </c>
      <c r="AF32" s="10" t="n">
        <f aca="false">AE32+Z$2</f>
        <v>17.5</v>
      </c>
      <c r="AG32" s="10" t="n">
        <f aca="false">W$2+X$2*(M32-1)+Y$2</f>
        <v>24.6</v>
      </c>
      <c r="AH32" s="10" t="n">
        <f aca="false">AJ32+AA$2</f>
        <v>21.6</v>
      </c>
      <c r="AI32" s="10" t="n">
        <f aca="false">AH32+Z$2</f>
        <v>20.5</v>
      </c>
      <c r="AJ32" s="12" t="n">
        <f aca="false">W$2+X$2*(R32-1)+2*Y$2</f>
        <v>27.6</v>
      </c>
    </row>
    <row r="33" customFormat="false" ht="56.95" hidden="false" customHeight="true" outlineLevel="0" collapsed="false">
      <c r="B33" s="8" t="s">
        <v>223</v>
      </c>
      <c r="C33" s="8" t="s">
        <v>37</v>
      </c>
      <c r="D33" s="21" t="s">
        <v>211</v>
      </c>
      <c r="E33" s="9" t="str">
        <f aca="false">D33&amp;C33</f>
        <v>ImpressionA</v>
      </c>
      <c r="F33" s="10"/>
      <c r="G33" s="19"/>
      <c r="H33" s="10" t="n">
        <v>1</v>
      </c>
      <c r="I33" s="12" t="s">
        <v>39</v>
      </c>
      <c r="J33" s="10" t="s">
        <v>221</v>
      </c>
      <c r="K33" s="10" t="s">
        <v>224</v>
      </c>
      <c r="L33" s="19"/>
      <c r="M33" s="10"/>
      <c r="N33" s="10"/>
      <c r="O33" s="10"/>
      <c r="P33" s="10"/>
      <c r="Q33" s="20"/>
      <c r="R33" s="10"/>
      <c r="S33" s="10"/>
      <c r="T33" s="10"/>
      <c r="U33" s="10"/>
      <c r="V33" s="19"/>
      <c r="W33" s="10"/>
      <c r="X33" s="10"/>
      <c r="Y33" s="10"/>
      <c r="Z33" s="10"/>
      <c r="AA33" s="10"/>
      <c r="AB33" s="10" t="n">
        <f aca="false">AD33+AA$2</f>
        <v>20</v>
      </c>
      <c r="AC33" s="10" t="n">
        <f aca="false">AB33+Z$2</f>
        <v>18.9</v>
      </c>
      <c r="AD33" s="10" t="n">
        <f aca="false">W$2+X$2*(H33-1)</f>
        <v>26</v>
      </c>
      <c r="AE33" s="10" t="n">
        <f aca="false">AG33+AA$2</f>
        <v>18.6</v>
      </c>
      <c r="AF33" s="10" t="n">
        <f aca="false">AE33+Z$2</f>
        <v>17.5</v>
      </c>
      <c r="AG33" s="10" t="n">
        <f aca="false">W$2+X$2*(M33-1)+Y$2</f>
        <v>24.6</v>
      </c>
      <c r="AH33" s="10" t="n">
        <f aca="false">AJ33+AA$2</f>
        <v>21.6</v>
      </c>
      <c r="AI33" s="10" t="n">
        <f aca="false">AH33+Z$2</f>
        <v>20.5</v>
      </c>
      <c r="AJ33" s="12" t="n">
        <f aca="false">W$2+X$2*(R33-1)+2*Y$2</f>
        <v>27.6</v>
      </c>
    </row>
    <row r="34" customFormat="false" ht="56.95" hidden="false" customHeight="true" outlineLevel="0" collapsed="false">
      <c r="B34" s="8" t="s">
        <v>225</v>
      </c>
      <c r="C34" s="8" t="s">
        <v>48</v>
      </c>
      <c r="D34" s="21" t="s">
        <v>211</v>
      </c>
      <c r="E34" s="9" t="str">
        <f aca="false">D34&amp;C34</f>
        <v>ImpressionB</v>
      </c>
      <c r="F34" s="10"/>
      <c r="G34" s="19"/>
      <c r="H34" s="10" t="n">
        <v>1</v>
      </c>
      <c r="I34" s="12" t="s">
        <v>39</v>
      </c>
      <c r="J34" s="10" t="s">
        <v>221</v>
      </c>
      <c r="K34" s="10" t="s">
        <v>226</v>
      </c>
      <c r="L34" s="19"/>
      <c r="M34" s="10"/>
      <c r="N34" s="10"/>
      <c r="O34" s="10"/>
      <c r="P34" s="10"/>
      <c r="Q34" s="20"/>
      <c r="R34" s="10"/>
      <c r="S34" s="10"/>
      <c r="T34" s="10"/>
      <c r="U34" s="10"/>
      <c r="V34" s="19"/>
      <c r="W34" s="10"/>
      <c r="X34" s="10"/>
      <c r="Y34" s="10"/>
      <c r="Z34" s="10"/>
      <c r="AA34" s="10"/>
      <c r="AB34" s="10" t="n">
        <f aca="false">AD34+AA$2</f>
        <v>20</v>
      </c>
      <c r="AC34" s="10" t="n">
        <f aca="false">AB34+Z$2</f>
        <v>18.9</v>
      </c>
      <c r="AD34" s="10" t="n">
        <f aca="false">W$2+X$2*(H34-1)</f>
        <v>26</v>
      </c>
      <c r="AE34" s="10" t="n">
        <f aca="false">AG34+AA$2</f>
        <v>18.6</v>
      </c>
      <c r="AF34" s="10" t="n">
        <f aca="false">AE34+Z$2</f>
        <v>17.5</v>
      </c>
      <c r="AG34" s="10" t="n">
        <f aca="false">W$2+X$2*(M34-1)+Y$2</f>
        <v>24.6</v>
      </c>
      <c r="AH34" s="10" t="n">
        <f aca="false">AJ34+AA$2</f>
        <v>21.6</v>
      </c>
      <c r="AI34" s="10" t="n">
        <f aca="false">AH34+Z$2</f>
        <v>20.5</v>
      </c>
      <c r="AJ34" s="12" t="n">
        <f aca="false">W$2+X$2*(R34-1)+2*Y$2</f>
        <v>27.6</v>
      </c>
    </row>
    <row r="35" customFormat="false" ht="56.95" hidden="false" customHeight="true" outlineLevel="0" collapsed="false">
      <c r="B35" s="8" t="s">
        <v>227</v>
      </c>
      <c r="C35" s="8" t="s">
        <v>48</v>
      </c>
      <c r="D35" s="21" t="s">
        <v>211</v>
      </c>
      <c r="E35" s="9" t="str">
        <f aca="false">D35&amp;C35</f>
        <v>ImpressionB</v>
      </c>
      <c r="F35" s="10"/>
      <c r="G35" s="11"/>
      <c r="H35" s="10" t="n">
        <v>1</v>
      </c>
      <c r="I35" s="12" t="s">
        <v>154</v>
      </c>
      <c r="J35" s="12" t="s">
        <v>228</v>
      </c>
      <c r="K35" s="12" t="s">
        <v>229</v>
      </c>
      <c r="L35" s="11"/>
      <c r="M35" s="10"/>
      <c r="N35" s="12"/>
      <c r="O35" s="12"/>
      <c r="P35" s="10"/>
      <c r="Q35" s="13"/>
      <c r="R35" s="10"/>
      <c r="S35" s="12"/>
      <c r="T35" s="12"/>
      <c r="U35" s="10"/>
      <c r="V35" s="11"/>
      <c r="W35" s="10"/>
      <c r="X35" s="10"/>
      <c r="Y35" s="10"/>
      <c r="Z35" s="10"/>
      <c r="AA35" s="10"/>
      <c r="AB35" s="10" t="n">
        <f aca="false">AD35+AA$2</f>
        <v>20</v>
      </c>
      <c r="AC35" s="10" t="n">
        <f aca="false">AB35+Z$2</f>
        <v>18.9</v>
      </c>
      <c r="AD35" s="10" t="n">
        <f aca="false">W$2+X$2*(H35-1)</f>
        <v>26</v>
      </c>
      <c r="AE35" s="10" t="n">
        <f aca="false">AG35+AA$2</f>
        <v>18.6</v>
      </c>
      <c r="AF35" s="10" t="n">
        <f aca="false">AE35+Z$2</f>
        <v>17.5</v>
      </c>
      <c r="AG35" s="10" t="n">
        <f aca="false">W$2+X$2*(M35-1)+Y$2</f>
        <v>24.6</v>
      </c>
      <c r="AH35" s="10" t="n">
        <f aca="false">AJ35+AA$2</f>
        <v>21.6</v>
      </c>
      <c r="AI35" s="10" t="n">
        <f aca="false">AH35+Z$2</f>
        <v>20.5</v>
      </c>
      <c r="AJ35" s="12" t="n">
        <f aca="false">W$2+X$2*(R35-1)+2*Y$2</f>
        <v>27.6</v>
      </c>
    </row>
    <row r="36" customFormat="false" ht="56.95" hidden="false" customHeight="true" outlineLevel="0" collapsed="false">
      <c r="B36" s="8" t="s">
        <v>230</v>
      </c>
      <c r="C36" s="8" t="s">
        <v>37</v>
      </c>
      <c r="D36" s="21" t="s">
        <v>211</v>
      </c>
      <c r="E36" s="9" t="str">
        <f aca="false">D36&amp;C36</f>
        <v>ImpressionA</v>
      </c>
      <c r="F36" s="10"/>
      <c r="G36" s="11"/>
      <c r="H36" s="10" t="n">
        <v>1</v>
      </c>
      <c r="I36" s="12" t="s">
        <v>39</v>
      </c>
      <c r="J36" s="12" t="s">
        <v>221</v>
      </c>
      <c r="K36" s="12" t="s">
        <v>231</v>
      </c>
      <c r="L36" s="11"/>
      <c r="M36" s="10"/>
      <c r="N36" s="12"/>
      <c r="O36" s="12"/>
      <c r="P36" s="10"/>
      <c r="Q36" s="13"/>
      <c r="R36" s="10"/>
      <c r="S36" s="12"/>
      <c r="T36" s="12"/>
      <c r="U36" s="10"/>
      <c r="V36" s="11"/>
      <c r="W36" s="10"/>
      <c r="X36" s="10"/>
      <c r="Y36" s="10"/>
      <c r="Z36" s="10"/>
      <c r="AA36" s="10"/>
      <c r="AB36" s="10" t="n">
        <f aca="false">AD36+AA$2</f>
        <v>20</v>
      </c>
      <c r="AC36" s="10" t="n">
        <f aca="false">AB36+Z$2</f>
        <v>18.9</v>
      </c>
      <c r="AD36" s="10" t="n">
        <f aca="false">W$2+X$2*(H36-1)</f>
        <v>26</v>
      </c>
      <c r="AE36" s="10" t="n">
        <f aca="false">AG36+AA$2</f>
        <v>18.6</v>
      </c>
      <c r="AF36" s="10" t="n">
        <f aca="false">AE36+Z$2</f>
        <v>17.5</v>
      </c>
      <c r="AG36" s="10" t="n">
        <f aca="false">W$2+X$2*(M36-1)+Y$2</f>
        <v>24.6</v>
      </c>
      <c r="AH36" s="10" t="n">
        <f aca="false">AJ36+AA$2</f>
        <v>21.6</v>
      </c>
      <c r="AI36" s="10" t="n">
        <f aca="false">AH36+Z$2</f>
        <v>20.5</v>
      </c>
      <c r="AJ36" s="12" t="n">
        <f aca="false">W$2+X$2*(R36-1)+2*Y$2</f>
        <v>27.6</v>
      </c>
    </row>
    <row r="37" customFormat="false" ht="56.95" hidden="false" customHeight="true" outlineLevel="0" collapsed="false">
      <c r="B37" s="8" t="s">
        <v>232</v>
      </c>
      <c r="C37" s="8" t="s">
        <v>48</v>
      </c>
      <c r="D37" s="21" t="s">
        <v>211</v>
      </c>
      <c r="E37" s="9" t="str">
        <f aca="false">D37&amp;C37</f>
        <v>ImpressionB</v>
      </c>
      <c r="F37" s="10"/>
      <c r="G37" s="11"/>
      <c r="H37" s="10" t="n">
        <v>1</v>
      </c>
      <c r="I37" s="12" t="s">
        <v>39</v>
      </c>
      <c r="J37" s="12" t="s">
        <v>233</v>
      </c>
      <c r="K37" s="10" t="s">
        <v>234</v>
      </c>
      <c r="L37" s="11"/>
      <c r="M37" s="10" t="n">
        <v>10.5</v>
      </c>
      <c r="N37" s="12" t="s">
        <v>53</v>
      </c>
      <c r="O37" s="12" t="s">
        <v>54</v>
      </c>
      <c r="P37" s="12" t="s">
        <v>235</v>
      </c>
      <c r="Q37" s="13"/>
      <c r="R37" s="10"/>
      <c r="S37" s="12"/>
      <c r="T37" s="12"/>
      <c r="U37" s="12"/>
      <c r="V37" s="11"/>
      <c r="W37" s="10"/>
      <c r="X37" s="10"/>
      <c r="Y37" s="10"/>
      <c r="Z37" s="10"/>
      <c r="AA37" s="10"/>
      <c r="AB37" s="10" t="n">
        <f aca="false">AD37+AA$2</f>
        <v>20</v>
      </c>
      <c r="AC37" s="10" t="n">
        <f aca="false">AB37+Z$2</f>
        <v>18.9</v>
      </c>
      <c r="AD37" s="10" t="n">
        <f aca="false">W$2+X$2*(H37-1)</f>
        <v>26</v>
      </c>
      <c r="AE37" s="10" t="n">
        <f aca="false">AG37+AA$2</f>
        <v>64.8</v>
      </c>
      <c r="AF37" s="10" t="n">
        <f aca="false">AE37+Z$2</f>
        <v>63.7</v>
      </c>
      <c r="AG37" s="10" t="n">
        <f aca="false">W$2+X$2*(M37-1)+Y$2</f>
        <v>70.8</v>
      </c>
      <c r="AH37" s="10" t="n">
        <f aca="false">AJ37+AA$2</f>
        <v>21.6</v>
      </c>
      <c r="AI37" s="10" t="n">
        <f aca="false">AH37+Z$2</f>
        <v>20.5</v>
      </c>
      <c r="AJ37" s="12" t="n">
        <f aca="false">W$2+X$2*(R37-1)+2*Y$2</f>
        <v>27.6</v>
      </c>
    </row>
    <row r="38" customFormat="false" ht="56.95" hidden="false" customHeight="true" outlineLevel="0" collapsed="false">
      <c r="B38" s="8" t="s">
        <v>236</v>
      </c>
      <c r="C38" s="8" t="s">
        <v>48</v>
      </c>
      <c r="D38" s="21" t="s">
        <v>211</v>
      </c>
      <c r="E38" s="9" t="str">
        <f aca="false">D38&amp;C38</f>
        <v>ImpressionB</v>
      </c>
      <c r="F38" s="10"/>
      <c r="G38" s="11"/>
      <c r="H38" s="10" t="n">
        <v>1</v>
      </c>
      <c r="I38" s="12" t="s">
        <v>154</v>
      </c>
      <c r="J38" s="12" t="s">
        <v>237</v>
      </c>
      <c r="K38" s="12" t="s">
        <v>238</v>
      </c>
      <c r="L38" s="11"/>
      <c r="M38" s="10"/>
      <c r="N38" s="12"/>
      <c r="O38" s="12"/>
      <c r="P38" s="10"/>
      <c r="Q38" s="13"/>
      <c r="R38" s="10"/>
      <c r="S38" s="12"/>
      <c r="T38" s="12"/>
      <c r="U38" s="10"/>
      <c r="V38" s="11"/>
      <c r="W38" s="10"/>
      <c r="X38" s="10"/>
      <c r="Y38" s="10"/>
      <c r="Z38" s="10"/>
      <c r="AA38" s="10"/>
      <c r="AB38" s="10" t="n">
        <f aca="false">AD38+AA$2</f>
        <v>20</v>
      </c>
      <c r="AC38" s="10" t="n">
        <f aca="false">AB38+Z$2</f>
        <v>18.9</v>
      </c>
      <c r="AD38" s="10" t="n">
        <f aca="false">W$2+X$2*(H38-1)</f>
        <v>26</v>
      </c>
      <c r="AE38" s="10" t="n">
        <f aca="false">AG38+AA$2</f>
        <v>18.6</v>
      </c>
      <c r="AF38" s="10" t="n">
        <f aca="false">AE38+Z$2</f>
        <v>17.5</v>
      </c>
      <c r="AG38" s="10" t="n">
        <f aca="false">W$2+X$2*(M38-1)+Y$2</f>
        <v>24.6</v>
      </c>
      <c r="AH38" s="10" t="n">
        <f aca="false">AJ38+AA$2</f>
        <v>21.6</v>
      </c>
      <c r="AI38" s="10" t="n">
        <f aca="false">AH38+Z$2</f>
        <v>20.5</v>
      </c>
      <c r="AJ38" s="12" t="n">
        <f aca="false">W$2+X$2*(R38-1)+2*Y$2</f>
        <v>27.6</v>
      </c>
    </row>
    <row r="39" customFormat="false" ht="56.95" hidden="false" customHeight="true" outlineLevel="0" collapsed="false">
      <c r="B39" s="8" t="s">
        <v>239</v>
      </c>
      <c r="C39" s="8" t="s">
        <v>48</v>
      </c>
      <c r="D39" s="21" t="s">
        <v>211</v>
      </c>
      <c r="E39" s="9" t="str">
        <f aca="false">D39&amp;C39</f>
        <v>ImpressionB</v>
      </c>
      <c r="F39" s="10"/>
      <c r="G39" s="11"/>
      <c r="H39" s="10" t="n">
        <v>1</v>
      </c>
      <c r="I39" s="12" t="s">
        <v>39</v>
      </c>
      <c r="J39" s="12" t="s">
        <v>221</v>
      </c>
      <c r="K39" s="12" t="s">
        <v>240</v>
      </c>
      <c r="L39" s="11"/>
      <c r="M39" s="10"/>
      <c r="N39" s="12"/>
      <c r="O39" s="12"/>
      <c r="P39" s="10"/>
      <c r="Q39" s="13"/>
      <c r="R39" s="10"/>
      <c r="S39" s="12"/>
      <c r="T39" s="12"/>
      <c r="U39" s="10"/>
      <c r="V39" s="11"/>
      <c r="W39" s="10"/>
      <c r="X39" s="10"/>
      <c r="Y39" s="10"/>
      <c r="Z39" s="10"/>
      <c r="AA39" s="10"/>
      <c r="AB39" s="10" t="n">
        <f aca="false">AD39+AA$2</f>
        <v>20</v>
      </c>
      <c r="AC39" s="10" t="n">
        <f aca="false">AB39+Z$2</f>
        <v>18.9</v>
      </c>
      <c r="AD39" s="10" t="n">
        <f aca="false">W$2+X$2*(H39-1)</f>
        <v>26</v>
      </c>
      <c r="AE39" s="10" t="n">
        <f aca="false">AG39+AA$2</f>
        <v>18.6</v>
      </c>
      <c r="AF39" s="10" t="n">
        <f aca="false">AE39+Z$2</f>
        <v>17.5</v>
      </c>
      <c r="AG39" s="10" t="n">
        <f aca="false">W$2+X$2*(M39-1)+Y$2</f>
        <v>24.6</v>
      </c>
      <c r="AH39" s="10" t="n">
        <f aca="false">AJ39+AA$2</f>
        <v>21.6</v>
      </c>
      <c r="AI39" s="10" t="n">
        <f aca="false">AH39+Z$2</f>
        <v>20.5</v>
      </c>
      <c r="AJ39" s="12" t="n">
        <f aca="false">W$2+X$2*(R39-1)+2*Y$2</f>
        <v>27.6</v>
      </c>
    </row>
    <row r="40" customFormat="false" ht="56.95" hidden="false" customHeight="true" outlineLevel="0" collapsed="false">
      <c r="B40" s="8" t="s">
        <v>241</v>
      </c>
      <c r="C40" s="8" t="s">
        <v>48</v>
      </c>
      <c r="D40" s="21" t="s">
        <v>211</v>
      </c>
      <c r="E40" s="9" t="str">
        <f aca="false">D40&amp;C40</f>
        <v>ImpressionB</v>
      </c>
      <c r="F40" s="10"/>
      <c r="G40" s="11"/>
      <c r="H40" s="10" t="n">
        <v>1</v>
      </c>
      <c r="I40" s="12" t="s">
        <v>39</v>
      </c>
      <c r="J40" s="12" t="s">
        <v>221</v>
      </c>
      <c r="K40" s="12" t="s">
        <v>242</v>
      </c>
      <c r="L40" s="11"/>
      <c r="M40" s="10"/>
      <c r="N40" s="12"/>
      <c r="O40" s="12"/>
      <c r="P40" s="10"/>
      <c r="Q40" s="13"/>
      <c r="R40" s="10"/>
      <c r="S40" s="12"/>
      <c r="T40" s="12"/>
      <c r="U40" s="10"/>
      <c r="V40" s="11"/>
      <c r="W40" s="10"/>
      <c r="X40" s="10"/>
      <c r="Y40" s="10"/>
      <c r="Z40" s="10"/>
      <c r="AA40" s="10"/>
      <c r="AB40" s="10" t="n">
        <f aca="false">AD40+AA$2</f>
        <v>20</v>
      </c>
      <c r="AC40" s="10" t="n">
        <f aca="false">AB40+Z$2</f>
        <v>18.9</v>
      </c>
      <c r="AD40" s="10" t="n">
        <f aca="false">W$2+X$2*(H40-1)</f>
        <v>26</v>
      </c>
      <c r="AE40" s="10" t="n">
        <f aca="false">AG40+AA$2</f>
        <v>18.6</v>
      </c>
      <c r="AF40" s="10" t="n">
        <f aca="false">AE40+Z$2</f>
        <v>17.5</v>
      </c>
      <c r="AG40" s="10" t="n">
        <f aca="false">W$2+X$2*(M40-1)+Y$2</f>
        <v>24.6</v>
      </c>
      <c r="AH40" s="10" t="n">
        <f aca="false">AJ40+AA$2</f>
        <v>21.6</v>
      </c>
      <c r="AI40" s="10" t="n">
        <f aca="false">AH40+Z$2</f>
        <v>20.5</v>
      </c>
      <c r="AJ40" s="12" t="n">
        <f aca="false">W$2+X$2*(R40-1)+2*Y$2</f>
        <v>27.6</v>
      </c>
    </row>
    <row r="41" customFormat="false" ht="56.95" hidden="false" customHeight="true" outlineLevel="0" collapsed="false">
      <c r="B41" s="8" t="s">
        <v>243</v>
      </c>
      <c r="C41" s="8" t="s">
        <v>48</v>
      </c>
      <c r="D41" s="21" t="s">
        <v>211</v>
      </c>
      <c r="E41" s="9" t="str">
        <f aca="false">D41&amp;C41</f>
        <v>ImpressionB</v>
      </c>
      <c r="F41" s="10" t="s">
        <v>244</v>
      </c>
      <c r="G41" s="11"/>
      <c r="H41" s="10" t="n">
        <v>1</v>
      </c>
      <c r="I41" s="10" t="s">
        <v>42</v>
      </c>
      <c r="J41" s="12" t="s">
        <v>245</v>
      </c>
      <c r="K41" s="12" t="s">
        <v>246</v>
      </c>
      <c r="L41" s="11"/>
      <c r="M41" s="10"/>
      <c r="N41" s="12"/>
      <c r="O41" s="12"/>
      <c r="P41" s="10"/>
      <c r="Q41" s="13"/>
      <c r="R41" s="10"/>
      <c r="S41" s="12"/>
      <c r="T41" s="12"/>
      <c r="U41" s="10"/>
      <c r="V41" s="11"/>
      <c r="W41" s="10"/>
      <c r="X41" s="10"/>
      <c r="Y41" s="10"/>
      <c r="Z41" s="10"/>
      <c r="AA41" s="10"/>
      <c r="AB41" s="10" t="n">
        <f aca="false">AD41+AA$2</f>
        <v>20</v>
      </c>
      <c r="AC41" s="10" t="n">
        <f aca="false">AB41+Z$2</f>
        <v>18.9</v>
      </c>
      <c r="AD41" s="10" t="n">
        <f aca="false">W$2+X$2*(H41-1)</f>
        <v>26</v>
      </c>
      <c r="AE41" s="10" t="n">
        <f aca="false">AG41+AA$2</f>
        <v>18.6</v>
      </c>
      <c r="AF41" s="10" t="n">
        <f aca="false">AE41+Z$2</f>
        <v>17.5</v>
      </c>
      <c r="AG41" s="10" t="n">
        <f aca="false">W$2+X$2*(M41-1)+Y$2</f>
        <v>24.6</v>
      </c>
      <c r="AH41" s="10" t="n">
        <f aca="false">AJ41+AA$2</f>
        <v>21.6</v>
      </c>
      <c r="AI41" s="10" t="n">
        <f aca="false">AH41+Z$2</f>
        <v>20.5</v>
      </c>
      <c r="AJ41" s="12" t="n">
        <f aca="false">W$2+X$2*(R41-1)+2*Y$2</f>
        <v>27.6</v>
      </c>
    </row>
    <row r="42" customFormat="false" ht="56.95" hidden="false" customHeight="true" outlineLevel="0" collapsed="false">
      <c r="B42" s="8" t="s">
        <v>247</v>
      </c>
      <c r="C42" s="8" t="s">
        <v>37</v>
      </c>
      <c r="D42" s="21" t="s">
        <v>211</v>
      </c>
      <c r="E42" s="9" t="str">
        <f aca="false">D42&amp;C42</f>
        <v>ImpressionA</v>
      </c>
      <c r="F42" s="10"/>
      <c r="G42" s="11"/>
      <c r="H42" s="10" t="n">
        <v>1</v>
      </c>
      <c r="I42" s="10" t="s">
        <v>42</v>
      </c>
      <c r="J42" s="12" t="s">
        <v>248</v>
      </c>
      <c r="K42" s="12" t="s">
        <v>249</v>
      </c>
      <c r="L42" s="11"/>
      <c r="M42" s="10" t="n">
        <v>8.4</v>
      </c>
      <c r="N42" s="12" t="s">
        <v>39</v>
      </c>
      <c r="O42" s="12" t="s">
        <v>250</v>
      </c>
      <c r="P42" s="10" t="s">
        <v>251</v>
      </c>
      <c r="Q42" s="13"/>
      <c r="R42" s="10"/>
      <c r="S42" s="12"/>
      <c r="T42" s="12"/>
      <c r="U42" s="10"/>
      <c r="V42" s="11"/>
      <c r="W42" s="10"/>
      <c r="X42" s="10"/>
      <c r="Y42" s="10"/>
      <c r="Z42" s="10"/>
      <c r="AA42" s="10"/>
      <c r="AB42" s="10" t="n">
        <f aca="false">AD42+AA$2</f>
        <v>20</v>
      </c>
      <c r="AC42" s="10" t="n">
        <f aca="false">AB42+Z$2</f>
        <v>18.9</v>
      </c>
      <c r="AD42" s="10" t="n">
        <f aca="false">W$2+X$2*(H42-1)</f>
        <v>26</v>
      </c>
      <c r="AE42" s="10" t="n">
        <f aca="false">AG42+AA$2</f>
        <v>55.56</v>
      </c>
      <c r="AF42" s="10" t="n">
        <f aca="false">AE42+Z$2</f>
        <v>54.46</v>
      </c>
      <c r="AG42" s="10" t="n">
        <f aca="false">W$2+X$2*(M42-1)+Y$2</f>
        <v>61.56</v>
      </c>
      <c r="AH42" s="10" t="n">
        <f aca="false">AJ42+AA$2</f>
        <v>21.6</v>
      </c>
      <c r="AI42" s="10" t="n">
        <f aca="false">AH42+Z$2</f>
        <v>20.5</v>
      </c>
      <c r="AJ42" s="12" t="n">
        <f aca="false">W$2+X$2*(R42-1)+2*Y$2</f>
        <v>27.6</v>
      </c>
    </row>
    <row r="43" customFormat="false" ht="56.95" hidden="false" customHeight="true" outlineLevel="0" collapsed="false">
      <c r="B43" s="8" t="s">
        <v>252</v>
      </c>
      <c r="C43" s="8" t="s">
        <v>48</v>
      </c>
      <c r="D43" s="21" t="s">
        <v>211</v>
      </c>
      <c r="E43" s="9" t="str">
        <f aca="false">D43&amp;C43</f>
        <v>ImpressionB</v>
      </c>
      <c r="F43" s="10"/>
      <c r="G43" s="11"/>
      <c r="H43" s="10" t="n">
        <v>1</v>
      </c>
      <c r="I43" s="12" t="s">
        <v>39</v>
      </c>
      <c r="J43" s="12" t="s">
        <v>221</v>
      </c>
      <c r="K43" s="12" t="s">
        <v>253</v>
      </c>
      <c r="L43" s="11"/>
      <c r="M43" s="10"/>
      <c r="N43" s="12"/>
      <c r="O43" s="12"/>
      <c r="P43" s="10"/>
      <c r="Q43" s="13"/>
      <c r="R43" s="10"/>
      <c r="S43" s="12"/>
      <c r="T43" s="12"/>
      <c r="U43" s="10"/>
      <c r="V43" s="11"/>
      <c r="W43" s="10"/>
      <c r="X43" s="10"/>
      <c r="Y43" s="10"/>
      <c r="Z43" s="10"/>
      <c r="AA43" s="10"/>
      <c r="AB43" s="10" t="n">
        <f aca="false">AD43+AA$2</f>
        <v>20</v>
      </c>
      <c r="AC43" s="10" t="n">
        <f aca="false">AB43+Z$2</f>
        <v>18.9</v>
      </c>
      <c r="AD43" s="10" t="n">
        <f aca="false">W$2+X$2*(H43-1)</f>
        <v>26</v>
      </c>
      <c r="AE43" s="10" t="n">
        <f aca="false">AG43+AA$2</f>
        <v>18.6</v>
      </c>
      <c r="AF43" s="10" t="n">
        <f aca="false">AE43+Z$2</f>
        <v>17.5</v>
      </c>
      <c r="AG43" s="10" t="n">
        <f aca="false">W$2+X$2*(M43-1)+Y$2</f>
        <v>24.6</v>
      </c>
      <c r="AH43" s="10" t="n">
        <f aca="false">AJ43+AA$2</f>
        <v>21.6</v>
      </c>
      <c r="AI43" s="10" t="n">
        <f aca="false">AH43+Z$2</f>
        <v>20.5</v>
      </c>
      <c r="AJ43" s="12" t="n">
        <f aca="false">W$2+X$2*(R43-1)+2*Y$2</f>
        <v>27.6</v>
      </c>
    </row>
    <row r="44" customFormat="false" ht="56.95" hidden="false" customHeight="true" outlineLevel="0" collapsed="false">
      <c r="B44" s="8" t="s">
        <v>254</v>
      </c>
      <c r="C44" s="8" t="s">
        <v>48</v>
      </c>
      <c r="D44" s="21" t="s">
        <v>211</v>
      </c>
      <c r="E44" s="9" t="str">
        <f aca="false">D44&amp;C44</f>
        <v>ImpressionB</v>
      </c>
      <c r="F44" s="10"/>
      <c r="G44" s="11"/>
      <c r="H44" s="10" t="n">
        <v>10</v>
      </c>
      <c r="I44" s="12" t="s">
        <v>53</v>
      </c>
      <c r="J44" s="12" t="s">
        <v>54</v>
      </c>
      <c r="K44" s="12" t="s">
        <v>255</v>
      </c>
      <c r="L44" s="11"/>
      <c r="M44" s="10"/>
      <c r="N44" s="12"/>
      <c r="O44" s="12"/>
      <c r="P44" s="10"/>
      <c r="Q44" s="13"/>
      <c r="R44" s="10"/>
      <c r="S44" s="12"/>
      <c r="T44" s="12"/>
      <c r="U44" s="10"/>
      <c r="V44" s="11"/>
      <c r="W44" s="10"/>
      <c r="X44" s="10"/>
      <c r="Y44" s="10"/>
      <c r="Z44" s="10"/>
      <c r="AA44" s="10"/>
      <c r="AB44" s="10" t="n">
        <f aca="false">AD44+AA$2</f>
        <v>59.6</v>
      </c>
      <c r="AC44" s="10" t="n">
        <f aca="false">AB44+Z$2</f>
        <v>58.5</v>
      </c>
      <c r="AD44" s="10" t="n">
        <f aca="false">W$2+X$2*(H44-1)</f>
        <v>65.6</v>
      </c>
      <c r="AE44" s="10" t="n">
        <f aca="false">AG44+AA$2</f>
        <v>18.6</v>
      </c>
      <c r="AF44" s="10" t="n">
        <f aca="false">AE44+Z$2</f>
        <v>17.5</v>
      </c>
      <c r="AG44" s="10" t="n">
        <f aca="false">W$2+X$2*(M44-1)+Y$2</f>
        <v>24.6</v>
      </c>
      <c r="AH44" s="10" t="n">
        <f aca="false">AJ44+AA$2</f>
        <v>21.6</v>
      </c>
      <c r="AI44" s="10" t="n">
        <f aca="false">AH44+Z$2</f>
        <v>20.5</v>
      </c>
      <c r="AJ44" s="12" t="n">
        <f aca="false">W$2+X$2*(R44-1)+2*Y$2</f>
        <v>27.6</v>
      </c>
    </row>
    <row r="45" customFormat="false" ht="56.95" hidden="false" customHeight="true" outlineLevel="0" collapsed="false">
      <c r="B45" s="8" t="s">
        <v>256</v>
      </c>
      <c r="C45" s="8" t="s">
        <v>37</v>
      </c>
      <c r="D45" s="21" t="s">
        <v>211</v>
      </c>
      <c r="E45" s="9" t="str">
        <f aca="false">D45&amp;C45</f>
        <v>ImpressionA</v>
      </c>
      <c r="F45" s="10"/>
      <c r="G45" s="11"/>
      <c r="H45" s="10" t="n">
        <v>1</v>
      </c>
      <c r="I45" s="12" t="s">
        <v>39</v>
      </c>
      <c r="J45" s="12" t="s">
        <v>257</v>
      </c>
      <c r="K45" s="12" t="s">
        <v>258</v>
      </c>
      <c r="L45" s="11"/>
      <c r="M45" s="10" t="n">
        <v>4</v>
      </c>
      <c r="N45" s="12" t="s">
        <v>42</v>
      </c>
      <c r="O45" s="12" t="s">
        <v>259</v>
      </c>
      <c r="P45" s="10" t="s">
        <v>260</v>
      </c>
      <c r="Q45" s="13"/>
      <c r="R45" s="10" t="n">
        <v>8</v>
      </c>
      <c r="S45" s="10" t="s">
        <v>42</v>
      </c>
      <c r="T45" s="12" t="s">
        <v>261</v>
      </c>
      <c r="U45" s="10" t="s">
        <v>262</v>
      </c>
      <c r="V45" s="11"/>
      <c r="W45" s="10"/>
      <c r="X45" s="10"/>
      <c r="Y45" s="10"/>
      <c r="Z45" s="10"/>
      <c r="AA45" s="10"/>
      <c r="AB45" s="10" t="n">
        <f aca="false">AD45+AA$2</f>
        <v>20</v>
      </c>
      <c r="AC45" s="10" t="n">
        <f aca="false">AB45+Z$2</f>
        <v>18.9</v>
      </c>
      <c r="AD45" s="10" t="n">
        <f aca="false">W$2+X$2*(H45-1)</f>
        <v>26</v>
      </c>
      <c r="AE45" s="10" t="n">
        <f aca="false">AG45+AA$2</f>
        <v>36.2</v>
      </c>
      <c r="AF45" s="10" t="n">
        <f aca="false">AE45+Z$2</f>
        <v>35.1</v>
      </c>
      <c r="AG45" s="10" t="n">
        <f aca="false">W$2+X$2*(M45-1)+Y$2</f>
        <v>42.2</v>
      </c>
      <c r="AH45" s="10" t="n">
        <f aca="false">AJ45+AA$2</f>
        <v>56.8</v>
      </c>
      <c r="AI45" s="10" t="n">
        <f aca="false">AH45+Z$2</f>
        <v>55.7</v>
      </c>
      <c r="AJ45" s="12" t="n">
        <f aca="false">W$2+X$2*(R45-1)+2*Y$2</f>
        <v>62.8</v>
      </c>
    </row>
    <row r="46" customFormat="false" ht="56.95" hidden="false" customHeight="true" outlineLevel="0" collapsed="false">
      <c r="B46" s="8" t="s">
        <v>263</v>
      </c>
      <c r="C46" s="8" t="s">
        <v>48</v>
      </c>
      <c r="D46" s="21" t="s">
        <v>211</v>
      </c>
      <c r="E46" s="9" t="str">
        <f aca="false">D46&amp;C46</f>
        <v>ImpressionB</v>
      </c>
      <c r="F46" s="12"/>
      <c r="G46" s="11"/>
      <c r="H46" s="10" t="n">
        <v>1</v>
      </c>
      <c r="I46" s="12" t="s">
        <v>39</v>
      </c>
      <c r="J46" s="12" t="s">
        <v>264</v>
      </c>
      <c r="K46" s="12" t="s">
        <v>265</v>
      </c>
      <c r="L46" s="11"/>
      <c r="M46" s="10" t="n">
        <v>5</v>
      </c>
      <c r="N46" s="10" t="s">
        <v>39</v>
      </c>
      <c r="O46" s="10" t="s">
        <v>266</v>
      </c>
      <c r="P46" s="12" t="s">
        <v>267</v>
      </c>
      <c r="Q46" s="13"/>
      <c r="R46" s="10"/>
      <c r="S46" s="10"/>
      <c r="T46" s="10"/>
      <c r="U46" s="12"/>
      <c r="V46" s="11"/>
      <c r="W46" s="10"/>
      <c r="X46" s="10"/>
      <c r="Y46" s="10"/>
      <c r="Z46" s="10"/>
      <c r="AA46" s="10"/>
      <c r="AB46" s="10" t="n">
        <f aca="false">AD46+AA$2</f>
        <v>20</v>
      </c>
      <c r="AC46" s="10" t="n">
        <f aca="false">AB46+Z$2</f>
        <v>18.9</v>
      </c>
      <c r="AD46" s="10" t="n">
        <f aca="false">W$2+X$2*(H46-1)</f>
        <v>26</v>
      </c>
      <c r="AE46" s="10" t="n">
        <f aca="false">AG46+AA$2</f>
        <v>40.6</v>
      </c>
      <c r="AF46" s="10" t="n">
        <f aca="false">AE46+Z$2</f>
        <v>39.5</v>
      </c>
      <c r="AG46" s="10" t="n">
        <f aca="false">W$2+X$2*(M46-1)+Y$2</f>
        <v>46.6</v>
      </c>
      <c r="AH46" s="10" t="n">
        <f aca="false">AJ46+AA$2</f>
        <v>21.6</v>
      </c>
      <c r="AI46" s="10" t="n">
        <f aca="false">AH46+Z$2</f>
        <v>20.5</v>
      </c>
      <c r="AJ46" s="12" t="n">
        <f aca="false">W$2+X$2*(R46-1)+2*Y$2</f>
        <v>27.6</v>
      </c>
    </row>
    <row r="47" customFormat="false" ht="56.95" hidden="false" customHeight="true" outlineLevel="0" collapsed="false">
      <c r="B47" s="8" t="s">
        <v>268</v>
      </c>
      <c r="C47" s="8" t="s">
        <v>48</v>
      </c>
      <c r="D47" s="21" t="s">
        <v>211</v>
      </c>
      <c r="E47" s="9" t="str">
        <f aca="false">D47&amp;C47</f>
        <v>ImpressionB</v>
      </c>
      <c r="F47" s="10" t="s">
        <v>269</v>
      </c>
      <c r="G47" s="11"/>
      <c r="H47" s="10" t="n">
        <v>1</v>
      </c>
      <c r="I47" s="12" t="s">
        <v>154</v>
      </c>
      <c r="J47" s="12" t="s">
        <v>270</v>
      </c>
      <c r="K47" s="12" t="s">
        <v>271</v>
      </c>
      <c r="L47" s="11"/>
      <c r="M47" s="10"/>
      <c r="N47" s="12"/>
      <c r="O47" s="12"/>
      <c r="P47" s="10"/>
      <c r="Q47" s="13"/>
      <c r="R47" s="10"/>
      <c r="S47" s="12"/>
      <c r="T47" s="12"/>
      <c r="U47" s="10"/>
      <c r="V47" s="11"/>
      <c r="W47" s="10"/>
      <c r="X47" s="10"/>
      <c r="Y47" s="10"/>
      <c r="Z47" s="10"/>
      <c r="AA47" s="10"/>
      <c r="AB47" s="10" t="n">
        <f aca="false">AD47+AA$2</f>
        <v>20</v>
      </c>
      <c r="AC47" s="10" t="n">
        <f aca="false">AB47+Z$2</f>
        <v>18.9</v>
      </c>
      <c r="AD47" s="10" t="n">
        <f aca="false">W$2+X$2*(H47-1)</f>
        <v>26</v>
      </c>
      <c r="AE47" s="10" t="n">
        <f aca="false">AG47+AA$2</f>
        <v>18.6</v>
      </c>
      <c r="AF47" s="10" t="n">
        <f aca="false">AE47+Z$2</f>
        <v>17.5</v>
      </c>
      <c r="AG47" s="10" t="n">
        <f aca="false">W$2+X$2*(M47-1)+Y$2</f>
        <v>24.6</v>
      </c>
      <c r="AH47" s="10" t="n">
        <f aca="false">AJ47+AA$2</f>
        <v>21.6</v>
      </c>
      <c r="AI47" s="10" t="n">
        <f aca="false">AH47+Z$2</f>
        <v>20.5</v>
      </c>
      <c r="AJ47" s="12" t="n">
        <f aca="false">W$2+X$2*(R47-1)+2*Y$2</f>
        <v>27.6</v>
      </c>
    </row>
    <row r="48" customFormat="false" ht="56.95" hidden="false" customHeight="true" outlineLevel="0" collapsed="false">
      <c r="B48" s="8" t="s">
        <v>272</v>
      </c>
      <c r="C48" s="8" t="s">
        <v>37</v>
      </c>
      <c r="D48" s="21" t="s">
        <v>211</v>
      </c>
      <c r="E48" s="9" t="str">
        <f aca="false">D48&amp;C48</f>
        <v>ImpressionA</v>
      </c>
      <c r="F48" s="10"/>
      <c r="G48" s="11"/>
      <c r="H48" s="10" t="n">
        <v>1</v>
      </c>
      <c r="I48" s="12" t="s">
        <v>39</v>
      </c>
      <c r="J48" s="12" t="s">
        <v>273</v>
      </c>
      <c r="K48" s="10" t="s">
        <v>274</v>
      </c>
      <c r="L48" s="13"/>
      <c r="M48" s="10" t="n">
        <v>9</v>
      </c>
      <c r="N48" s="12" t="s">
        <v>53</v>
      </c>
      <c r="O48" s="12" t="s">
        <v>54</v>
      </c>
      <c r="P48" s="12" t="s">
        <v>275</v>
      </c>
      <c r="Q48" s="13"/>
      <c r="R48" s="10"/>
      <c r="S48" s="12"/>
      <c r="T48" s="12"/>
      <c r="U48" s="12"/>
      <c r="V48" s="11"/>
      <c r="W48" s="10"/>
      <c r="X48" s="10"/>
      <c r="Y48" s="10"/>
      <c r="Z48" s="10"/>
      <c r="AA48" s="10"/>
      <c r="AB48" s="10" t="n">
        <f aca="false">AD48+AA$2</f>
        <v>20</v>
      </c>
      <c r="AC48" s="10" t="n">
        <f aca="false">AB48+Z$2</f>
        <v>18.9</v>
      </c>
      <c r="AD48" s="10" t="n">
        <f aca="false">W$2+X$2*(H48-1)</f>
        <v>26</v>
      </c>
      <c r="AE48" s="10" t="n">
        <f aca="false">AG48+AA$2</f>
        <v>58.2</v>
      </c>
      <c r="AF48" s="10" t="n">
        <f aca="false">AE48+Z$2</f>
        <v>57.1</v>
      </c>
      <c r="AG48" s="10" t="n">
        <f aca="false">W$2+X$2*(M48-1)+Y$2</f>
        <v>64.2</v>
      </c>
      <c r="AH48" s="10" t="n">
        <f aca="false">AJ48+AA$2</f>
        <v>21.6</v>
      </c>
      <c r="AI48" s="10" t="n">
        <f aca="false">AH48+Z$2</f>
        <v>20.5</v>
      </c>
      <c r="AJ48" s="12" t="n">
        <f aca="false">W$2+X$2*(R48-1)+2*Y$2</f>
        <v>27.6</v>
      </c>
    </row>
    <row r="49" customFormat="false" ht="56.95" hidden="false" customHeight="true" outlineLevel="0" collapsed="false">
      <c r="B49" s="8" t="s">
        <v>276</v>
      </c>
      <c r="C49" s="8" t="s">
        <v>48</v>
      </c>
      <c r="D49" s="21" t="s">
        <v>211</v>
      </c>
      <c r="E49" s="9" t="str">
        <f aca="false">D49&amp;C49</f>
        <v>ImpressionB</v>
      </c>
      <c r="F49" s="10"/>
      <c r="G49" s="11"/>
      <c r="H49" s="10" t="n">
        <v>1</v>
      </c>
      <c r="I49" s="12" t="s">
        <v>39</v>
      </c>
      <c r="J49" s="12" t="s">
        <v>221</v>
      </c>
      <c r="K49" s="12" t="s">
        <v>277</v>
      </c>
      <c r="L49" s="11"/>
      <c r="M49" s="10"/>
      <c r="N49" s="12"/>
      <c r="O49" s="12"/>
      <c r="P49" s="10"/>
      <c r="Q49" s="13"/>
      <c r="R49" s="10"/>
      <c r="S49" s="12"/>
      <c r="T49" s="12"/>
      <c r="U49" s="10"/>
      <c r="V49" s="11"/>
      <c r="W49" s="10"/>
      <c r="X49" s="10"/>
      <c r="Y49" s="10"/>
      <c r="Z49" s="10"/>
      <c r="AA49" s="10"/>
      <c r="AB49" s="10" t="n">
        <f aca="false">AD49+AA$2</f>
        <v>20</v>
      </c>
      <c r="AC49" s="10" t="n">
        <f aca="false">AB49+Z$2</f>
        <v>18.9</v>
      </c>
      <c r="AD49" s="10" t="n">
        <f aca="false">W$2+X$2*(H49-1)</f>
        <v>26</v>
      </c>
      <c r="AE49" s="10" t="n">
        <f aca="false">AG49+AA$2</f>
        <v>18.6</v>
      </c>
      <c r="AF49" s="10" t="n">
        <f aca="false">AE49+Z$2</f>
        <v>17.5</v>
      </c>
      <c r="AG49" s="10" t="n">
        <f aca="false">W$2+X$2*(M49-1)+Y$2</f>
        <v>24.6</v>
      </c>
      <c r="AH49" s="10" t="n">
        <f aca="false">AJ49+AA$2</f>
        <v>21.6</v>
      </c>
      <c r="AI49" s="10" t="n">
        <f aca="false">AH49+Z$2</f>
        <v>20.5</v>
      </c>
      <c r="AJ49" s="12" t="n">
        <f aca="false">W$2+X$2*(R49-1)+2*Y$2</f>
        <v>27.6</v>
      </c>
    </row>
    <row r="50" customFormat="false" ht="56.95" hidden="false" customHeight="true" outlineLevel="0" collapsed="false">
      <c r="B50" s="8" t="s">
        <v>278</v>
      </c>
      <c r="C50" s="8" t="s">
        <v>37</v>
      </c>
      <c r="D50" s="21" t="s">
        <v>211</v>
      </c>
      <c r="E50" s="9" t="str">
        <f aca="false">D50&amp;C50</f>
        <v>ImpressionA</v>
      </c>
      <c r="F50" s="10"/>
      <c r="G50" s="11"/>
      <c r="H50" s="10" t="n">
        <v>1</v>
      </c>
      <c r="I50" s="12" t="s">
        <v>39</v>
      </c>
      <c r="J50" s="12" t="s">
        <v>279</v>
      </c>
      <c r="K50" s="12" t="s">
        <v>280</v>
      </c>
      <c r="L50" s="11"/>
      <c r="M50" s="10" t="n">
        <v>6</v>
      </c>
      <c r="N50" s="10" t="s">
        <v>39</v>
      </c>
      <c r="O50" s="12" t="s">
        <v>281</v>
      </c>
      <c r="P50" s="10" t="s">
        <v>282</v>
      </c>
      <c r="Q50" s="13"/>
      <c r="R50" s="10"/>
      <c r="S50" s="12"/>
      <c r="T50" s="12"/>
      <c r="U50" s="10"/>
      <c r="V50" s="11"/>
      <c r="W50" s="10"/>
      <c r="X50" s="10"/>
      <c r="Y50" s="10"/>
      <c r="Z50" s="10"/>
      <c r="AA50" s="10"/>
      <c r="AB50" s="10" t="n">
        <f aca="false">AD50+AA$2</f>
        <v>20</v>
      </c>
      <c r="AC50" s="10" t="n">
        <f aca="false">AB50+Z$2</f>
        <v>18.9</v>
      </c>
      <c r="AD50" s="10" t="n">
        <f aca="false">W$2+X$2*(H50-1)</f>
        <v>26</v>
      </c>
      <c r="AE50" s="10" t="n">
        <f aca="false">AG50+AA$2</f>
        <v>45</v>
      </c>
      <c r="AF50" s="10" t="n">
        <f aca="false">AE50+Z$2</f>
        <v>43.9</v>
      </c>
      <c r="AG50" s="10" t="n">
        <f aca="false">W$2+X$2*(M50-1)+Y$2</f>
        <v>51</v>
      </c>
      <c r="AH50" s="10" t="n">
        <f aca="false">AJ50+AA$2</f>
        <v>21.6</v>
      </c>
      <c r="AI50" s="10" t="n">
        <f aca="false">AH50+Z$2</f>
        <v>20.5</v>
      </c>
      <c r="AJ50" s="12" t="n">
        <f aca="false">W$2+X$2*(R50-1)+2*Y$2</f>
        <v>27.6</v>
      </c>
    </row>
    <row r="51" customFormat="false" ht="56.95" hidden="false" customHeight="true" outlineLevel="0" collapsed="false">
      <c r="B51" s="8" t="s">
        <v>283</v>
      </c>
      <c r="C51" s="8" t="s">
        <v>48</v>
      </c>
      <c r="D51" s="21" t="s">
        <v>211</v>
      </c>
      <c r="E51" s="9" t="str">
        <f aca="false">D51&amp;C51</f>
        <v>ImpressionB</v>
      </c>
      <c r="F51" s="10"/>
      <c r="G51" s="11"/>
      <c r="H51" s="10" t="n">
        <v>1</v>
      </c>
      <c r="I51" s="10" t="s">
        <v>42</v>
      </c>
      <c r="J51" s="12" t="s">
        <v>284</v>
      </c>
      <c r="K51" s="12" t="s">
        <v>285</v>
      </c>
      <c r="L51" s="11"/>
      <c r="M51" s="10"/>
      <c r="N51" s="12"/>
      <c r="O51" s="12"/>
      <c r="P51" s="10"/>
      <c r="Q51" s="13"/>
      <c r="R51" s="10"/>
      <c r="S51" s="12"/>
      <c r="T51" s="12"/>
      <c r="U51" s="10"/>
      <c r="V51" s="11"/>
      <c r="W51" s="10"/>
      <c r="X51" s="10"/>
      <c r="Y51" s="10"/>
      <c r="Z51" s="10"/>
      <c r="AA51" s="10"/>
      <c r="AB51" s="10" t="n">
        <f aca="false">AD51+AA$2</f>
        <v>20</v>
      </c>
      <c r="AC51" s="10" t="n">
        <f aca="false">AB51+Z$2</f>
        <v>18.9</v>
      </c>
      <c r="AD51" s="10" t="n">
        <f aca="false">W$2+X$2*(H51-1)</f>
        <v>26</v>
      </c>
      <c r="AE51" s="10" t="n">
        <f aca="false">AG51+AA$2</f>
        <v>18.6</v>
      </c>
      <c r="AF51" s="10" t="n">
        <f aca="false">AE51+Z$2</f>
        <v>17.5</v>
      </c>
      <c r="AG51" s="10" t="n">
        <f aca="false">W$2+X$2*(M51-1)+Y$2</f>
        <v>24.6</v>
      </c>
      <c r="AH51" s="10" t="n">
        <f aca="false">AJ51+AA$2</f>
        <v>21.6</v>
      </c>
      <c r="AI51" s="10" t="n">
        <f aca="false">AH51+Z$2</f>
        <v>20.5</v>
      </c>
      <c r="AJ51" s="12" t="n">
        <f aca="false">W$2+X$2*(R51-1)+2*Y$2</f>
        <v>27.6</v>
      </c>
    </row>
    <row r="52" customFormat="false" ht="56.95" hidden="false" customHeight="true" outlineLevel="0" collapsed="false">
      <c r="B52" s="8" t="s">
        <v>286</v>
      </c>
      <c r="C52" s="8" t="s">
        <v>48</v>
      </c>
      <c r="D52" s="21" t="s">
        <v>211</v>
      </c>
      <c r="E52" s="9" t="str">
        <f aca="false">D52&amp;C52</f>
        <v>ImpressionB</v>
      </c>
      <c r="F52" s="10"/>
      <c r="G52" s="11"/>
      <c r="H52" s="10" t="n">
        <v>1</v>
      </c>
      <c r="I52" s="10" t="s">
        <v>42</v>
      </c>
      <c r="J52" s="12" t="s">
        <v>287</v>
      </c>
      <c r="K52" s="12" t="s">
        <v>288</v>
      </c>
      <c r="L52" s="11"/>
      <c r="M52" s="10"/>
      <c r="N52" s="12"/>
      <c r="O52" s="12"/>
      <c r="P52" s="10"/>
      <c r="Q52" s="13"/>
      <c r="R52" s="10"/>
      <c r="S52" s="12"/>
      <c r="T52" s="12"/>
      <c r="U52" s="10"/>
      <c r="V52" s="11"/>
      <c r="W52" s="10"/>
      <c r="X52" s="10"/>
      <c r="Y52" s="10"/>
      <c r="Z52" s="10"/>
      <c r="AA52" s="10"/>
      <c r="AB52" s="10" t="n">
        <f aca="false">AD52+AA$2</f>
        <v>20</v>
      </c>
      <c r="AC52" s="10" t="n">
        <f aca="false">AB52+Z$2</f>
        <v>18.9</v>
      </c>
      <c r="AD52" s="10" t="n">
        <f aca="false">W$2+X$2*(H52-1)</f>
        <v>26</v>
      </c>
      <c r="AE52" s="10" t="n">
        <f aca="false">AG52+AA$2</f>
        <v>18.6</v>
      </c>
      <c r="AF52" s="10" t="n">
        <f aca="false">AE52+Z$2</f>
        <v>17.5</v>
      </c>
      <c r="AG52" s="10" t="n">
        <f aca="false">W$2+X$2*(M52-1)+Y$2</f>
        <v>24.6</v>
      </c>
      <c r="AH52" s="10" t="n">
        <f aca="false">AJ52+AA$2</f>
        <v>21.6</v>
      </c>
      <c r="AI52" s="10" t="n">
        <f aca="false">AH52+Z$2</f>
        <v>20.5</v>
      </c>
      <c r="AJ52" s="12" t="n">
        <f aca="false">W$2+X$2*(R52-1)+2*Y$2</f>
        <v>27.6</v>
      </c>
    </row>
    <row r="53" customFormat="false" ht="56.95" hidden="false" customHeight="true" outlineLevel="0" collapsed="false">
      <c r="B53" s="8" t="s">
        <v>289</v>
      </c>
      <c r="C53" s="8" t="s">
        <v>37</v>
      </c>
      <c r="D53" s="21" t="s">
        <v>211</v>
      </c>
      <c r="E53" s="9" t="str">
        <f aca="false">D53&amp;C53</f>
        <v>ImpressionA</v>
      </c>
      <c r="F53" s="10"/>
      <c r="G53" s="11"/>
      <c r="H53" s="10" t="n">
        <v>1</v>
      </c>
      <c r="I53" s="10" t="s">
        <v>42</v>
      </c>
      <c r="J53" s="12" t="s">
        <v>290</v>
      </c>
      <c r="K53" s="12" t="s">
        <v>291</v>
      </c>
      <c r="L53" s="11"/>
      <c r="M53" s="10"/>
      <c r="N53" s="12"/>
      <c r="O53" s="12"/>
      <c r="P53" s="10"/>
      <c r="Q53" s="13"/>
      <c r="R53" s="10"/>
      <c r="S53" s="12"/>
      <c r="T53" s="12"/>
      <c r="U53" s="10"/>
      <c r="V53" s="11"/>
      <c r="W53" s="10"/>
      <c r="X53" s="10"/>
      <c r="Y53" s="10"/>
      <c r="Z53" s="10"/>
      <c r="AA53" s="10"/>
      <c r="AB53" s="10" t="n">
        <f aca="false">AD53+AA$2</f>
        <v>20</v>
      </c>
      <c r="AC53" s="10" t="n">
        <f aca="false">AB53+Z$2</f>
        <v>18.9</v>
      </c>
      <c r="AD53" s="10" t="n">
        <f aca="false">W$2+X$2*(H53-1)</f>
        <v>26</v>
      </c>
      <c r="AE53" s="10" t="n">
        <f aca="false">AG53+AA$2</f>
        <v>18.6</v>
      </c>
      <c r="AF53" s="10" t="n">
        <f aca="false">AE53+Z$2</f>
        <v>17.5</v>
      </c>
      <c r="AG53" s="10" t="n">
        <f aca="false">W$2+X$2*(M53-1)+Y$2</f>
        <v>24.6</v>
      </c>
      <c r="AH53" s="10" t="n">
        <f aca="false">AJ53+AA$2</f>
        <v>21.6</v>
      </c>
      <c r="AI53" s="10" t="n">
        <f aca="false">AH53+Z$2</f>
        <v>20.5</v>
      </c>
      <c r="AJ53" s="12" t="n">
        <f aca="false">W$2+X$2*(R53-1)+2*Y$2</f>
        <v>27.6</v>
      </c>
    </row>
    <row r="54" customFormat="false" ht="56.95" hidden="false" customHeight="true" outlineLevel="0" collapsed="false">
      <c r="B54" s="8" t="s">
        <v>292</v>
      </c>
      <c r="C54" s="8" t="s">
        <v>48</v>
      </c>
      <c r="D54" s="21" t="s">
        <v>211</v>
      </c>
      <c r="E54" s="9" t="str">
        <f aca="false">D54&amp;C54</f>
        <v>ImpressionB</v>
      </c>
      <c r="F54" s="10"/>
      <c r="G54" s="11"/>
      <c r="H54" s="10" t="n">
        <v>1</v>
      </c>
      <c r="I54" s="10" t="s">
        <v>42</v>
      </c>
      <c r="J54" s="12" t="s">
        <v>293</v>
      </c>
      <c r="K54" s="12" t="s">
        <v>294</v>
      </c>
      <c r="L54" s="11"/>
      <c r="M54" s="10"/>
      <c r="N54" s="12"/>
      <c r="O54" s="12"/>
      <c r="P54" s="10"/>
      <c r="Q54" s="13"/>
      <c r="R54" s="10"/>
      <c r="S54" s="12"/>
      <c r="T54" s="12"/>
      <c r="U54" s="10"/>
      <c r="V54" s="11"/>
      <c r="W54" s="10"/>
      <c r="X54" s="10"/>
      <c r="Y54" s="10"/>
      <c r="Z54" s="10"/>
      <c r="AA54" s="10"/>
      <c r="AB54" s="10" t="n">
        <f aca="false">AD54+AA$2</f>
        <v>20</v>
      </c>
      <c r="AC54" s="10" t="n">
        <f aca="false">AB54+Z$2</f>
        <v>18.9</v>
      </c>
      <c r="AD54" s="10" t="n">
        <f aca="false">W$2+X$2*(H54-1)</f>
        <v>26</v>
      </c>
      <c r="AE54" s="10" t="n">
        <f aca="false">AG54+AA$2</f>
        <v>18.6</v>
      </c>
      <c r="AF54" s="10" t="n">
        <f aca="false">AE54+Z$2</f>
        <v>17.5</v>
      </c>
      <c r="AG54" s="10" t="n">
        <f aca="false">W$2+X$2*(M54-1)+Y$2</f>
        <v>24.6</v>
      </c>
      <c r="AH54" s="10" t="n">
        <f aca="false">AJ54+AA$2</f>
        <v>21.6</v>
      </c>
      <c r="AI54" s="10" t="n">
        <f aca="false">AH54+Z$2</f>
        <v>20.5</v>
      </c>
      <c r="AJ54" s="12" t="n">
        <f aca="false">W$2+X$2*(R54-1)+2*Y$2</f>
        <v>27.6</v>
      </c>
    </row>
    <row r="55" customFormat="false" ht="56.95" hidden="false" customHeight="true" outlineLevel="0" collapsed="false">
      <c r="B55" s="8" t="s">
        <v>295</v>
      </c>
      <c r="C55" s="8" t="s">
        <v>48</v>
      </c>
      <c r="D55" s="21" t="s">
        <v>211</v>
      </c>
      <c r="E55" s="9" t="str">
        <f aca="false">D55&amp;C55</f>
        <v>ImpressionB</v>
      </c>
      <c r="F55" s="10"/>
      <c r="G55" s="11"/>
      <c r="H55" s="10" t="n">
        <v>1</v>
      </c>
      <c r="I55" s="10" t="s">
        <v>42</v>
      </c>
      <c r="J55" s="12" t="s">
        <v>296</v>
      </c>
      <c r="K55" s="12" t="s">
        <v>297</v>
      </c>
      <c r="L55" s="11"/>
      <c r="M55" s="10" t="n">
        <v>4</v>
      </c>
      <c r="N55" s="12" t="s">
        <v>39</v>
      </c>
      <c r="O55" s="12" t="s">
        <v>298</v>
      </c>
      <c r="P55" s="10" t="s">
        <v>299</v>
      </c>
      <c r="Q55" s="13"/>
      <c r="R55" s="10"/>
      <c r="S55" s="12"/>
      <c r="T55" s="12"/>
      <c r="U55" s="10"/>
      <c r="V55" s="11"/>
      <c r="W55" s="10"/>
      <c r="X55" s="10"/>
      <c r="Y55" s="10"/>
      <c r="Z55" s="10"/>
      <c r="AA55" s="10"/>
      <c r="AB55" s="10" t="n">
        <f aca="false">AD55+AA$2</f>
        <v>20</v>
      </c>
      <c r="AC55" s="10" t="n">
        <f aca="false">AB55+Z$2</f>
        <v>18.9</v>
      </c>
      <c r="AD55" s="10" t="n">
        <f aca="false">W$2+X$2*(H55-1)</f>
        <v>26</v>
      </c>
      <c r="AE55" s="10" t="n">
        <f aca="false">AG55+AA$2</f>
        <v>36.2</v>
      </c>
      <c r="AF55" s="10" t="n">
        <f aca="false">AE55+Z$2</f>
        <v>35.1</v>
      </c>
      <c r="AG55" s="10" t="n">
        <f aca="false">W$2+X$2*(M55-1)+Y$2</f>
        <v>42.2</v>
      </c>
      <c r="AH55" s="10" t="n">
        <f aca="false">AJ55+AA$2</f>
        <v>21.6</v>
      </c>
      <c r="AI55" s="10" t="n">
        <f aca="false">AH55+Z$2</f>
        <v>20.5</v>
      </c>
      <c r="AJ55" s="12" t="n">
        <f aca="false">W$2+X$2*(R55-1)+2*Y$2</f>
        <v>27.6</v>
      </c>
    </row>
    <row r="56" customFormat="false" ht="56.95" hidden="false" customHeight="true" outlineLevel="0" collapsed="false">
      <c r="B56" s="8" t="s">
        <v>300</v>
      </c>
      <c r="C56" s="8" t="s">
        <v>48</v>
      </c>
      <c r="D56" s="21" t="s">
        <v>211</v>
      </c>
      <c r="E56" s="9" t="str">
        <f aca="false">D56&amp;C56</f>
        <v>ImpressionB</v>
      </c>
      <c r="F56" s="10"/>
      <c r="G56" s="11"/>
      <c r="H56" s="10" t="n">
        <v>1</v>
      </c>
      <c r="I56" s="12" t="s">
        <v>39</v>
      </c>
      <c r="J56" s="12" t="s">
        <v>221</v>
      </c>
      <c r="K56" s="12" t="s">
        <v>301</v>
      </c>
      <c r="L56" s="11"/>
      <c r="M56" s="10"/>
      <c r="N56" s="12"/>
      <c r="O56" s="12"/>
      <c r="P56" s="10"/>
      <c r="Q56" s="13"/>
      <c r="R56" s="10"/>
      <c r="S56" s="12"/>
      <c r="T56" s="12"/>
      <c r="U56" s="10"/>
      <c r="V56" s="11"/>
      <c r="W56" s="10"/>
      <c r="X56" s="10"/>
      <c r="Y56" s="10"/>
      <c r="Z56" s="10"/>
      <c r="AA56" s="10"/>
      <c r="AB56" s="10" t="n">
        <f aca="false">AD56+AA$2</f>
        <v>20</v>
      </c>
      <c r="AC56" s="10" t="n">
        <f aca="false">AB56+Z$2</f>
        <v>18.9</v>
      </c>
      <c r="AD56" s="10" t="n">
        <f aca="false">W$2+X$2*(H56-1)</f>
        <v>26</v>
      </c>
      <c r="AE56" s="10" t="n">
        <f aca="false">AG56+AA$2</f>
        <v>18.6</v>
      </c>
      <c r="AF56" s="10" t="n">
        <f aca="false">AE56+Z$2</f>
        <v>17.5</v>
      </c>
      <c r="AG56" s="10" t="n">
        <f aca="false">W$2+X$2*(M56-1)+Y$2</f>
        <v>24.6</v>
      </c>
      <c r="AH56" s="10" t="n">
        <f aca="false">AJ56+AA$2</f>
        <v>21.6</v>
      </c>
      <c r="AI56" s="10" t="n">
        <f aca="false">AH56+Z$2</f>
        <v>20.5</v>
      </c>
      <c r="AJ56" s="12" t="n">
        <f aca="false">W$2+X$2*(R56-1)+2*Y$2</f>
        <v>27.6</v>
      </c>
    </row>
    <row r="57" customFormat="false" ht="56.95" hidden="false" customHeight="true" outlineLevel="0" collapsed="false">
      <c r="B57" s="8" t="s">
        <v>302</v>
      </c>
      <c r="C57" s="8" t="s">
        <v>48</v>
      </c>
      <c r="D57" s="21" t="s">
        <v>211</v>
      </c>
      <c r="E57" s="9" t="str">
        <f aca="false">D57&amp;C57</f>
        <v>ImpressionB</v>
      </c>
      <c r="F57" s="10"/>
      <c r="G57" s="11"/>
      <c r="H57" s="10" t="n">
        <v>1</v>
      </c>
      <c r="I57" s="12" t="s">
        <v>39</v>
      </c>
      <c r="J57" s="12" t="s">
        <v>303</v>
      </c>
      <c r="K57" s="12" t="s">
        <v>304</v>
      </c>
      <c r="L57" s="11"/>
      <c r="M57" s="10" t="n">
        <v>5</v>
      </c>
      <c r="N57" s="10" t="s">
        <v>42</v>
      </c>
      <c r="O57" s="12" t="s">
        <v>305</v>
      </c>
      <c r="P57" s="10" t="s">
        <v>306</v>
      </c>
      <c r="Q57" s="13"/>
      <c r="R57" s="10"/>
      <c r="S57" s="12"/>
      <c r="T57" s="12"/>
      <c r="U57" s="10"/>
      <c r="V57" s="11"/>
      <c r="W57" s="10"/>
      <c r="X57" s="10"/>
      <c r="Y57" s="10"/>
      <c r="Z57" s="10"/>
      <c r="AA57" s="10"/>
      <c r="AB57" s="10" t="n">
        <f aca="false">AD57+AA$2</f>
        <v>20</v>
      </c>
      <c r="AC57" s="10" t="n">
        <f aca="false">AB57+Z$2</f>
        <v>18.9</v>
      </c>
      <c r="AD57" s="10" t="n">
        <f aca="false">W$2+X$2*(H57-1)</f>
        <v>26</v>
      </c>
      <c r="AE57" s="10" t="n">
        <f aca="false">AG57+AA$2</f>
        <v>40.6</v>
      </c>
      <c r="AF57" s="10" t="n">
        <f aca="false">AE57+Z$2</f>
        <v>39.5</v>
      </c>
      <c r="AG57" s="10" t="n">
        <f aca="false">W$2+X$2*(M57-1)+Y$2</f>
        <v>46.6</v>
      </c>
      <c r="AH57" s="10" t="n">
        <f aca="false">AJ57+AA$2</f>
        <v>21.6</v>
      </c>
      <c r="AI57" s="10" t="n">
        <f aca="false">AH57+Z$2</f>
        <v>20.5</v>
      </c>
      <c r="AJ57" s="12" t="n">
        <f aca="false">W$2+X$2*(R57-1)+2*Y$2</f>
        <v>27.6</v>
      </c>
    </row>
    <row r="58" customFormat="false" ht="56.95" hidden="false" customHeight="true" outlineLevel="0" collapsed="false">
      <c r="B58" s="8" t="s">
        <v>307</v>
      </c>
      <c r="C58" s="8" t="s">
        <v>48</v>
      </c>
      <c r="D58" s="21" t="s">
        <v>211</v>
      </c>
      <c r="E58" s="9" t="str">
        <f aca="false">D58&amp;C58</f>
        <v>ImpressionB</v>
      </c>
      <c r="F58" s="10"/>
      <c r="G58" s="11"/>
      <c r="H58" s="10" t="n">
        <v>1</v>
      </c>
      <c r="I58" s="10" t="s">
        <v>42</v>
      </c>
      <c r="J58" s="12" t="s">
        <v>308</v>
      </c>
      <c r="K58" s="12" t="s">
        <v>309</v>
      </c>
      <c r="L58" s="11"/>
      <c r="M58" s="10" t="n">
        <v>4</v>
      </c>
      <c r="N58" s="12" t="s">
        <v>39</v>
      </c>
      <c r="O58" s="12" t="s">
        <v>310</v>
      </c>
      <c r="P58" s="10" t="s">
        <v>311</v>
      </c>
      <c r="Q58" s="13"/>
      <c r="R58" s="10"/>
      <c r="S58" s="12"/>
      <c r="T58" s="12"/>
      <c r="U58" s="10"/>
      <c r="V58" s="11"/>
      <c r="W58" s="10"/>
      <c r="X58" s="10"/>
      <c r="Y58" s="10"/>
      <c r="Z58" s="10"/>
      <c r="AA58" s="10"/>
      <c r="AB58" s="10" t="n">
        <f aca="false">AD58+AA$2</f>
        <v>20</v>
      </c>
      <c r="AC58" s="10" t="n">
        <f aca="false">AB58+Z$2</f>
        <v>18.9</v>
      </c>
      <c r="AD58" s="10" t="n">
        <f aca="false">W$2+X$2*(H58-1)</f>
        <v>26</v>
      </c>
      <c r="AE58" s="10" t="n">
        <f aca="false">AG58+AA$2</f>
        <v>36.2</v>
      </c>
      <c r="AF58" s="10" t="n">
        <f aca="false">AE58+Z$2</f>
        <v>35.1</v>
      </c>
      <c r="AG58" s="10" t="n">
        <f aca="false">W$2+X$2*(M58-1)+Y$2</f>
        <v>42.2</v>
      </c>
      <c r="AH58" s="10" t="n">
        <f aca="false">AJ58+AA$2</f>
        <v>21.6</v>
      </c>
      <c r="AI58" s="10" t="n">
        <f aca="false">AH58+Z$2</f>
        <v>20.5</v>
      </c>
      <c r="AJ58" s="12" t="n">
        <f aca="false">W$2+X$2*(R58-1)+2*Y$2</f>
        <v>27.6</v>
      </c>
    </row>
    <row r="59" customFormat="false" ht="56.95" hidden="false" customHeight="true" outlineLevel="0" collapsed="false">
      <c r="B59" s="8" t="s">
        <v>312</v>
      </c>
      <c r="C59" s="8" t="s">
        <v>37</v>
      </c>
      <c r="D59" s="22" t="s">
        <v>211</v>
      </c>
      <c r="E59" s="9" t="str">
        <f aca="false">D59&amp;C59</f>
        <v>ImpressionA</v>
      </c>
      <c r="F59" s="12"/>
      <c r="G59" s="11"/>
      <c r="H59" s="10" t="n">
        <v>1</v>
      </c>
      <c r="I59" s="12" t="s">
        <v>39</v>
      </c>
      <c r="J59" s="12" t="s">
        <v>313</v>
      </c>
      <c r="K59" s="12" t="s">
        <v>314</v>
      </c>
      <c r="L59" s="11"/>
      <c r="M59" s="10" t="n">
        <v>7</v>
      </c>
      <c r="N59" s="10" t="s">
        <v>39</v>
      </c>
      <c r="O59" s="10" t="s">
        <v>109</v>
      </c>
      <c r="P59" s="12" t="s">
        <v>315</v>
      </c>
      <c r="Q59" s="13"/>
      <c r="R59" s="10"/>
      <c r="S59" s="10"/>
      <c r="T59" s="10"/>
      <c r="U59" s="12"/>
      <c r="V59" s="11"/>
      <c r="W59" s="10"/>
      <c r="X59" s="10"/>
      <c r="Y59" s="10"/>
      <c r="Z59" s="10"/>
      <c r="AA59" s="10"/>
      <c r="AB59" s="10" t="n">
        <f aca="false">AD59+AA$2</f>
        <v>20</v>
      </c>
      <c r="AC59" s="10" t="n">
        <f aca="false">AB59+Z$2</f>
        <v>18.9</v>
      </c>
      <c r="AD59" s="10" t="n">
        <f aca="false">W$2+X$2*(H59-1)</f>
        <v>26</v>
      </c>
      <c r="AE59" s="10" t="n">
        <f aca="false">AG59+AA$2</f>
        <v>49.4</v>
      </c>
      <c r="AF59" s="10" t="n">
        <f aca="false">AE59+Z$2</f>
        <v>48.3</v>
      </c>
      <c r="AG59" s="10" t="n">
        <f aca="false">W$2+X$2*(M59-1)+Y$2</f>
        <v>55.4</v>
      </c>
      <c r="AH59" s="10" t="n">
        <f aca="false">AJ59+AA$2</f>
        <v>21.6</v>
      </c>
      <c r="AI59" s="10" t="n">
        <f aca="false">AH59+Z$2</f>
        <v>20.5</v>
      </c>
      <c r="AJ59" s="12" t="n">
        <f aca="false">W$2+X$2*(R59-1)+2*Y$2</f>
        <v>27.6</v>
      </c>
    </row>
    <row r="60" customFormat="false" ht="56.95" hidden="false" customHeight="true" outlineLevel="0" collapsed="false">
      <c r="B60" s="8" t="s">
        <v>316</v>
      </c>
      <c r="C60" s="8" t="s">
        <v>48</v>
      </c>
      <c r="D60" s="21" t="s">
        <v>211</v>
      </c>
      <c r="E60" s="9" t="str">
        <f aca="false">D60&amp;C60</f>
        <v>ImpressionB</v>
      </c>
      <c r="F60" s="10"/>
      <c r="G60" s="11"/>
      <c r="H60" s="10" t="n">
        <v>1</v>
      </c>
      <c r="I60" s="12" t="s">
        <v>39</v>
      </c>
      <c r="J60" s="12" t="s">
        <v>317</v>
      </c>
      <c r="K60" s="12" t="s">
        <v>318</v>
      </c>
      <c r="L60" s="11"/>
      <c r="M60" s="10" t="n">
        <v>5</v>
      </c>
      <c r="N60" s="12" t="s">
        <v>154</v>
      </c>
      <c r="O60" s="12" t="s">
        <v>319</v>
      </c>
      <c r="P60" s="10" t="s">
        <v>320</v>
      </c>
      <c r="Q60" s="13"/>
      <c r="R60" s="10"/>
      <c r="S60" s="12"/>
      <c r="T60" s="12"/>
      <c r="U60" s="10"/>
      <c r="V60" s="11"/>
      <c r="W60" s="10"/>
      <c r="X60" s="10"/>
      <c r="Y60" s="10"/>
      <c r="Z60" s="10"/>
      <c r="AA60" s="10"/>
      <c r="AB60" s="10" t="n">
        <f aca="false">AD60+AA$2</f>
        <v>20</v>
      </c>
      <c r="AC60" s="10" t="n">
        <f aca="false">AB60+Z$2</f>
        <v>18.9</v>
      </c>
      <c r="AD60" s="10" t="n">
        <f aca="false">W$2+X$2*(H60-1)</f>
        <v>26</v>
      </c>
      <c r="AE60" s="10" t="n">
        <f aca="false">AG60+AA$2</f>
        <v>40.6</v>
      </c>
      <c r="AF60" s="10" t="n">
        <f aca="false">AE60+Z$2</f>
        <v>39.5</v>
      </c>
      <c r="AG60" s="10" t="n">
        <f aca="false">W$2+X$2*(M60-1)+Y$2</f>
        <v>46.6</v>
      </c>
      <c r="AH60" s="10" t="n">
        <f aca="false">AJ60+AA$2</f>
        <v>21.6</v>
      </c>
      <c r="AI60" s="10" t="n">
        <f aca="false">AH60+Z$2</f>
        <v>20.5</v>
      </c>
      <c r="AJ60" s="12" t="n">
        <f aca="false">W$2+X$2*(R60-1)+2*Y$2</f>
        <v>27.6</v>
      </c>
    </row>
    <row r="61" customFormat="false" ht="56.95" hidden="false" customHeight="true" outlineLevel="0" collapsed="false">
      <c r="B61" s="8" t="s">
        <v>321</v>
      </c>
      <c r="C61" s="8" t="s">
        <v>48</v>
      </c>
      <c r="D61" s="21" t="s">
        <v>211</v>
      </c>
      <c r="E61" s="9" t="str">
        <f aca="false">D61&amp;C61</f>
        <v>ImpressionB</v>
      </c>
      <c r="F61" s="10"/>
      <c r="G61" s="11"/>
      <c r="H61" s="10" t="n">
        <v>1</v>
      </c>
      <c r="I61" s="12" t="s">
        <v>39</v>
      </c>
      <c r="J61" s="12" t="s">
        <v>221</v>
      </c>
      <c r="K61" s="12" t="s">
        <v>322</v>
      </c>
      <c r="L61" s="11"/>
      <c r="M61" s="10"/>
      <c r="N61" s="12"/>
      <c r="O61" s="12"/>
      <c r="P61" s="10"/>
      <c r="Q61" s="13"/>
      <c r="R61" s="10"/>
      <c r="S61" s="12"/>
      <c r="T61" s="12"/>
      <c r="U61" s="10"/>
      <c r="V61" s="11"/>
      <c r="W61" s="10"/>
      <c r="X61" s="10"/>
      <c r="Y61" s="10"/>
      <c r="Z61" s="10"/>
      <c r="AA61" s="10"/>
      <c r="AB61" s="10" t="n">
        <f aca="false">AD61+AA$2</f>
        <v>20</v>
      </c>
      <c r="AC61" s="10" t="n">
        <f aca="false">AB61+Z$2</f>
        <v>18.9</v>
      </c>
      <c r="AD61" s="10" t="n">
        <f aca="false">W$2+X$2*(H61-1)</f>
        <v>26</v>
      </c>
      <c r="AE61" s="10" t="n">
        <f aca="false">AG61+AA$2</f>
        <v>18.6</v>
      </c>
      <c r="AF61" s="10" t="n">
        <f aca="false">AE61+Z$2</f>
        <v>17.5</v>
      </c>
      <c r="AG61" s="10" t="n">
        <f aca="false">W$2+X$2*(M61-1)+Y$2</f>
        <v>24.6</v>
      </c>
      <c r="AH61" s="10" t="n">
        <f aca="false">AJ61+AA$2</f>
        <v>21.6</v>
      </c>
      <c r="AI61" s="10" t="n">
        <f aca="false">AH61+Z$2</f>
        <v>20.5</v>
      </c>
      <c r="AJ61" s="12" t="n">
        <f aca="false">W$2+X$2*(R61-1)+2*Y$2</f>
        <v>27.6</v>
      </c>
    </row>
    <row r="62" customFormat="false" ht="56.95" hidden="false" customHeight="true" outlineLevel="0" collapsed="false">
      <c r="B62" s="8" t="s">
        <v>323</v>
      </c>
      <c r="C62" s="8" t="s">
        <v>37</v>
      </c>
      <c r="D62" s="21" t="s">
        <v>211</v>
      </c>
      <c r="E62" s="9" t="str">
        <f aca="false">D62&amp;C62</f>
        <v>ImpressionA</v>
      </c>
      <c r="F62" s="10"/>
      <c r="G62" s="11"/>
      <c r="H62" s="10" t="n">
        <v>1</v>
      </c>
      <c r="I62" s="10" t="s">
        <v>42</v>
      </c>
      <c r="J62" s="12" t="s">
        <v>324</v>
      </c>
      <c r="K62" s="12" t="s">
        <v>325</v>
      </c>
      <c r="L62" s="11"/>
      <c r="M62" s="10" t="n">
        <v>9</v>
      </c>
      <c r="N62" s="12" t="s">
        <v>39</v>
      </c>
      <c r="O62" s="12" t="s">
        <v>326</v>
      </c>
      <c r="P62" s="10" t="s">
        <v>327</v>
      </c>
      <c r="Q62" s="13"/>
      <c r="R62" s="10"/>
      <c r="S62" s="12"/>
      <c r="T62" s="12"/>
      <c r="U62" s="10"/>
      <c r="V62" s="11"/>
      <c r="W62" s="10"/>
      <c r="X62" s="10"/>
      <c r="Y62" s="10"/>
      <c r="Z62" s="10"/>
      <c r="AA62" s="10"/>
      <c r="AB62" s="10" t="n">
        <f aca="false">AD62+AA$2</f>
        <v>20</v>
      </c>
      <c r="AC62" s="10" t="n">
        <f aca="false">AB62+Z$2</f>
        <v>18.9</v>
      </c>
      <c r="AD62" s="10" t="n">
        <f aca="false">W$2+X$2*(H62-1)</f>
        <v>26</v>
      </c>
      <c r="AE62" s="10" t="n">
        <f aca="false">AG62+AA$2</f>
        <v>58.2</v>
      </c>
      <c r="AF62" s="10" t="n">
        <f aca="false">AE62+Z$2</f>
        <v>57.1</v>
      </c>
      <c r="AG62" s="10" t="n">
        <f aca="false">W$2+X$2*(M62-1)+Y$2</f>
        <v>64.2</v>
      </c>
      <c r="AH62" s="10" t="n">
        <f aca="false">AJ62+AA$2</f>
        <v>21.6</v>
      </c>
      <c r="AI62" s="10" t="n">
        <f aca="false">AH62+Z$2</f>
        <v>20.5</v>
      </c>
      <c r="AJ62" s="12" t="n">
        <f aca="false">W$2+X$2*(R62-1)+2*Y$2</f>
        <v>27.6</v>
      </c>
    </row>
    <row r="63" customFormat="false" ht="56.95" hidden="false" customHeight="true" outlineLevel="0" collapsed="false">
      <c r="B63" s="8" t="s">
        <v>328</v>
      </c>
      <c r="C63" s="8" t="s">
        <v>48</v>
      </c>
      <c r="D63" s="21" t="s">
        <v>211</v>
      </c>
      <c r="E63" s="9" t="str">
        <f aca="false">D63&amp;C63</f>
        <v>ImpressionB</v>
      </c>
      <c r="F63" s="10"/>
      <c r="G63" s="11"/>
      <c r="H63" s="10" t="n">
        <v>1</v>
      </c>
      <c r="I63" s="12" t="s">
        <v>39</v>
      </c>
      <c r="J63" s="12" t="s">
        <v>221</v>
      </c>
      <c r="K63" s="12" t="s">
        <v>329</v>
      </c>
      <c r="L63" s="11"/>
      <c r="M63" s="10"/>
      <c r="N63" s="12"/>
      <c r="O63" s="12"/>
      <c r="P63" s="10"/>
      <c r="Q63" s="13"/>
      <c r="R63" s="10"/>
      <c r="S63" s="12"/>
      <c r="T63" s="12"/>
      <c r="U63" s="10"/>
      <c r="V63" s="11"/>
      <c r="W63" s="10"/>
      <c r="X63" s="10"/>
      <c r="Y63" s="10"/>
      <c r="Z63" s="10"/>
      <c r="AA63" s="10"/>
      <c r="AB63" s="10" t="n">
        <f aca="false">AD63+AA$2</f>
        <v>20</v>
      </c>
      <c r="AC63" s="10" t="n">
        <f aca="false">AB63+Z$2</f>
        <v>18.9</v>
      </c>
      <c r="AD63" s="10" t="n">
        <f aca="false">W$2+X$2*(H63-1)</f>
        <v>26</v>
      </c>
      <c r="AE63" s="10" t="n">
        <f aca="false">AG63+AA$2</f>
        <v>18.6</v>
      </c>
      <c r="AF63" s="10" t="n">
        <f aca="false">AE63+Z$2</f>
        <v>17.5</v>
      </c>
      <c r="AG63" s="10" t="n">
        <f aca="false">W$2+X$2*(M63-1)+Y$2</f>
        <v>24.6</v>
      </c>
      <c r="AH63" s="10" t="n">
        <f aca="false">AJ63+AA$2</f>
        <v>21.6</v>
      </c>
      <c r="AI63" s="10" t="n">
        <f aca="false">AH63+Z$2</f>
        <v>20.5</v>
      </c>
      <c r="AJ63" s="12" t="n">
        <f aca="false">W$2+X$2*(R63-1)+2*Y$2</f>
        <v>27.6</v>
      </c>
    </row>
    <row r="64" customFormat="false" ht="56.95" hidden="false" customHeight="true" outlineLevel="0" collapsed="false">
      <c r="B64" s="8" t="s">
        <v>330</v>
      </c>
      <c r="C64" s="8" t="s">
        <v>48</v>
      </c>
      <c r="D64" s="21" t="s">
        <v>211</v>
      </c>
      <c r="E64" s="9" t="str">
        <f aca="false">D64&amp;C64</f>
        <v>ImpressionB</v>
      </c>
      <c r="F64" s="10"/>
      <c r="G64" s="11"/>
      <c r="H64" s="10" t="n">
        <v>1</v>
      </c>
      <c r="I64" s="12" t="s">
        <v>154</v>
      </c>
      <c r="J64" s="12" t="s">
        <v>331</v>
      </c>
      <c r="K64" s="12" t="s">
        <v>332</v>
      </c>
      <c r="L64" s="11"/>
      <c r="M64" s="10"/>
      <c r="N64" s="12"/>
      <c r="O64" s="12"/>
      <c r="P64" s="10"/>
      <c r="Q64" s="13"/>
      <c r="R64" s="10"/>
      <c r="S64" s="12"/>
      <c r="T64" s="12"/>
      <c r="U64" s="10"/>
      <c r="V64" s="11"/>
      <c r="W64" s="10"/>
      <c r="X64" s="10"/>
      <c r="Y64" s="10"/>
      <c r="Z64" s="10"/>
      <c r="AA64" s="10"/>
      <c r="AB64" s="10" t="n">
        <f aca="false">AD64+AA$2</f>
        <v>20</v>
      </c>
      <c r="AC64" s="10" t="n">
        <f aca="false">AB64+Z$2</f>
        <v>18.9</v>
      </c>
      <c r="AD64" s="10" t="n">
        <f aca="false">W$2+X$2*(H64-1)</f>
        <v>26</v>
      </c>
      <c r="AE64" s="10" t="n">
        <f aca="false">AG64+AA$2</f>
        <v>18.6</v>
      </c>
      <c r="AF64" s="10" t="n">
        <f aca="false">AE64+Z$2</f>
        <v>17.5</v>
      </c>
      <c r="AG64" s="10" t="n">
        <f aca="false">W$2+X$2*(M64-1)+Y$2</f>
        <v>24.6</v>
      </c>
      <c r="AH64" s="10" t="n">
        <f aca="false">AJ64+AA$2</f>
        <v>21.6</v>
      </c>
      <c r="AI64" s="10" t="n">
        <f aca="false">AH64+Z$2</f>
        <v>20.5</v>
      </c>
      <c r="AJ64" s="12" t="n">
        <f aca="false">W$2+X$2*(R64-1)+2*Y$2</f>
        <v>27.6</v>
      </c>
    </row>
    <row r="65" customFormat="false" ht="56.95" hidden="false" customHeight="true" outlineLevel="0" collapsed="false">
      <c r="B65" s="8" t="s">
        <v>333</v>
      </c>
      <c r="C65" s="8" t="s">
        <v>48</v>
      </c>
      <c r="D65" s="21" t="s">
        <v>211</v>
      </c>
      <c r="E65" s="9" t="str">
        <f aca="false">D65&amp;C65</f>
        <v>ImpressionB</v>
      </c>
      <c r="F65" s="10"/>
      <c r="G65" s="11"/>
      <c r="H65" s="10" t="n">
        <v>1</v>
      </c>
      <c r="I65" s="12" t="s">
        <v>154</v>
      </c>
      <c r="J65" s="12" t="s">
        <v>334</v>
      </c>
      <c r="K65" s="12" t="s">
        <v>335</v>
      </c>
      <c r="L65" s="11"/>
      <c r="M65" s="10"/>
      <c r="N65" s="12"/>
      <c r="O65" s="12"/>
      <c r="P65" s="10"/>
      <c r="Q65" s="13"/>
      <c r="R65" s="10"/>
      <c r="S65" s="12"/>
      <c r="T65" s="12"/>
      <c r="U65" s="10"/>
      <c r="V65" s="11"/>
      <c r="W65" s="10"/>
      <c r="X65" s="10"/>
      <c r="Y65" s="10"/>
      <c r="Z65" s="10"/>
      <c r="AA65" s="10"/>
      <c r="AB65" s="10" t="n">
        <f aca="false">AD65+AA$2</f>
        <v>20</v>
      </c>
      <c r="AC65" s="10" t="n">
        <f aca="false">AB65+Z$2</f>
        <v>18.9</v>
      </c>
      <c r="AD65" s="10" t="n">
        <f aca="false">W$2+X$2*(H65-1)</f>
        <v>26</v>
      </c>
      <c r="AE65" s="10" t="n">
        <f aca="false">AG65+AA$2</f>
        <v>18.6</v>
      </c>
      <c r="AF65" s="10" t="n">
        <f aca="false">AE65+Z$2</f>
        <v>17.5</v>
      </c>
      <c r="AG65" s="10" t="n">
        <f aca="false">W$2+X$2*(M65-1)+Y$2</f>
        <v>24.6</v>
      </c>
      <c r="AH65" s="10" t="n">
        <f aca="false">AJ65+AA$2</f>
        <v>21.6</v>
      </c>
      <c r="AI65" s="10" t="n">
        <f aca="false">AH65+Z$2</f>
        <v>20.5</v>
      </c>
      <c r="AJ65" s="12" t="n">
        <f aca="false">W$2+X$2*(R65-1)+2*Y$2</f>
        <v>27.6</v>
      </c>
    </row>
    <row r="66" customFormat="false" ht="56.95" hidden="false" customHeight="true" outlineLevel="0" collapsed="false">
      <c r="B66" s="8" t="s">
        <v>336</v>
      </c>
      <c r="C66" s="8" t="s">
        <v>48</v>
      </c>
      <c r="D66" s="21" t="s">
        <v>211</v>
      </c>
      <c r="E66" s="9" t="str">
        <f aca="false">D66&amp;C66</f>
        <v>ImpressionB</v>
      </c>
      <c r="F66" s="10"/>
      <c r="G66" s="11"/>
      <c r="H66" s="10" t="n">
        <v>1</v>
      </c>
      <c r="I66" s="10" t="s">
        <v>42</v>
      </c>
      <c r="J66" s="12" t="s">
        <v>337</v>
      </c>
      <c r="K66" s="12" t="s">
        <v>338</v>
      </c>
      <c r="L66" s="11"/>
      <c r="M66" s="10" t="n">
        <v>9.5</v>
      </c>
      <c r="N66" s="12" t="s">
        <v>53</v>
      </c>
      <c r="O66" s="12" t="s">
        <v>54</v>
      </c>
      <c r="P66" s="14" t="s">
        <v>339</v>
      </c>
      <c r="Q66" s="13"/>
      <c r="R66" s="10"/>
      <c r="S66" s="12"/>
      <c r="T66" s="12"/>
      <c r="U66" s="10"/>
      <c r="V66" s="11"/>
      <c r="W66" s="10"/>
      <c r="X66" s="10"/>
      <c r="Y66" s="10"/>
      <c r="Z66" s="10"/>
      <c r="AA66" s="10"/>
      <c r="AB66" s="10" t="n">
        <f aca="false">AD66+AA$2</f>
        <v>20</v>
      </c>
      <c r="AC66" s="10" t="n">
        <f aca="false">AB66+Z$2</f>
        <v>18.9</v>
      </c>
      <c r="AD66" s="10" t="n">
        <f aca="false">W$2+X$2*(H66-1)</f>
        <v>26</v>
      </c>
      <c r="AE66" s="10" t="n">
        <f aca="false">AG66+AA$2</f>
        <v>60.4</v>
      </c>
      <c r="AF66" s="10" t="n">
        <f aca="false">AE66+Z$2</f>
        <v>59.3</v>
      </c>
      <c r="AG66" s="10" t="n">
        <f aca="false">W$2+X$2*(M66-1)+Y$2</f>
        <v>66.4</v>
      </c>
      <c r="AH66" s="10" t="n">
        <f aca="false">AJ66+AA$2</f>
        <v>21.6</v>
      </c>
      <c r="AI66" s="10" t="n">
        <f aca="false">AH66+Z$2</f>
        <v>20.5</v>
      </c>
      <c r="AJ66" s="12" t="n">
        <f aca="false">W$2+X$2*(R66-1)+2*Y$2</f>
        <v>27.6</v>
      </c>
    </row>
    <row r="67" customFormat="false" ht="56.95" hidden="false" customHeight="true" outlineLevel="0" collapsed="false">
      <c r="B67" s="8" t="s">
        <v>340</v>
      </c>
      <c r="C67" s="8" t="s">
        <v>48</v>
      </c>
      <c r="D67" s="21" t="s">
        <v>211</v>
      </c>
      <c r="E67" s="9" t="str">
        <f aca="false">D67&amp;C67</f>
        <v>ImpressionB</v>
      </c>
      <c r="F67" s="10"/>
      <c r="G67" s="11"/>
      <c r="H67" s="10" t="n">
        <v>1</v>
      </c>
      <c r="I67" s="12" t="s">
        <v>39</v>
      </c>
      <c r="J67" s="12" t="s">
        <v>221</v>
      </c>
      <c r="K67" s="12" t="s">
        <v>341</v>
      </c>
      <c r="L67" s="11"/>
      <c r="M67" s="10"/>
      <c r="N67" s="12"/>
      <c r="O67" s="12"/>
      <c r="P67" s="10"/>
      <c r="Q67" s="13"/>
      <c r="R67" s="10"/>
      <c r="S67" s="12"/>
      <c r="T67" s="12"/>
      <c r="U67" s="10"/>
      <c r="V67" s="11"/>
      <c r="W67" s="10"/>
      <c r="X67" s="10"/>
      <c r="Y67" s="10"/>
      <c r="Z67" s="10"/>
      <c r="AA67" s="10"/>
      <c r="AB67" s="10" t="n">
        <f aca="false">AD67+AA$2</f>
        <v>20</v>
      </c>
      <c r="AC67" s="10" t="n">
        <f aca="false">AB67+Z$2</f>
        <v>18.9</v>
      </c>
      <c r="AD67" s="10" t="n">
        <f aca="false">W$2+X$2*(H67-1)</f>
        <v>26</v>
      </c>
      <c r="AE67" s="10" t="n">
        <f aca="false">AG67+AA$2</f>
        <v>18.6</v>
      </c>
      <c r="AF67" s="10" t="n">
        <f aca="false">AE67+Z$2</f>
        <v>17.5</v>
      </c>
      <c r="AG67" s="10" t="n">
        <f aca="false">W$2+X$2*(M67-1)+Y$2</f>
        <v>24.6</v>
      </c>
      <c r="AH67" s="10" t="n">
        <f aca="false">AJ67+AA$2</f>
        <v>21.6</v>
      </c>
      <c r="AI67" s="10" t="n">
        <f aca="false">AH67+Z$2</f>
        <v>20.5</v>
      </c>
      <c r="AJ67" s="12" t="n">
        <f aca="false">W$2+X$2*(R67-1)+2*Y$2</f>
        <v>27.6</v>
      </c>
    </row>
    <row r="68" customFormat="false" ht="56.95" hidden="false" customHeight="true" outlineLevel="0" collapsed="false">
      <c r="B68" s="8" t="s">
        <v>342</v>
      </c>
      <c r="C68" s="8" t="s">
        <v>48</v>
      </c>
      <c r="D68" s="21" t="s">
        <v>211</v>
      </c>
      <c r="E68" s="9" t="str">
        <f aca="false">D68&amp;C68</f>
        <v>ImpressionB</v>
      </c>
      <c r="F68" s="10"/>
      <c r="G68" s="11"/>
      <c r="H68" s="10" t="n">
        <v>1</v>
      </c>
      <c r="I68" s="12" t="s">
        <v>42</v>
      </c>
      <c r="J68" s="12" t="s">
        <v>343</v>
      </c>
      <c r="K68" s="12" t="s">
        <v>344</v>
      </c>
      <c r="L68" s="11"/>
      <c r="M68" s="10" t="n">
        <v>7</v>
      </c>
      <c r="N68" s="12" t="s">
        <v>39</v>
      </c>
      <c r="O68" s="12" t="s">
        <v>345</v>
      </c>
      <c r="P68" s="10" t="s">
        <v>346</v>
      </c>
      <c r="Q68" s="13"/>
      <c r="R68" s="10"/>
      <c r="S68" s="12"/>
      <c r="T68" s="12"/>
      <c r="U68" s="10"/>
      <c r="V68" s="11"/>
      <c r="W68" s="10"/>
      <c r="X68" s="10"/>
      <c r="Y68" s="10"/>
      <c r="Z68" s="10"/>
      <c r="AA68" s="10"/>
      <c r="AB68" s="10" t="n">
        <f aca="false">AD68+AA$2</f>
        <v>20</v>
      </c>
      <c r="AC68" s="10" t="n">
        <f aca="false">AB68+Z$2</f>
        <v>18.9</v>
      </c>
      <c r="AD68" s="10" t="n">
        <f aca="false">W$2+X$2*(H68-1)</f>
        <v>26</v>
      </c>
      <c r="AE68" s="10" t="n">
        <f aca="false">AG68+AA$2</f>
        <v>49.4</v>
      </c>
      <c r="AF68" s="10" t="n">
        <f aca="false">AE68+Z$2</f>
        <v>48.3</v>
      </c>
      <c r="AG68" s="10" t="n">
        <f aca="false">W$2+X$2*(M68-1)+Y$2</f>
        <v>55.4</v>
      </c>
      <c r="AH68" s="10" t="n">
        <f aca="false">AJ68+AA$2</f>
        <v>21.6</v>
      </c>
      <c r="AI68" s="10" t="n">
        <f aca="false">AH68+Z$2</f>
        <v>20.5</v>
      </c>
      <c r="AJ68" s="12" t="n">
        <f aca="false">W$2+X$2*(R68-1)+2*Y$2</f>
        <v>27.6</v>
      </c>
    </row>
    <row r="69" customFormat="false" ht="56.95" hidden="false" customHeight="true" outlineLevel="0" collapsed="false">
      <c r="B69" s="8" t="s">
        <v>347</v>
      </c>
      <c r="C69" s="8" t="s">
        <v>37</v>
      </c>
      <c r="D69" s="21" t="s">
        <v>211</v>
      </c>
      <c r="E69" s="9" t="str">
        <f aca="false">D69&amp;C69</f>
        <v>ImpressionA</v>
      </c>
      <c r="F69" s="10"/>
      <c r="G69" s="11"/>
      <c r="H69" s="10" t="n">
        <v>1</v>
      </c>
      <c r="I69" s="10" t="s">
        <v>154</v>
      </c>
      <c r="J69" s="12" t="s">
        <v>348</v>
      </c>
      <c r="K69" s="12" t="s">
        <v>349</v>
      </c>
      <c r="L69" s="11"/>
      <c r="M69" s="10" t="n">
        <v>6</v>
      </c>
      <c r="N69" s="10" t="s">
        <v>39</v>
      </c>
      <c r="O69" s="10" t="s">
        <v>350</v>
      </c>
      <c r="P69" s="10" t="s">
        <v>351</v>
      </c>
      <c r="Q69" s="13"/>
      <c r="R69" s="10"/>
      <c r="S69" s="10"/>
      <c r="T69" s="10"/>
      <c r="U69" s="10"/>
      <c r="V69" s="11"/>
      <c r="W69" s="10"/>
      <c r="X69" s="10"/>
      <c r="Y69" s="10"/>
      <c r="Z69" s="10"/>
      <c r="AA69" s="10"/>
      <c r="AB69" s="10" t="n">
        <f aca="false">AD69+AA$2</f>
        <v>20</v>
      </c>
      <c r="AC69" s="10" t="n">
        <f aca="false">AB69+Z$2</f>
        <v>18.9</v>
      </c>
      <c r="AD69" s="10" t="n">
        <f aca="false">W$2+X$2*(H69-1)</f>
        <v>26</v>
      </c>
      <c r="AE69" s="10" t="n">
        <f aca="false">AG69+AA$2</f>
        <v>45</v>
      </c>
      <c r="AF69" s="10" t="n">
        <f aca="false">AE69+Z$2</f>
        <v>43.9</v>
      </c>
      <c r="AG69" s="10" t="n">
        <f aca="false">W$2+X$2*(M69-1)+Y$2</f>
        <v>51</v>
      </c>
      <c r="AH69" s="10" t="n">
        <f aca="false">AJ69+AA$2</f>
        <v>21.6</v>
      </c>
      <c r="AI69" s="10" t="n">
        <f aca="false">AH69+Z$2</f>
        <v>20.5</v>
      </c>
      <c r="AJ69" s="12" t="n">
        <f aca="false">W$2+X$2*(R69-1)+2*Y$2</f>
        <v>27.6</v>
      </c>
    </row>
    <row r="70" customFormat="false" ht="56.95" hidden="false" customHeight="true" outlineLevel="0" collapsed="false">
      <c r="B70" s="8" t="s">
        <v>352</v>
      </c>
      <c r="C70" s="8" t="s">
        <v>48</v>
      </c>
      <c r="D70" s="21" t="s">
        <v>211</v>
      </c>
      <c r="E70" s="9" t="str">
        <f aca="false">D70&amp;C70</f>
        <v>ImpressionB</v>
      </c>
      <c r="F70" s="10"/>
      <c r="G70" s="11"/>
      <c r="H70" s="10" t="n">
        <v>1</v>
      </c>
      <c r="I70" s="12" t="s">
        <v>154</v>
      </c>
      <c r="J70" s="12" t="s">
        <v>353</v>
      </c>
      <c r="K70" s="12" t="s">
        <v>354</v>
      </c>
      <c r="L70" s="11"/>
      <c r="M70" s="10"/>
      <c r="N70" s="12"/>
      <c r="O70" s="12"/>
      <c r="P70" s="10"/>
      <c r="Q70" s="13"/>
      <c r="R70" s="10"/>
      <c r="S70" s="12"/>
      <c r="T70" s="12"/>
      <c r="U70" s="10"/>
      <c r="V70" s="11"/>
      <c r="W70" s="10"/>
      <c r="X70" s="10"/>
      <c r="Y70" s="10"/>
      <c r="Z70" s="10"/>
      <c r="AA70" s="10"/>
      <c r="AB70" s="10" t="n">
        <f aca="false">AD70+AA$2</f>
        <v>20</v>
      </c>
      <c r="AC70" s="10" t="n">
        <f aca="false">AB70+Z$2</f>
        <v>18.9</v>
      </c>
      <c r="AD70" s="10" t="n">
        <f aca="false">W$2+X$2*(H70-1)</f>
        <v>26</v>
      </c>
      <c r="AE70" s="10" t="n">
        <f aca="false">AG70+AA$2</f>
        <v>18.6</v>
      </c>
      <c r="AF70" s="10" t="n">
        <f aca="false">AE70+Z$2</f>
        <v>17.5</v>
      </c>
      <c r="AG70" s="10" t="n">
        <f aca="false">W$2+X$2*(M70-1)+Y$2</f>
        <v>24.6</v>
      </c>
      <c r="AH70" s="10" t="n">
        <f aca="false">AJ70+AA$2</f>
        <v>21.6</v>
      </c>
      <c r="AI70" s="10" t="n">
        <f aca="false">AH70+Z$2</f>
        <v>20.5</v>
      </c>
      <c r="AJ70" s="12" t="n">
        <f aca="false">W$2+X$2*(R70-1)+2*Y$2</f>
        <v>27.6</v>
      </c>
    </row>
    <row r="71" customFormat="false" ht="56.95" hidden="false" customHeight="true" outlineLevel="0" collapsed="false">
      <c r="B71" s="8" t="s">
        <v>355</v>
      </c>
      <c r="C71" s="8" t="s">
        <v>48</v>
      </c>
      <c r="D71" s="21" t="s">
        <v>211</v>
      </c>
      <c r="E71" s="9" t="str">
        <f aca="false">D71&amp;C71</f>
        <v>ImpressionB</v>
      </c>
      <c r="F71" s="10"/>
      <c r="G71" s="11"/>
      <c r="H71" s="10" t="n">
        <v>1</v>
      </c>
      <c r="I71" s="10" t="s">
        <v>42</v>
      </c>
      <c r="J71" s="12" t="s">
        <v>356</v>
      </c>
      <c r="K71" s="12" t="s">
        <v>262</v>
      </c>
      <c r="L71" s="11"/>
      <c r="M71" s="10"/>
      <c r="N71" s="12"/>
      <c r="O71" s="12"/>
      <c r="P71" s="10"/>
      <c r="Q71" s="13"/>
      <c r="R71" s="10"/>
      <c r="S71" s="12"/>
      <c r="T71" s="12"/>
      <c r="U71" s="10"/>
      <c r="V71" s="11"/>
      <c r="W71" s="10"/>
      <c r="X71" s="10"/>
      <c r="Y71" s="10"/>
      <c r="Z71" s="10"/>
      <c r="AA71" s="10"/>
      <c r="AB71" s="10" t="n">
        <f aca="false">AD71+AA$2</f>
        <v>20</v>
      </c>
      <c r="AC71" s="10" t="n">
        <f aca="false">AB71+Z$2</f>
        <v>18.9</v>
      </c>
      <c r="AD71" s="10" t="n">
        <f aca="false">W$2+X$2*(H71-1)</f>
        <v>26</v>
      </c>
      <c r="AE71" s="10" t="n">
        <f aca="false">AG71+AA$2</f>
        <v>18.6</v>
      </c>
      <c r="AF71" s="10" t="n">
        <f aca="false">AE71+Z$2</f>
        <v>17.5</v>
      </c>
      <c r="AG71" s="10" t="n">
        <f aca="false">W$2+X$2*(M71-1)+Y$2</f>
        <v>24.6</v>
      </c>
      <c r="AH71" s="10" t="n">
        <f aca="false">AJ71+AA$2</f>
        <v>21.6</v>
      </c>
      <c r="AI71" s="10" t="n">
        <f aca="false">AH71+Z$2</f>
        <v>20.5</v>
      </c>
      <c r="AJ71" s="12" t="n">
        <f aca="false">W$2+X$2*(R71-1)+2*Y$2</f>
        <v>27.6</v>
      </c>
    </row>
    <row r="72" customFormat="false" ht="55.4" hidden="false" customHeight="false" outlineLevel="0" collapsed="false">
      <c r="B72" s="8" t="s">
        <v>357</v>
      </c>
      <c r="C72" s="8" t="s">
        <v>37</v>
      </c>
      <c r="D72" s="22" t="s">
        <v>358</v>
      </c>
      <c r="E72" s="9" t="str">
        <f aca="false">D72&amp;C72</f>
        <v>LimbA</v>
      </c>
      <c r="F72" s="10"/>
      <c r="G72" s="19"/>
      <c r="H72" s="10" t="n">
        <v>1</v>
      </c>
      <c r="I72" s="10" t="s">
        <v>42</v>
      </c>
      <c r="J72" s="10" t="s">
        <v>359</v>
      </c>
      <c r="K72" s="10" t="s">
        <v>360</v>
      </c>
      <c r="L72" s="19"/>
      <c r="M72" s="10" t="n">
        <v>5</v>
      </c>
      <c r="N72" s="10" t="s">
        <v>361</v>
      </c>
      <c r="O72" s="10" t="s">
        <v>362</v>
      </c>
      <c r="P72" s="10" t="s">
        <v>363</v>
      </c>
      <c r="Q72" s="20"/>
      <c r="R72" s="10" t="n">
        <v>9.5</v>
      </c>
      <c r="S72" s="10" t="s">
        <v>53</v>
      </c>
      <c r="T72" s="10" t="s">
        <v>364</v>
      </c>
      <c r="U72" s="10" t="s">
        <v>365</v>
      </c>
      <c r="V72" s="19"/>
      <c r="W72" s="10"/>
      <c r="X72" s="10"/>
      <c r="Y72" s="10"/>
      <c r="Z72" s="10"/>
      <c r="AA72" s="10"/>
      <c r="AB72" s="10" t="n">
        <f aca="false">AD72+AA$2</f>
        <v>20</v>
      </c>
      <c r="AC72" s="10" t="n">
        <f aca="false">AB72+Z$2</f>
        <v>18.9</v>
      </c>
      <c r="AD72" s="10" t="n">
        <f aca="false">W$2+X$2*(H72-1)</f>
        <v>26</v>
      </c>
      <c r="AE72" s="10" t="n">
        <f aca="false">AG72+AA$2</f>
        <v>40.6</v>
      </c>
      <c r="AF72" s="10" t="n">
        <f aca="false">AE72+Z$2</f>
        <v>39.5</v>
      </c>
      <c r="AG72" s="10" t="n">
        <f aca="false">W$2+X$2*(M72-1)+Y$2</f>
        <v>46.6</v>
      </c>
      <c r="AH72" s="10" t="n">
        <f aca="false">AJ72+AA$2</f>
        <v>63.4</v>
      </c>
      <c r="AI72" s="10" t="n">
        <f aca="false">AH72+Z$2</f>
        <v>62.3</v>
      </c>
      <c r="AJ72" s="12" t="n">
        <f aca="false">W$2+X$2*(R72-1)+2*Y$2</f>
        <v>69.4</v>
      </c>
    </row>
    <row r="73" customFormat="false" ht="55.4" hidden="false" customHeight="false" outlineLevel="0" collapsed="false">
      <c r="B73" s="8" t="s">
        <v>366</v>
      </c>
      <c r="C73" s="8" t="s">
        <v>48</v>
      </c>
      <c r="D73" s="22" t="s">
        <v>358</v>
      </c>
      <c r="E73" s="9" t="str">
        <f aca="false">D73&amp;C73</f>
        <v>LimbB</v>
      </c>
      <c r="F73" s="10"/>
      <c r="G73" s="19"/>
      <c r="H73" s="10" t="n">
        <v>1</v>
      </c>
      <c r="I73" s="10" t="s">
        <v>361</v>
      </c>
      <c r="J73" s="10" t="s">
        <v>367</v>
      </c>
      <c r="K73" s="10" t="s">
        <v>368</v>
      </c>
      <c r="L73" s="19"/>
      <c r="M73" s="10" t="n">
        <v>10</v>
      </c>
      <c r="N73" s="10" t="s">
        <v>53</v>
      </c>
      <c r="O73" s="10" t="s">
        <v>364</v>
      </c>
      <c r="P73" s="10" t="s">
        <v>369</v>
      </c>
      <c r="Q73" s="20"/>
      <c r="R73" s="10"/>
      <c r="S73" s="10"/>
      <c r="T73" s="10"/>
      <c r="U73" s="10"/>
      <c r="V73" s="19"/>
      <c r="W73" s="10"/>
      <c r="X73" s="10"/>
      <c r="Y73" s="10"/>
      <c r="Z73" s="10"/>
      <c r="AA73" s="10"/>
      <c r="AB73" s="10" t="n">
        <f aca="false">AD73+AA$2</f>
        <v>20</v>
      </c>
      <c r="AC73" s="10" t="n">
        <f aca="false">AB73+Z$2</f>
        <v>18.9</v>
      </c>
      <c r="AD73" s="10" t="n">
        <f aca="false">W$2+X$2*(H73-1)</f>
        <v>26</v>
      </c>
      <c r="AE73" s="10" t="n">
        <f aca="false">AG73+AA$2</f>
        <v>62.6</v>
      </c>
      <c r="AF73" s="10" t="n">
        <f aca="false">AE73+Z$2</f>
        <v>61.5</v>
      </c>
      <c r="AG73" s="10" t="n">
        <f aca="false">W$2+X$2*(M73-1)+Y$2</f>
        <v>68.6</v>
      </c>
      <c r="AH73" s="10" t="n">
        <f aca="false">AJ73+AA$2</f>
        <v>21.6</v>
      </c>
      <c r="AI73" s="10" t="n">
        <f aca="false">AH73+Z$2</f>
        <v>20.5</v>
      </c>
      <c r="AJ73" s="12" t="n">
        <f aca="false">W$2+X$2*(R73-1)+2*Y$2</f>
        <v>27.6</v>
      </c>
    </row>
    <row r="74" customFormat="false" ht="55.4" hidden="false" customHeight="false" outlineLevel="0" collapsed="false">
      <c r="B74" s="8" t="s">
        <v>370</v>
      </c>
      <c r="C74" s="8" t="s">
        <v>37</v>
      </c>
      <c r="D74" s="22" t="s">
        <v>358</v>
      </c>
      <c r="E74" s="9" t="str">
        <f aca="false">D74&amp;C74</f>
        <v>LimbA</v>
      </c>
      <c r="F74" s="10"/>
      <c r="G74" s="11"/>
      <c r="H74" s="10" t="n">
        <v>1</v>
      </c>
      <c r="I74" s="12" t="s">
        <v>42</v>
      </c>
      <c r="J74" s="12" t="s">
        <v>371</v>
      </c>
      <c r="K74" s="12" t="s">
        <v>372</v>
      </c>
      <c r="L74" s="11"/>
      <c r="M74" s="10" t="n">
        <v>6</v>
      </c>
      <c r="N74" s="10" t="s">
        <v>42</v>
      </c>
      <c r="O74" s="10" t="s">
        <v>373</v>
      </c>
      <c r="P74" s="10" t="s">
        <v>374</v>
      </c>
      <c r="Q74" s="13"/>
      <c r="R74" s="10"/>
      <c r="S74" s="10"/>
      <c r="T74" s="10"/>
      <c r="U74" s="10"/>
      <c r="V74" s="11"/>
      <c r="W74" s="10"/>
      <c r="X74" s="10"/>
      <c r="Y74" s="10"/>
      <c r="Z74" s="10"/>
      <c r="AA74" s="10"/>
      <c r="AB74" s="10" t="n">
        <f aca="false">AD74+AA$2</f>
        <v>20</v>
      </c>
      <c r="AC74" s="10" t="n">
        <f aca="false">AB74+Z$2</f>
        <v>18.9</v>
      </c>
      <c r="AD74" s="10" t="n">
        <f aca="false">W$2+X$2*(H74-1)</f>
        <v>26</v>
      </c>
      <c r="AE74" s="10" t="n">
        <f aca="false">AG74+AA$2</f>
        <v>45</v>
      </c>
      <c r="AF74" s="10" t="n">
        <f aca="false">AE74+Z$2</f>
        <v>43.9</v>
      </c>
      <c r="AG74" s="10" t="n">
        <f aca="false">W$2+X$2*(M74-1)+Y$2</f>
        <v>51</v>
      </c>
      <c r="AH74" s="10" t="n">
        <f aca="false">AJ74+AA$2</f>
        <v>21.6</v>
      </c>
      <c r="AI74" s="10" t="n">
        <f aca="false">AH74+Z$2</f>
        <v>20.5</v>
      </c>
      <c r="AJ74" s="12" t="n">
        <f aca="false">W$2+X$2*(R74-1)+2*Y$2</f>
        <v>27.6</v>
      </c>
    </row>
    <row r="75" customFormat="false" ht="55.4" hidden="false" customHeight="false" outlineLevel="0" collapsed="false">
      <c r="B75" s="8" t="s">
        <v>375</v>
      </c>
      <c r="C75" s="8" t="s">
        <v>48</v>
      </c>
      <c r="D75" s="22" t="s">
        <v>358</v>
      </c>
      <c r="E75" s="9" t="str">
        <f aca="false">D75&amp;C75</f>
        <v>LimbB</v>
      </c>
      <c r="F75" s="10"/>
      <c r="G75" s="19"/>
      <c r="H75" s="10" t="n">
        <v>1</v>
      </c>
      <c r="I75" s="10" t="s">
        <v>42</v>
      </c>
      <c r="J75" s="10" t="s">
        <v>376</v>
      </c>
      <c r="K75" s="10" t="s">
        <v>377</v>
      </c>
      <c r="L75" s="19"/>
      <c r="M75" s="10" t="n">
        <v>5</v>
      </c>
      <c r="N75" s="10" t="s">
        <v>42</v>
      </c>
      <c r="O75" s="10" t="s">
        <v>378</v>
      </c>
      <c r="P75" s="10" t="s">
        <v>379</v>
      </c>
      <c r="Q75" s="20"/>
      <c r="R75" s="10"/>
      <c r="S75" s="10"/>
      <c r="T75" s="10"/>
      <c r="U75" s="10"/>
      <c r="V75" s="19"/>
      <c r="W75" s="10"/>
      <c r="X75" s="10"/>
      <c r="Y75" s="10"/>
      <c r="Z75" s="10"/>
      <c r="AA75" s="10"/>
      <c r="AB75" s="10" t="n">
        <f aca="false">AD75+AA$2</f>
        <v>20</v>
      </c>
      <c r="AC75" s="10" t="n">
        <f aca="false">AB75+Z$2</f>
        <v>18.9</v>
      </c>
      <c r="AD75" s="10" t="n">
        <f aca="false">W$2+X$2*(H75-1)</f>
        <v>26</v>
      </c>
      <c r="AE75" s="10" t="n">
        <f aca="false">AG75+AA$2</f>
        <v>40.6</v>
      </c>
      <c r="AF75" s="10" t="n">
        <f aca="false">AE75+Z$2</f>
        <v>39.5</v>
      </c>
      <c r="AG75" s="10" t="n">
        <f aca="false">W$2+X$2*(M75-1)+Y$2</f>
        <v>46.6</v>
      </c>
      <c r="AH75" s="10" t="n">
        <f aca="false">AJ75+AA$2</f>
        <v>21.6</v>
      </c>
      <c r="AI75" s="10" t="n">
        <f aca="false">AH75+Z$2</f>
        <v>20.5</v>
      </c>
      <c r="AJ75" s="12" t="n">
        <f aca="false">W$2+X$2*(R75-1)+2*Y$2</f>
        <v>27.6</v>
      </c>
    </row>
    <row r="76" customFormat="false" ht="55.4" hidden="false" customHeight="false" outlineLevel="0" collapsed="false">
      <c r="B76" s="8" t="s">
        <v>380</v>
      </c>
      <c r="C76" s="8" t="s">
        <v>48</v>
      </c>
      <c r="D76" s="22" t="s">
        <v>358</v>
      </c>
      <c r="E76" s="9" t="str">
        <f aca="false">D76&amp;C76</f>
        <v>LimbB</v>
      </c>
      <c r="F76" s="10"/>
      <c r="G76" s="11"/>
      <c r="H76" s="10" t="n">
        <v>1</v>
      </c>
      <c r="I76" s="12" t="s">
        <v>42</v>
      </c>
      <c r="J76" s="12" t="s">
        <v>381</v>
      </c>
      <c r="K76" s="12" t="s">
        <v>382</v>
      </c>
      <c r="L76" s="11"/>
      <c r="M76" s="10" t="n">
        <v>5</v>
      </c>
      <c r="N76" s="10" t="s">
        <v>39</v>
      </c>
      <c r="O76" s="10" t="s">
        <v>383</v>
      </c>
      <c r="P76" s="10" t="s">
        <v>384</v>
      </c>
      <c r="Q76" s="13"/>
      <c r="R76" s="10"/>
      <c r="S76" s="10"/>
      <c r="T76" s="10"/>
      <c r="U76" s="10"/>
      <c r="V76" s="11"/>
      <c r="W76" s="10"/>
      <c r="X76" s="10"/>
      <c r="Y76" s="10"/>
      <c r="Z76" s="10"/>
      <c r="AA76" s="10"/>
      <c r="AB76" s="10" t="n">
        <f aca="false">AD76+AA$2</f>
        <v>20</v>
      </c>
      <c r="AC76" s="10" t="n">
        <f aca="false">AB76+Z$2</f>
        <v>18.9</v>
      </c>
      <c r="AD76" s="10" t="n">
        <f aca="false">W$2+X$2*(H76-1)</f>
        <v>26</v>
      </c>
      <c r="AE76" s="10" t="n">
        <f aca="false">AG76+AA$2</f>
        <v>40.6</v>
      </c>
      <c r="AF76" s="10" t="n">
        <f aca="false">AE76+Z$2</f>
        <v>39.5</v>
      </c>
      <c r="AG76" s="10" t="n">
        <f aca="false">W$2+X$2*(M76-1)+Y$2</f>
        <v>46.6</v>
      </c>
      <c r="AH76" s="10" t="n">
        <f aca="false">AJ76+AA$2</f>
        <v>21.6</v>
      </c>
      <c r="AI76" s="10" t="n">
        <f aca="false">AH76+Z$2</f>
        <v>20.5</v>
      </c>
      <c r="AJ76" s="12" t="n">
        <f aca="false">W$2+X$2*(R76-1)+2*Y$2</f>
        <v>27.6</v>
      </c>
    </row>
    <row r="77" customFormat="false" ht="55.4" hidden="false" customHeight="false" outlineLevel="0" collapsed="false">
      <c r="B77" s="8" t="s">
        <v>385</v>
      </c>
      <c r="C77" s="8" t="s">
        <v>48</v>
      </c>
      <c r="D77" s="22" t="s">
        <v>358</v>
      </c>
      <c r="E77" s="9" t="str">
        <f aca="false">D77&amp;C77</f>
        <v>LimbB</v>
      </c>
      <c r="F77" s="10"/>
      <c r="G77" s="11"/>
      <c r="H77" s="10" t="n">
        <v>1</v>
      </c>
      <c r="I77" s="12" t="s">
        <v>361</v>
      </c>
      <c r="J77" s="12" t="s">
        <v>386</v>
      </c>
      <c r="K77" s="12" t="s">
        <v>368</v>
      </c>
      <c r="L77" s="11"/>
      <c r="M77" s="10" t="n">
        <v>3</v>
      </c>
      <c r="N77" s="12" t="s">
        <v>39</v>
      </c>
      <c r="O77" s="12" t="s">
        <v>387</v>
      </c>
      <c r="P77" s="10" t="s">
        <v>388</v>
      </c>
      <c r="Q77" s="13"/>
      <c r="R77" s="10"/>
      <c r="S77" s="10"/>
      <c r="T77" s="10"/>
      <c r="U77" s="10"/>
      <c r="V77" s="11"/>
      <c r="W77" s="10"/>
      <c r="X77" s="10"/>
      <c r="Y77" s="10"/>
      <c r="Z77" s="10"/>
      <c r="AA77" s="10"/>
      <c r="AB77" s="10" t="n">
        <f aca="false">AD77+AA$2</f>
        <v>20</v>
      </c>
      <c r="AC77" s="10" t="n">
        <f aca="false">AB77+Z$2</f>
        <v>18.9</v>
      </c>
      <c r="AD77" s="10" t="n">
        <f aca="false">W$2+X$2*(H77-1)</f>
        <v>26</v>
      </c>
      <c r="AE77" s="10" t="n">
        <f aca="false">AG77+AA$2</f>
        <v>31.8</v>
      </c>
      <c r="AF77" s="10" t="n">
        <f aca="false">AE77+Z$2</f>
        <v>30.7</v>
      </c>
      <c r="AG77" s="10" t="n">
        <f aca="false">W$2+X$2*(M77-1)+Y$2</f>
        <v>37.8</v>
      </c>
      <c r="AH77" s="10" t="n">
        <f aca="false">AJ77+AA$2</f>
        <v>21.6</v>
      </c>
      <c r="AI77" s="10" t="n">
        <f aca="false">AH77+Z$2</f>
        <v>20.5</v>
      </c>
      <c r="AJ77" s="12" t="n">
        <f aca="false">W$2+X$2*(R77-1)+2*Y$2</f>
        <v>27.6</v>
      </c>
    </row>
    <row r="78" customFormat="false" ht="55.4" hidden="false" customHeight="false" outlineLevel="0" collapsed="false">
      <c r="B78" s="8" t="s">
        <v>389</v>
      </c>
      <c r="C78" s="8" t="s">
        <v>48</v>
      </c>
      <c r="D78" s="22" t="s">
        <v>358</v>
      </c>
      <c r="E78" s="9" t="str">
        <f aca="false">D78&amp;C78</f>
        <v>LimbB</v>
      </c>
      <c r="F78" s="10"/>
      <c r="G78" s="11"/>
      <c r="H78" s="10" t="n">
        <v>1</v>
      </c>
      <c r="I78" s="12" t="s">
        <v>361</v>
      </c>
      <c r="J78" s="12" t="s">
        <v>390</v>
      </c>
      <c r="K78" s="12" t="s">
        <v>391</v>
      </c>
      <c r="L78" s="11"/>
      <c r="M78" s="10" t="n">
        <v>10</v>
      </c>
      <c r="N78" s="10" t="s">
        <v>53</v>
      </c>
      <c r="O78" s="10" t="s">
        <v>364</v>
      </c>
      <c r="P78" s="10" t="s">
        <v>392</v>
      </c>
      <c r="Q78" s="13"/>
      <c r="R78" s="10"/>
      <c r="S78" s="10"/>
      <c r="T78" s="10"/>
      <c r="U78" s="10"/>
      <c r="V78" s="11"/>
      <c r="W78" s="10"/>
      <c r="X78" s="10"/>
      <c r="Y78" s="10"/>
      <c r="Z78" s="10"/>
      <c r="AA78" s="10"/>
      <c r="AB78" s="10" t="n">
        <f aca="false">AD78+AA$2</f>
        <v>20</v>
      </c>
      <c r="AC78" s="10" t="n">
        <f aca="false">AB78+Z$2</f>
        <v>18.9</v>
      </c>
      <c r="AD78" s="10" t="n">
        <f aca="false">W$2+X$2*(H78-1)</f>
        <v>26</v>
      </c>
      <c r="AE78" s="10" t="n">
        <f aca="false">AG78+AA$2</f>
        <v>62.6</v>
      </c>
      <c r="AF78" s="10" t="n">
        <f aca="false">AE78+Z$2</f>
        <v>61.5</v>
      </c>
      <c r="AG78" s="10" t="n">
        <f aca="false">W$2+X$2*(M78-1)+Y$2</f>
        <v>68.6</v>
      </c>
      <c r="AH78" s="10" t="n">
        <f aca="false">AJ78+AA$2</f>
        <v>21.6</v>
      </c>
      <c r="AI78" s="10" t="n">
        <f aca="false">AH78+Z$2</f>
        <v>20.5</v>
      </c>
      <c r="AJ78" s="12" t="n">
        <f aca="false">W$2+X$2*(R78-1)+2*Y$2</f>
        <v>27.6</v>
      </c>
    </row>
    <row r="79" customFormat="false" ht="55.4" hidden="false" customHeight="false" outlineLevel="0" collapsed="false">
      <c r="B79" s="8" t="s">
        <v>393</v>
      </c>
      <c r="C79" s="8" t="s">
        <v>48</v>
      </c>
      <c r="D79" s="22" t="s">
        <v>358</v>
      </c>
      <c r="E79" s="9" t="str">
        <f aca="false">D79&amp;C79</f>
        <v>LimbB</v>
      </c>
      <c r="F79" s="10"/>
      <c r="G79" s="11"/>
      <c r="H79" s="10" t="n">
        <v>1</v>
      </c>
      <c r="I79" s="12" t="s">
        <v>361</v>
      </c>
      <c r="J79" s="12" t="s">
        <v>394</v>
      </c>
      <c r="K79" s="12" t="s">
        <v>395</v>
      </c>
      <c r="L79" s="11"/>
      <c r="M79" s="10" t="n">
        <v>3</v>
      </c>
      <c r="N79" s="10" t="s">
        <v>39</v>
      </c>
      <c r="O79" s="10" t="s">
        <v>396</v>
      </c>
      <c r="P79" s="10" t="s">
        <v>397</v>
      </c>
      <c r="Q79" s="13"/>
      <c r="R79" s="10"/>
      <c r="S79" s="10"/>
      <c r="T79" s="10"/>
      <c r="U79" s="10"/>
      <c r="V79" s="11"/>
      <c r="W79" s="10"/>
      <c r="X79" s="10"/>
      <c r="Y79" s="10"/>
      <c r="Z79" s="10"/>
      <c r="AA79" s="10"/>
      <c r="AB79" s="10" t="n">
        <f aca="false">AD79+AA$2</f>
        <v>20</v>
      </c>
      <c r="AC79" s="10" t="n">
        <f aca="false">AB79+Z$2</f>
        <v>18.9</v>
      </c>
      <c r="AD79" s="10" t="n">
        <f aca="false">W$2+X$2*(H79-1)</f>
        <v>26</v>
      </c>
      <c r="AE79" s="10" t="n">
        <f aca="false">AG79+AA$2</f>
        <v>31.8</v>
      </c>
      <c r="AF79" s="10" t="n">
        <f aca="false">AE79+Z$2</f>
        <v>30.7</v>
      </c>
      <c r="AG79" s="10" t="n">
        <f aca="false">W$2+X$2*(M79-1)+Y$2</f>
        <v>37.8</v>
      </c>
      <c r="AH79" s="10" t="n">
        <f aca="false">AJ79+AA$2</f>
        <v>21.6</v>
      </c>
      <c r="AI79" s="10" t="n">
        <f aca="false">AH79+Z$2</f>
        <v>20.5</v>
      </c>
      <c r="AJ79" s="12" t="n">
        <f aca="false">W$2+X$2*(R79-1)+2*Y$2</f>
        <v>27.6</v>
      </c>
    </row>
    <row r="80" customFormat="false" ht="55.4" hidden="false" customHeight="false" outlineLevel="0" collapsed="false">
      <c r="B80" s="8" t="s">
        <v>398</v>
      </c>
      <c r="C80" s="8" t="s">
        <v>37</v>
      </c>
      <c r="D80" s="22" t="s">
        <v>358</v>
      </c>
      <c r="E80" s="9" t="str">
        <f aca="false">D80&amp;C80</f>
        <v>LimbA</v>
      </c>
      <c r="F80" s="10" t="s">
        <v>126</v>
      </c>
      <c r="G80" s="11"/>
      <c r="H80" s="10" t="n">
        <v>1</v>
      </c>
      <c r="I80" s="12" t="s">
        <v>42</v>
      </c>
      <c r="J80" s="12" t="s">
        <v>399</v>
      </c>
      <c r="K80" s="12" t="s">
        <v>400</v>
      </c>
      <c r="L80" s="11"/>
      <c r="M80" s="12" t="n">
        <v>5</v>
      </c>
      <c r="N80" s="10" t="s">
        <v>39</v>
      </c>
      <c r="O80" s="10" t="s">
        <v>401</v>
      </c>
      <c r="P80" s="10" t="s">
        <v>402</v>
      </c>
      <c r="Q80" s="13"/>
      <c r="R80" s="10"/>
      <c r="S80" s="10"/>
      <c r="T80" s="10"/>
      <c r="U80" s="10"/>
      <c r="V80" s="11"/>
      <c r="W80" s="10"/>
      <c r="X80" s="10"/>
      <c r="Y80" s="10"/>
      <c r="Z80" s="10"/>
      <c r="AA80" s="10"/>
      <c r="AB80" s="10" t="n">
        <f aca="false">AD80+AA$2</f>
        <v>20</v>
      </c>
      <c r="AC80" s="10" t="n">
        <f aca="false">AB80+Z$2</f>
        <v>18.9</v>
      </c>
      <c r="AD80" s="10" t="n">
        <f aca="false">W$2+X$2*(H80-1)</f>
        <v>26</v>
      </c>
      <c r="AE80" s="10" t="n">
        <f aca="false">AG80+AA$2</f>
        <v>40.6</v>
      </c>
      <c r="AF80" s="10" t="n">
        <f aca="false">AE80+Z$2</f>
        <v>39.5</v>
      </c>
      <c r="AG80" s="10" t="n">
        <f aca="false">W$2+X$2*(M80-1)+Y$2</f>
        <v>46.6</v>
      </c>
      <c r="AH80" s="10" t="n">
        <f aca="false">AJ80+AA$2</f>
        <v>21.6</v>
      </c>
      <c r="AI80" s="10" t="n">
        <f aca="false">AH80+Z$2</f>
        <v>20.5</v>
      </c>
      <c r="AJ80" s="12" t="n">
        <f aca="false">W$2+X$2*(R80-1)+2*Y$2</f>
        <v>27.6</v>
      </c>
    </row>
    <row r="81" customFormat="false" ht="55.4" hidden="false" customHeight="false" outlineLevel="0" collapsed="false">
      <c r="B81" s="8" t="s">
        <v>403</v>
      </c>
      <c r="C81" s="8" t="s">
        <v>48</v>
      </c>
      <c r="D81" s="22" t="s">
        <v>358</v>
      </c>
      <c r="E81" s="9" t="str">
        <f aca="false">D81&amp;C81</f>
        <v>LimbB</v>
      </c>
      <c r="F81" s="10"/>
      <c r="G81" s="11"/>
      <c r="H81" s="10" t="n">
        <v>1</v>
      </c>
      <c r="I81" s="12" t="s">
        <v>361</v>
      </c>
      <c r="J81" s="12" t="s">
        <v>404</v>
      </c>
      <c r="K81" s="12" t="s">
        <v>405</v>
      </c>
      <c r="L81" s="11"/>
      <c r="M81" s="10" t="n">
        <v>3</v>
      </c>
      <c r="N81" s="10" t="s">
        <v>42</v>
      </c>
      <c r="O81" s="10" t="s">
        <v>406</v>
      </c>
      <c r="P81" s="10" t="s">
        <v>407</v>
      </c>
      <c r="Q81" s="13"/>
      <c r="R81" s="10"/>
      <c r="S81" s="10"/>
      <c r="T81" s="10"/>
      <c r="U81" s="10"/>
      <c r="V81" s="11"/>
      <c r="W81" s="10"/>
      <c r="X81" s="10"/>
      <c r="Y81" s="10"/>
      <c r="Z81" s="10"/>
      <c r="AA81" s="10"/>
      <c r="AB81" s="10" t="n">
        <f aca="false">AD81+AA$2</f>
        <v>20</v>
      </c>
      <c r="AC81" s="10" t="n">
        <f aca="false">AB81+Z$2</f>
        <v>18.9</v>
      </c>
      <c r="AD81" s="10" t="n">
        <f aca="false">W$2+X$2*(H81-1)</f>
        <v>26</v>
      </c>
      <c r="AE81" s="10" t="n">
        <f aca="false">AG81+AA$2</f>
        <v>31.8</v>
      </c>
      <c r="AF81" s="10" t="n">
        <f aca="false">AE81+Z$2</f>
        <v>30.7</v>
      </c>
      <c r="AG81" s="10" t="n">
        <f aca="false">W$2+X$2*(M81-1)+Y$2</f>
        <v>37.8</v>
      </c>
      <c r="AH81" s="10" t="n">
        <f aca="false">AJ81+AA$2</f>
        <v>21.6</v>
      </c>
      <c r="AI81" s="10" t="n">
        <f aca="false">AH81+Z$2</f>
        <v>20.5</v>
      </c>
      <c r="AJ81" s="12" t="n">
        <f aca="false">W$2+X$2*(R81-1)+2*Y$2</f>
        <v>27.6</v>
      </c>
    </row>
    <row r="82" customFormat="false" ht="55.4" hidden="false" customHeight="false" outlineLevel="0" collapsed="false">
      <c r="B82" s="8" t="s">
        <v>408</v>
      </c>
      <c r="C82" s="8" t="s">
        <v>48</v>
      </c>
      <c r="D82" s="22" t="s">
        <v>358</v>
      </c>
      <c r="E82" s="9" t="str">
        <f aca="false">D82&amp;C82</f>
        <v>LimbB</v>
      </c>
      <c r="F82" s="10"/>
      <c r="G82" s="11"/>
      <c r="H82" s="10" t="n">
        <v>1</v>
      </c>
      <c r="I82" s="12" t="s">
        <v>361</v>
      </c>
      <c r="J82" s="12" t="s">
        <v>409</v>
      </c>
      <c r="K82" s="12" t="s">
        <v>410</v>
      </c>
      <c r="L82" s="11"/>
      <c r="M82" s="12" t="n">
        <v>3</v>
      </c>
      <c r="N82" s="10" t="s">
        <v>42</v>
      </c>
      <c r="O82" s="10" t="s">
        <v>411</v>
      </c>
      <c r="P82" s="10" t="s">
        <v>412</v>
      </c>
      <c r="Q82" s="13"/>
      <c r="R82" s="10" t="n">
        <v>10</v>
      </c>
      <c r="S82" s="10" t="s">
        <v>53</v>
      </c>
      <c r="T82" s="10" t="s">
        <v>364</v>
      </c>
      <c r="U82" s="10" t="s">
        <v>413</v>
      </c>
      <c r="V82" s="11"/>
      <c r="W82" s="10"/>
      <c r="X82" s="10"/>
      <c r="Y82" s="10"/>
      <c r="Z82" s="10"/>
      <c r="AA82" s="10"/>
      <c r="AB82" s="10" t="n">
        <f aca="false">AD82+AA$2</f>
        <v>20</v>
      </c>
      <c r="AC82" s="10" t="n">
        <f aca="false">AB82+Z$2</f>
        <v>18.9</v>
      </c>
      <c r="AD82" s="10" t="n">
        <f aca="false">W$2+X$2*(H82-1)</f>
        <v>26</v>
      </c>
      <c r="AE82" s="10" t="n">
        <f aca="false">AG82+AA$2</f>
        <v>31.8</v>
      </c>
      <c r="AF82" s="10" t="n">
        <f aca="false">AE82+Z$2</f>
        <v>30.7</v>
      </c>
      <c r="AG82" s="10" t="n">
        <f aca="false">W$2+X$2*(M82-1)+Y$2</f>
        <v>37.8</v>
      </c>
      <c r="AH82" s="10" t="n">
        <f aca="false">AJ82+AA$2</f>
        <v>65.6</v>
      </c>
      <c r="AI82" s="10" t="n">
        <f aca="false">AH82+Z$2</f>
        <v>64.5</v>
      </c>
      <c r="AJ82" s="12" t="n">
        <f aca="false">W$2+X$2*(R82-1)+2*Y$2</f>
        <v>71.6</v>
      </c>
    </row>
    <row r="83" customFormat="false" ht="55.4" hidden="false" customHeight="false" outlineLevel="0" collapsed="false">
      <c r="B83" s="8" t="s">
        <v>414</v>
      </c>
      <c r="C83" s="8" t="s">
        <v>48</v>
      </c>
      <c r="D83" s="22" t="s">
        <v>358</v>
      </c>
      <c r="E83" s="9" t="str">
        <f aca="false">D83&amp;C83</f>
        <v>LimbB</v>
      </c>
      <c r="F83" s="10"/>
      <c r="G83" s="11"/>
      <c r="H83" s="10" t="n">
        <v>1</v>
      </c>
      <c r="I83" s="12" t="s">
        <v>361</v>
      </c>
      <c r="J83" s="12" t="s">
        <v>415</v>
      </c>
      <c r="K83" s="12" t="s">
        <v>416</v>
      </c>
      <c r="L83" s="11"/>
      <c r="M83" s="12" t="n">
        <v>5</v>
      </c>
      <c r="N83" s="10" t="s">
        <v>42</v>
      </c>
      <c r="O83" s="10" t="s">
        <v>411</v>
      </c>
      <c r="P83" s="10" t="s">
        <v>412</v>
      </c>
      <c r="Q83" s="13"/>
      <c r="R83" s="10" t="n">
        <v>10</v>
      </c>
      <c r="S83" s="10" t="s">
        <v>53</v>
      </c>
      <c r="T83" s="10" t="s">
        <v>417</v>
      </c>
      <c r="U83" s="10" t="s">
        <v>413</v>
      </c>
      <c r="V83" s="11"/>
      <c r="W83" s="10"/>
      <c r="X83" s="10"/>
      <c r="Y83" s="10"/>
      <c r="Z83" s="10"/>
      <c r="AA83" s="10"/>
      <c r="AB83" s="10" t="n">
        <f aca="false">AD83+AA$2</f>
        <v>20</v>
      </c>
      <c r="AC83" s="10" t="n">
        <f aca="false">AB83+Z$2</f>
        <v>18.9</v>
      </c>
      <c r="AD83" s="10" t="n">
        <f aca="false">W$2+X$2*(H83-1)</f>
        <v>26</v>
      </c>
      <c r="AE83" s="10" t="n">
        <f aca="false">AG83+AA$2</f>
        <v>40.6</v>
      </c>
      <c r="AF83" s="10" t="n">
        <f aca="false">AE83+Z$2</f>
        <v>39.5</v>
      </c>
      <c r="AG83" s="10" t="n">
        <f aca="false">W$2+X$2*(M83-1)+Y$2</f>
        <v>46.6</v>
      </c>
      <c r="AH83" s="10" t="n">
        <f aca="false">AJ83+AA$2</f>
        <v>65.6</v>
      </c>
      <c r="AI83" s="10" t="n">
        <f aca="false">AH83+Z$2</f>
        <v>64.5</v>
      </c>
      <c r="AJ83" s="12" t="n">
        <f aca="false">W$2+X$2*(R83-1)+2*Y$2</f>
        <v>71.6</v>
      </c>
    </row>
    <row r="84" customFormat="false" ht="55.4" hidden="false" customHeight="false" outlineLevel="0" collapsed="false">
      <c r="B84" s="8" t="s">
        <v>418</v>
      </c>
      <c r="C84" s="8" t="s">
        <v>48</v>
      </c>
      <c r="D84" s="22" t="s">
        <v>358</v>
      </c>
      <c r="E84" s="9" t="str">
        <f aca="false">D84&amp;C84</f>
        <v>LimbB</v>
      </c>
      <c r="F84" s="12"/>
      <c r="G84" s="11"/>
      <c r="H84" s="10" t="n">
        <v>1</v>
      </c>
      <c r="I84" s="12" t="s">
        <v>361</v>
      </c>
      <c r="J84" s="12" t="s">
        <v>419</v>
      </c>
      <c r="K84" s="12" t="s">
        <v>420</v>
      </c>
      <c r="L84" s="11"/>
      <c r="M84" s="10"/>
      <c r="N84" s="10"/>
      <c r="O84" s="10"/>
      <c r="P84" s="12"/>
      <c r="Q84" s="13"/>
      <c r="R84" s="10" t="n">
        <v>9.5</v>
      </c>
      <c r="S84" s="10" t="s">
        <v>53</v>
      </c>
      <c r="T84" s="10" t="s">
        <v>364</v>
      </c>
      <c r="U84" s="12" t="s">
        <v>421</v>
      </c>
      <c r="V84" s="11"/>
      <c r="W84" s="10"/>
      <c r="X84" s="10"/>
      <c r="Y84" s="10"/>
      <c r="Z84" s="10"/>
      <c r="AA84" s="10"/>
      <c r="AB84" s="10" t="n">
        <f aca="false">AD84+AA$2</f>
        <v>20</v>
      </c>
      <c r="AC84" s="10" t="n">
        <f aca="false">AB84+Z$2</f>
        <v>18.9</v>
      </c>
      <c r="AD84" s="10" t="n">
        <f aca="false">W$2+X$2*(H84-1)</f>
        <v>26</v>
      </c>
      <c r="AE84" s="10" t="n">
        <f aca="false">AG84+AA$2</f>
        <v>18.6</v>
      </c>
      <c r="AF84" s="10" t="n">
        <f aca="false">AE84+Z$2</f>
        <v>17.5</v>
      </c>
      <c r="AG84" s="10" t="n">
        <f aca="false">W$2+X$2*(M84-1)+Y$2</f>
        <v>24.6</v>
      </c>
      <c r="AH84" s="10" t="n">
        <f aca="false">AJ84+AA$2</f>
        <v>63.4</v>
      </c>
      <c r="AI84" s="10" t="n">
        <f aca="false">AH84+Z$2</f>
        <v>62.3</v>
      </c>
      <c r="AJ84" s="12" t="n">
        <f aca="false">W$2+X$2*(R84-1)+2*Y$2</f>
        <v>69.4</v>
      </c>
    </row>
    <row r="85" customFormat="false" ht="55.4" hidden="false" customHeight="false" outlineLevel="0" collapsed="false">
      <c r="B85" s="8" t="s">
        <v>422</v>
      </c>
      <c r="C85" s="8" t="s">
        <v>48</v>
      </c>
      <c r="D85" s="22" t="s">
        <v>358</v>
      </c>
      <c r="E85" s="9" t="str">
        <f aca="false">D85&amp;C85</f>
        <v>LimbB</v>
      </c>
      <c r="F85" s="10"/>
      <c r="G85" s="11"/>
      <c r="H85" s="10" t="n">
        <v>1</v>
      </c>
      <c r="I85" s="12" t="s">
        <v>361</v>
      </c>
      <c r="J85" s="12" t="s">
        <v>423</v>
      </c>
      <c r="K85" s="12" t="s">
        <v>424</v>
      </c>
      <c r="L85" s="11"/>
      <c r="M85" s="10"/>
      <c r="N85" s="10"/>
      <c r="O85" s="10"/>
      <c r="P85" s="10"/>
      <c r="Q85" s="13"/>
      <c r="R85" s="10" t="n">
        <v>8</v>
      </c>
      <c r="S85" s="10" t="s">
        <v>53</v>
      </c>
      <c r="T85" s="10" t="s">
        <v>364</v>
      </c>
      <c r="U85" s="10" t="s">
        <v>425</v>
      </c>
      <c r="V85" s="11"/>
      <c r="W85" s="10"/>
      <c r="X85" s="10"/>
      <c r="Y85" s="10"/>
      <c r="Z85" s="10"/>
      <c r="AA85" s="10"/>
      <c r="AB85" s="10" t="n">
        <f aca="false">AD85+AA$2</f>
        <v>20</v>
      </c>
      <c r="AC85" s="10" t="n">
        <f aca="false">AB85+Z$2</f>
        <v>18.9</v>
      </c>
      <c r="AD85" s="10" t="n">
        <f aca="false">W$2+X$2*(H85-1)</f>
        <v>26</v>
      </c>
      <c r="AE85" s="10" t="n">
        <f aca="false">AG85+AA$2</f>
        <v>18.6</v>
      </c>
      <c r="AF85" s="10" t="n">
        <f aca="false">AE85+Z$2</f>
        <v>17.5</v>
      </c>
      <c r="AG85" s="10" t="n">
        <f aca="false">W$2+X$2*(M85-1)+Y$2</f>
        <v>24.6</v>
      </c>
      <c r="AH85" s="10" t="n">
        <f aca="false">AJ85+AA$2</f>
        <v>56.8</v>
      </c>
      <c r="AI85" s="10" t="n">
        <f aca="false">AH85+Z$2</f>
        <v>55.7</v>
      </c>
      <c r="AJ85" s="12" t="n">
        <f aca="false">W$2+X$2*(R85-1)+2*Y$2</f>
        <v>62.8</v>
      </c>
    </row>
    <row r="86" customFormat="false" ht="55.4" hidden="false" customHeight="false" outlineLevel="0" collapsed="false">
      <c r="B86" s="8" t="s">
        <v>426</v>
      </c>
      <c r="C86" s="8" t="s">
        <v>48</v>
      </c>
      <c r="D86" s="22" t="s">
        <v>358</v>
      </c>
      <c r="E86" s="9" t="str">
        <f aca="false">D86&amp;C86</f>
        <v>LimbB</v>
      </c>
      <c r="F86" s="10"/>
      <c r="G86" s="11"/>
      <c r="H86" s="10" t="n">
        <v>1</v>
      </c>
      <c r="I86" s="12" t="s">
        <v>42</v>
      </c>
      <c r="J86" s="12" t="s">
        <v>427</v>
      </c>
      <c r="K86" s="12" t="s">
        <v>428</v>
      </c>
      <c r="L86" s="11"/>
      <c r="M86" s="10" t="n">
        <v>4</v>
      </c>
      <c r="N86" s="10" t="s">
        <v>361</v>
      </c>
      <c r="O86" s="10" t="s">
        <v>429</v>
      </c>
      <c r="P86" s="10" t="s">
        <v>430</v>
      </c>
      <c r="Q86" s="13"/>
      <c r="R86" s="10"/>
      <c r="S86" s="10"/>
      <c r="T86" s="10"/>
      <c r="U86" s="10"/>
      <c r="V86" s="11"/>
      <c r="W86" s="10"/>
      <c r="X86" s="10"/>
      <c r="Y86" s="10"/>
      <c r="Z86" s="10"/>
      <c r="AA86" s="10"/>
      <c r="AB86" s="10" t="n">
        <f aca="false">AD86+AA$2</f>
        <v>20</v>
      </c>
      <c r="AC86" s="10" t="n">
        <f aca="false">AB86+Z$2</f>
        <v>18.9</v>
      </c>
      <c r="AD86" s="10" t="n">
        <f aca="false">W$2+X$2*(H86-1)</f>
        <v>26</v>
      </c>
      <c r="AE86" s="10" t="n">
        <f aca="false">AG86+AA$2</f>
        <v>36.2</v>
      </c>
      <c r="AF86" s="10" t="n">
        <f aca="false">AE86+Z$2</f>
        <v>35.1</v>
      </c>
      <c r="AG86" s="10" t="n">
        <f aca="false">W$2+X$2*(M86-1)+Y$2</f>
        <v>42.2</v>
      </c>
      <c r="AH86" s="10" t="n">
        <f aca="false">AJ86+AA$2</f>
        <v>21.6</v>
      </c>
      <c r="AI86" s="10" t="n">
        <f aca="false">AH86+Z$2</f>
        <v>20.5</v>
      </c>
      <c r="AJ86" s="12" t="n">
        <f aca="false">W$2+X$2*(R86-1)+2*Y$2</f>
        <v>27.6</v>
      </c>
    </row>
    <row r="87" customFormat="false" ht="55.4" hidden="false" customHeight="false" outlineLevel="0" collapsed="false">
      <c r="B87" s="8" t="s">
        <v>431</v>
      </c>
      <c r="C87" s="8" t="s">
        <v>48</v>
      </c>
      <c r="D87" s="22" t="s">
        <v>358</v>
      </c>
      <c r="E87" s="9" t="str">
        <f aca="false">D87&amp;C87</f>
        <v>LimbB</v>
      </c>
      <c r="F87" s="12"/>
      <c r="G87" s="11"/>
      <c r="H87" s="10" t="n">
        <v>1</v>
      </c>
      <c r="I87" s="12" t="s">
        <v>42</v>
      </c>
      <c r="J87" s="12" t="s">
        <v>432</v>
      </c>
      <c r="K87" s="12" t="s">
        <v>433</v>
      </c>
      <c r="L87" s="11"/>
      <c r="M87" s="10" t="n">
        <v>4</v>
      </c>
      <c r="N87" s="10" t="s">
        <v>361</v>
      </c>
      <c r="O87" s="10" t="s">
        <v>434</v>
      </c>
      <c r="P87" s="12" t="s">
        <v>435</v>
      </c>
      <c r="Q87" s="13"/>
      <c r="R87" s="10"/>
      <c r="S87" s="10"/>
      <c r="T87" s="10"/>
      <c r="U87" s="12"/>
      <c r="V87" s="11"/>
      <c r="W87" s="10"/>
      <c r="X87" s="10"/>
      <c r="Y87" s="10"/>
      <c r="Z87" s="10"/>
      <c r="AA87" s="10"/>
      <c r="AB87" s="10" t="n">
        <f aca="false">AD87+AA$2</f>
        <v>20</v>
      </c>
      <c r="AC87" s="10" t="n">
        <f aca="false">AB87+Z$2</f>
        <v>18.9</v>
      </c>
      <c r="AD87" s="10" t="n">
        <f aca="false">W$2+X$2*(H87-1)</f>
        <v>26</v>
      </c>
      <c r="AE87" s="10" t="n">
        <f aca="false">AG87+AA$2</f>
        <v>36.2</v>
      </c>
      <c r="AF87" s="10" t="n">
        <f aca="false">AE87+Z$2</f>
        <v>35.1</v>
      </c>
      <c r="AG87" s="10" t="n">
        <f aca="false">W$2+X$2*(M87-1)+Y$2</f>
        <v>42.2</v>
      </c>
      <c r="AH87" s="10" t="n">
        <f aca="false">AJ87+AA$2</f>
        <v>21.6</v>
      </c>
      <c r="AI87" s="10" t="n">
        <f aca="false">AH87+Z$2</f>
        <v>20.5</v>
      </c>
      <c r="AJ87" s="12" t="n">
        <f aca="false">W$2+X$2*(R87-1)+2*Y$2</f>
        <v>27.6</v>
      </c>
    </row>
    <row r="88" customFormat="false" ht="55.4" hidden="false" customHeight="false" outlineLevel="0" collapsed="false">
      <c r="B88" s="8" t="s">
        <v>436</v>
      </c>
      <c r="C88" s="8" t="s">
        <v>48</v>
      </c>
      <c r="D88" s="22" t="s">
        <v>358</v>
      </c>
      <c r="E88" s="9" t="str">
        <f aca="false">D88&amp;C88</f>
        <v>LimbB</v>
      </c>
      <c r="F88" s="12"/>
      <c r="G88" s="11"/>
      <c r="H88" s="10" t="n">
        <v>1</v>
      </c>
      <c r="I88" s="12" t="s">
        <v>39</v>
      </c>
      <c r="J88" s="12" t="s">
        <v>437</v>
      </c>
      <c r="K88" s="12" t="s">
        <v>438</v>
      </c>
      <c r="L88" s="11"/>
      <c r="M88" s="10" t="n">
        <v>5</v>
      </c>
      <c r="N88" s="10" t="s">
        <v>39</v>
      </c>
      <c r="O88" s="10" t="s">
        <v>439</v>
      </c>
      <c r="P88" s="10" t="s">
        <v>440</v>
      </c>
      <c r="Q88" s="13"/>
      <c r="R88" s="10"/>
      <c r="S88" s="10"/>
      <c r="T88" s="10"/>
      <c r="U88" s="12"/>
      <c r="V88" s="11"/>
      <c r="W88" s="10"/>
      <c r="X88" s="10"/>
      <c r="Y88" s="10"/>
      <c r="Z88" s="10"/>
      <c r="AA88" s="10"/>
      <c r="AB88" s="10" t="n">
        <f aca="false">AD88+AA$2</f>
        <v>20</v>
      </c>
      <c r="AC88" s="10" t="n">
        <f aca="false">AB88+Z$2</f>
        <v>18.9</v>
      </c>
      <c r="AD88" s="10" t="n">
        <f aca="false">W$2+X$2*(H88-1)</f>
        <v>26</v>
      </c>
      <c r="AE88" s="10" t="n">
        <f aca="false">AG88+AA$2</f>
        <v>40.6</v>
      </c>
      <c r="AF88" s="10" t="n">
        <f aca="false">AE88+Z$2</f>
        <v>39.5</v>
      </c>
      <c r="AG88" s="10" t="n">
        <f aca="false">W$2+X$2*(M88-1)+Y$2</f>
        <v>46.6</v>
      </c>
      <c r="AH88" s="10" t="n">
        <f aca="false">AJ88+AA$2</f>
        <v>21.6</v>
      </c>
      <c r="AI88" s="10" t="n">
        <f aca="false">AH88+Z$2</f>
        <v>20.5</v>
      </c>
      <c r="AJ88" s="12" t="n">
        <f aca="false">W$2+X$2*(R88-1)+2*Y$2</f>
        <v>27.6</v>
      </c>
    </row>
    <row r="89" customFormat="false" ht="55.4" hidden="false" customHeight="false" outlineLevel="0" collapsed="false">
      <c r="B89" s="8" t="s">
        <v>441</v>
      </c>
      <c r="C89" s="8" t="s">
        <v>37</v>
      </c>
      <c r="D89" s="22" t="s">
        <v>358</v>
      </c>
      <c r="E89" s="9" t="str">
        <f aca="false">D89&amp;C89</f>
        <v>LimbA</v>
      </c>
      <c r="F89" s="10" t="s">
        <v>442</v>
      </c>
      <c r="G89" s="11"/>
      <c r="H89" s="10" t="n">
        <v>1</v>
      </c>
      <c r="I89" s="12" t="s">
        <v>42</v>
      </c>
      <c r="J89" s="12" t="s">
        <v>443</v>
      </c>
      <c r="K89" s="12" t="s">
        <v>444</v>
      </c>
      <c r="L89" s="11"/>
      <c r="M89" s="10" t="n">
        <v>4</v>
      </c>
      <c r="N89" s="10" t="s">
        <v>39</v>
      </c>
      <c r="O89" s="10" t="s">
        <v>445</v>
      </c>
      <c r="P89" s="10" t="s">
        <v>446</v>
      </c>
      <c r="Q89" s="13"/>
      <c r="R89" s="10" t="n">
        <v>8</v>
      </c>
      <c r="S89" s="10" t="s">
        <v>39</v>
      </c>
      <c r="T89" s="10" t="s">
        <v>75</v>
      </c>
      <c r="U89" s="10" t="s">
        <v>447</v>
      </c>
      <c r="V89" s="11"/>
      <c r="W89" s="10"/>
      <c r="X89" s="10"/>
      <c r="Y89" s="10"/>
      <c r="Z89" s="10"/>
      <c r="AA89" s="10"/>
      <c r="AB89" s="10" t="n">
        <f aca="false">AD89+AA$2</f>
        <v>20</v>
      </c>
      <c r="AC89" s="10" t="n">
        <f aca="false">AB89+Z$2</f>
        <v>18.9</v>
      </c>
      <c r="AD89" s="10" t="n">
        <f aca="false">W$2+X$2*(H89-1)</f>
        <v>26</v>
      </c>
      <c r="AE89" s="10" t="n">
        <f aca="false">AG89+AA$2</f>
        <v>36.2</v>
      </c>
      <c r="AF89" s="10" t="n">
        <f aca="false">AE89+Z$2</f>
        <v>35.1</v>
      </c>
      <c r="AG89" s="10" t="n">
        <f aca="false">W$2+X$2*(M89-1)+Y$2</f>
        <v>42.2</v>
      </c>
      <c r="AH89" s="10" t="n">
        <f aca="false">AJ89+AA$2</f>
        <v>56.8</v>
      </c>
      <c r="AI89" s="10" t="n">
        <f aca="false">AH89+Z$2</f>
        <v>55.7</v>
      </c>
      <c r="AJ89" s="12" t="n">
        <f aca="false">W$2+X$2*(R89-1)+2*Y$2</f>
        <v>62.8</v>
      </c>
    </row>
    <row r="90" customFormat="false" ht="55.4" hidden="false" customHeight="false" outlineLevel="0" collapsed="false">
      <c r="B90" s="8" t="s">
        <v>448</v>
      </c>
      <c r="C90" s="8" t="s">
        <v>48</v>
      </c>
      <c r="D90" s="22" t="s">
        <v>358</v>
      </c>
      <c r="E90" s="9" t="str">
        <f aca="false">D90&amp;C90</f>
        <v>LimbB</v>
      </c>
      <c r="F90" s="10" t="s">
        <v>449</v>
      </c>
      <c r="G90" s="11"/>
      <c r="H90" s="10" t="n">
        <v>1</v>
      </c>
      <c r="I90" s="12" t="s">
        <v>361</v>
      </c>
      <c r="J90" s="12" t="s">
        <v>450</v>
      </c>
      <c r="K90" s="12" t="s">
        <v>451</v>
      </c>
      <c r="L90" s="11"/>
      <c r="M90" s="10" t="n">
        <v>3</v>
      </c>
      <c r="N90" s="10" t="s">
        <v>42</v>
      </c>
      <c r="O90" s="10" t="s">
        <v>452</v>
      </c>
      <c r="P90" s="10" t="s">
        <v>453</v>
      </c>
      <c r="Q90" s="13"/>
      <c r="R90" s="10" t="n">
        <v>5</v>
      </c>
      <c r="S90" s="10" t="s">
        <v>39</v>
      </c>
      <c r="T90" s="10" t="s">
        <v>454</v>
      </c>
      <c r="U90" s="10" t="s">
        <v>455</v>
      </c>
      <c r="V90" s="11"/>
      <c r="W90" s="10"/>
      <c r="X90" s="10"/>
      <c r="Y90" s="10"/>
      <c r="Z90" s="10"/>
      <c r="AA90" s="10"/>
      <c r="AB90" s="10" t="n">
        <f aca="false">AD90+AA$2</f>
        <v>20</v>
      </c>
      <c r="AC90" s="10" t="n">
        <f aca="false">AB90+Z$2</f>
        <v>18.9</v>
      </c>
      <c r="AD90" s="10" t="n">
        <f aca="false">W$2+X$2*(H90-1)</f>
        <v>26</v>
      </c>
      <c r="AE90" s="10" t="n">
        <f aca="false">AG90+AA$2</f>
        <v>31.8</v>
      </c>
      <c r="AF90" s="10" t="n">
        <f aca="false">AE90+Z$2</f>
        <v>30.7</v>
      </c>
      <c r="AG90" s="10" t="n">
        <f aca="false">W$2+X$2*(M90-1)+Y$2</f>
        <v>37.8</v>
      </c>
      <c r="AH90" s="10" t="n">
        <f aca="false">AJ90+AA$2</f>
        <v>43.6</v>
      </c>
      <c r="AI90" s="10" t="n">
        <f aca="false">AH90+Z$2</f>
        <v>42.5</v>
      </c>
      <c r="AJ90" s="12" t="n">
        <f aca="false">W$2+X$2*(R90-1)+2*Y$2</f>
        <v>49.6</v>
      </c>
    </row>
    <row r="91" customFormat="false" ht="55.4" hidden="false" customHeight="false" outlineLevel="0" collapsed="false">
      <c r="B91" s="8" t="s">
        <v>456</v>
      </c>
      <c r="C91" s="8" t="s">
        <v>48</v>
      </c>
      <c r="D91" s="22" t="s">
        <v>358</v>
      </c>
      <c r="E91" s="9" t="str">
        <f aca="false">D91&amp;C91</f>
        <v>LimbB</v>
      </c>
      <c r="F91" s="10"/>
      <c r="G91" s="11"/>
      <c r="H91" s="10" t="n">
        <v>1</v>
      </c>
      <c r="I91" s="12" t="s">
        <v>361</v>
      </c>
      <c r="J91" s="12" t="s">
        <v>457</v>
      </c>
      <c r="K91" s="12" t="s">
        <v>430</v>
      </c>
      <c r="L91" s="11"/>
      <c r="M91" s="12" t="n">
        <v>9.5</v>
      </c>
      <c r="N91" s="10" t="s">
        <v>53</v>
      </c>
      <c r="O91" s="10" t="s">
        <v>364</v>
      </c>
      <c r="P91" s="10" t="s">
        <v>458</v>
      </c>
      <c r="Q91" s="13"/>
      <c r="R91" s="10"/>
      <c r="S91" s="10"/>
      <c r="T91" s="10"/>
      <c r="U91" s="10"/>
      <c r="V91" s="11"/>
      <c r="W91" s="10"/>
      <c r="X91" s="10"/>
      <c r="Y91" s="10"/>
      <c r="Z91" s="10"/>
      <c r="AA91" s="10"/>
      <c r="AB91" s="10" t="n">
        <f aca="false">AD91+AA$2</f>
        <v>20</v>
      </c>
      <c r="AC91" s="10" t="n">
        <f aca="false">AB91+Z$2</f>
        <v>18.9</v>
      </c>
      <c r="AD91" s="10" t="n">
        <f aca="false">W$2+X$2*(H91-1)</f>
        <v>26</v>
      </c>
      <c r="AE91" s="10" t="n">
        <f aca="false">AG91+AA$2</f>
        <v>60.4</v>
      </c>
      <c r="AF91" s="10" t="n">
        <f aca="false">AE91+Z$2</f>
        <v>59.3</v>
      </c>
      <c r="AG91" s="10" t="n">
        <f aca="false">W$2+X$2*(M91-1)+Y$2</f>
        <v>66.4</v>
      </c>
      <c r="AH91" s="10" t="n">
        <f aca="false">AJ91+AA$2</f>
        <v>21.6</v>
      </c>
      <c r="AI91" s="10" t="n">
        <f aca="false">AH91+Z$2</f>
        <v>20.5</v>
      </c>
      <c r="AJ91" s="12" t="n">
        <f aca="false">W$2+X$2*(R91-1)+2*Y$2</f>
        <v>27.6</v>
      </c>
    </row>
    <row r="92" customFormat="false" ht="55.4" hidden="false" customHeight="false" outlineLevel="0" collapsed="false">
      <c r="B92" s="8" t="s">
        <v>459</v>
      </c>
      <c r="C92" s="8" t="s">
        <v>48</v>
      </c>
      <c r="D92" s="22" t="s">
        <v>358</v>
      </c>
      <c r="E92" s="9" t="str">
        <f aca="false">D92&amp;C92</f>
        <v>LimbB</v>
      </c>
      <c r="F92" s="10"/>
      <c r="G92" s="11"/>
      <c r="H92" s="10" t="n">
        <v>1</v>
      </c>
      <c r="I92" s="12" t="s">
        <v>361</v>
      </c>
      <c r="J92" s="12" t="s">
        <v>460</v>
      </c>
      <c r="K92" s="12" t="s">
        <v>461</v>
      </c>
      <c r="L92" s="11"/>
      <c r="M92" s="10" t="n">
        <v>3</v>
      </c>
      <c r="N92" s="10" t="s">
        <v>361</v>
      </c>
      <c r="O92" s="10" t="s">
        <v>462</v>
      </c>
      <c r="P92" s="10" t="s">
        <v>463</v>
      </c>
      <c r="Q92" s="13"/>
      <c r="R92" s="12" t="n">
        <v>10</v>
      </c>
      <c r="S92" s="10" t="s">
        <v>53</v>
      </c>
      <c r="T92" s="10" t="s">
        <v>364</v>
      </c>
      <c r="U92" s="10" t="s">
        <v>458</v>
      </c>
      <c r="V92" s="11"/>
      <c r="W92" s="10"/>
      <c r="X92" s="10"/>
      <c r="Y92" s="10"/>
      <c r="Z92" s="10"/>
      <c r="AA92" s="10"/>
      <c r="AB92" s="10" t="n">
        <f aca="false">AD92+AA$2</f>
        <v>20</v>
      </c>
      <c r="AC92" s="10" t="n">
        <f aca="false">AB92+Z$2</f>
        <v>18.9</v>
      </c>
      <c r="AD92" s="10" t="n">
        <f aca="false">W$2+X$2*(H92-1)</f>
        <v>26</v>
      </c>
      <c r="AE92" s="10" t="n">
        <f aca="false">AG92+AA$2</f>
        <v>31.8</v>
      </c>
      <c r="AF92" s="10" t="n">
        <f aca="false">AE92+Z$2</f>
        <v>30.7</v>
      </c>
      <c r="AG92" s="10" t="n">
        <f aca="false">W$2+X$2*(M92-1)+Y$2</f>
        <v>37.8</v>
      </c>
      <c r="AH92" s="10" t="n">
        <f aca="false">AJ92+AA$2</f>
        <v>65.6</v>
      </c>
      <c r="AI92" s="10" t="n">
        <f aca="false">AH92+Z$2</f>
        <v>64.5</v>
      </c>
      <c r="AJ92" s="12" t="n">
        <f aca="false">W$2+X$2*(R92-1)+2*Y$2</f>
        <v>71.6</v>
      </c>
    </row>
    <row r="93" customFormat="false" ht="55.4" hidden="false" customHeight="false" outlineLevel="0" collapsed="false">
      <c r="B93" s="8" t="s">
        <v>464</v>
      </c>
      <c r="C93" s="8" t="s">
        <v>37</v>
      </c>
      <c r="D93" s="23" t="s">
        <v>358</v>
      </c>
      <c r="E93" s="9" t="str">
        <f aca="false">D93&amp;C93</f>
        <v>LimbA</v>
      </c>
      <c r="F93" s="12"/>
      <c r="G93" s="11"/>
      <c r="H93" s="10" t="n">
        <v>1</v>
      </c>
      <c r="I93" s="12" t="s">
        <v>361</v>
      </c>
      <c r="J93" s="12" t="s">
        <v>465</v>
      </c>
      <c r="K93" s="12" t="s">
        <v>466</v>
      </c>
      <c r="L93" s="11"/>
      <c r="M93" s="10"/>
      <c r="N93" s="10"/>
      <c r="O93" s="10"/>
      <c r="P93" s="12"/>
      <c r="Q93" s="13"/>
      <c r="R93" s="10"/>
      <c r="S93" s="10"/>
      <c r="T93" s="10"/>
      <c r="U93" s="12"/>
      <c r="V93" s="11"/>
      <c r="W93" s="10"/>
      <c r="X93" s="10"/>
      <c r="Y93" s="10"/>
      <c r="Z93" s="10"/>
      <c r="AA93" s="10"/>
      <c r="AB93" s="10" t="n">
        <f aca="false">AD93+AA$2</f>
        <v>20</v>
      </c>
      <c r="AC93" s="10" t="n">
        <f aca="false">AB93+Z$2</f>
        <v>18.9</v>
      </c>
      <c r="AD93" s="10" t="n">
        <f aca="false">W$2+X$2*(H93-1)</f>
        <v>26</v>
      </c>
      <c r="AE93" s="10" t="n">
        <f aca="false">AG93+AA$2</f>
        <v>18.6</v>
      </c>
      <c r="AF93" s="10" t="n">
        <f aca="false">AE93+Z$2</f>
        <v>17.5</v>
      </c>
      <c r="AG93" s="10" t="n">
        <f aca="false">W$2+X$2*(M93-1)+Y$2</f>
        <v>24.6</v>
      </c>
      <c r="AH93" s="10" t="n">
        <f aca="false">AJ93+AA$2</f>
        <v>21.6</v>
      </c>
      <c r="AI93" s="10" t="n">
        <f aca="false">AH93+Z$2</f>
        <v>20.5</v>
      </c>
      <c r="AJ93" s="12" t="n">
        <f aca="false">W$2+X$2*(R93-1)+2*Y$2</f>
        <v>27.6</v>
      </c>
    </row>
    <row r="94" customFormat="false" ht="55.4" hidden="false" customHeight="false" outlineLevel="0" collapsed="false">
      <c r="B94" s="8" t="s">
        <v>467</v>
      </c>
      <c r="C94" s="8" t="s">
        <v>48</v>
      </c>
      <c r="D94" s="22" t="s">
        <v>358</v>
      </c>
      <c r="E94" s="9" t="str">
        <f aca="false">D94&amp;C94</f>
        <v>LimbB</v>
      </c>
      <c r="F94" s="12"/>
      <c r="G94" s="11"/>
      <c r="H94" s="10" t="n">
        <v>1</v>
      </c>
      <c r="I94" s="12" t="s">
        <v>361</v>
      </c>
      <c r="J94" s="12" t="s">
        <v>468</v>
      </c>
      <c r="K94" s="12" t="s">
        <v>368</v>
      </c>
      <c r="L94" s="11"/>
      <c r="M94" s="10" t="n">
        <v>3</v>
      </c>
      <c r="N94" s="10" t="s">
        <v>39</v>
      </c>
      <c r="O94" s="10" t="s">
        <v>469</v>
      </c>
      <c r="P94" s="10" t="s">
        <v>470</v>
      </c>
      <c r="Q94" s="13"/>
      <c r="R94" s="10" t="n">
        <v>11</v>
      </c>
      <c r="S94" s="10" t="s">
        <v>53</v>
      </c>
      <c r="T94" s="10" t="s">
        <v>364</v>
      </c>
      <c r="U94" s="12" t="s">
        <v>471</v>
      </c>
      <c r="V94" s="11"/>
      <c r="W94" s="10"/>
      <c r="X94" s="10"/>
      <c r="Y94" s="10"/>
      <c r="Z94" s="10"/>
      <c r="AA94" s="10"/>
      <c r="AB94" s="10" t="n">
        <f aca="false">AD94+AA$2</f>
        <v>20</v>
      </c>
      <c r="AC94" s="10" t="n">
        <f aca="false">AB94+Z$2</f>
        <v>18.9</v>
      </c>
      <c r="AD94" s="10" t="n">
        <f aca="false">W$2+X$2*(H94-1)</f>
        <v>26</v>
      </c>
      <c r="AE94" s="10" t="n">
        <f aca="false">AG94+AA$2</f>
        <v>31.8</v>
      </c>
      <c r="AF94" s="10" t="n">
        <f aca="false">AE94+Z$2</f>
        <v>30.7</v>
      </c>
      <c r="AG94" s="10" t="n">
        <f aca="false">W$2+X$2*(M94-1)+Y$2</f>
        <v>37.8</v>
      </c>
      <c r="AH94" s="10" t="n">
        <f aca="false">AJ94+AA$2</f>
        <v>70</v>
      </c>
      <c r="AI94" s="10" t="n">
        <f aca="false">AH94+Z$2</f>
        <v>68.9</v>
      </c>
      <c r="AJ94" s="12" t="n">
        <f aca="false">W$2+X$2*(R94-1)+2*Y$2</f>
        <v>76</v>
      </c>
    </row>
    <row r="95" customFormat="false" ht="55.4" hidden="false" customHeight="false" outlineLevel="0" collapsed="false">
      <c r="B95" s="8" t="s">
        <v>472</v>
      </c>
      <c r="C95" s="8" t="s">
        <v>48</v>
      </c>
      <c r="D95" s="22" t="s">
        <v>358</v>
      </c>
      <c r="E95" s="9" t="str">
        <f aca="false">D95&amp;C95</f>
        <v>LimbB</v>
      </c>
      <c r="F95" s="10"/>
      <c r="G95" s="11"/>
      <c r="H95" s="10" t="n">
        <v>1</v>
      </c>
      <c r="I95" s="12" t="s">
        <v>361</v>
      </c>
      <c r="J95" s="12" t="s">
        <v>473</v>
      </c>
      <c r="K95" s="12" t="s">
        <v>474</v>
      </c>
      <c r="L95" s="11"/>
      <c r="M95" s="10" t="n">
        <v>8.5</v>
      </c>
      <c r="N95" s="10" t="s">
        <v>361</v>
      </c>
      <c r="O95" s="10" t="s">
        <v>475</v>
      </c>
      <c r="P95" s="24" t="s">
        <v>476</v>
      </c>
      <c r="Q95" s="13"/>
      <c r="R95" s="10"/>
      <c r="S95" s="10"/>
      <c r="T95" s="10"/>
      <c r="U95" s="10"/>
      <c r="V95" s="11"/>
      <c r="W95" s="10"/>
      <c r="X95" s="10"/>
      <c r="Y95" s="10"/>
      <c r="Z95" s="10"/>
      <c r="AA95" s="10"/>
      <c r="AB95" s="10" t="n">
        <f aca="false">AD95+AA$2</f>
        <v>20</v>
      </c>
      <c r="AC95" s="10" t="n">
        <f aca="false">AB95+Z$2</f>
        <v>18.9</v>
      </c>
      <c r="AD95" s="10" t="n">
        <f aca="false">W$2+X$2*(H95-1)</f>
        <v>26</v>
      </c>
      <c r="AE95" s="10" t="n">
        <f aca="false">AG95+AA$2</f>
        <v>56</v>
      </c>
      <c r="AF95" s="10" t="n">
        <f aca="false">AE95+Z$2</f>
        <v>54.9</v>
      </c>
      <c r="AG95" s="10" t="n">
        <f aca="false">W$2+X$2*(M95-1)+Y$2</f>
        <v>62</v>
      </c>
      <c r="AH95" s="10" t="n">
        <f aca="false">AJ95+AA$2</f>
        <v>21.6</v>
      </c>
      <c r="AI95" s="10" t="n">
        <f aca="false">AH95+Z$2</f>
        <v>20.5</v>
      </c>
      <c r="AJ95" s="12" t="n">
        <f aca="false">W$2+X$2*(R95-1)+2*Y$2</f>
        <v>27.6</v>
      </c>
    </row>
    <row r="96" customFormat="false" ht="55.4" hidden="false" customHeight="false" outlineLevel="0" collapsed="false">
      <c r="B96" s="8" t="s">
        <v>477</v>
      </c>
      <c r="C96" s="8" t="s">
        <v>48</v>
      </c>
      <c r="D96" s="22" t="s">
        <v>358</v>
      </c>
      <c r="E96" s="9" t="str">
        <f aca="false">D96&amp;C96</f>
        <v>LimbB</v>
      </c>
      <c r="F96" s="10"/>
      <c r="G96" s="11"/>
      <c r="H96" s="10" t="n">
        <v>1</v>
      </c>
      <c r="I96" s="12" t="s">
        <v>361</v>
      </c>
      <c r="J96" s="12" t="s">
        <v>478</v>
      </c>
      <c r="K96" s="12" t="s">
        <v>391</v>
      </c>
      <c r="L96" s="11"/>
      <c r="M96" s="10" t="n">
        <v>3</v>
      </c>
      <c r="N96" s="10" t="s">
        <v>361</v>
      </c>
      <c r="O96" s="10" t="s">
        <v>479</v>
      </c>
      <c r="P96" s="10" t="s">
        <v>480</v>
      </c>
      <c r="Q96" s="13"/>
      <c r="R96" s="10"/>
      <c r="S96" s="10"/>
      <c r="T96" s="10"/>
      <c r="U96" s="10"/>
      <c r="V96" s="11"/>
      <c r="W96" s="10"/>
      <c r="X96" s="10"/>
      <c r="Y96" s="10"/>
      <c r="Z96" s="10"/>
      <c r="AA96" s="10"/>
      <c r="AB96" s="10" t="n">
        <f aca="false">AD96+AA$2</f>
        <v>20</v>
      </c>
      <c r="AC96" s="10" t="n">
        <f aca="false">AB96+Z$2</f>
        <v>18.9</v>
      </c>
      <c r="AD96" s="10" t="n">
        <f aca="false">W$2+X$2*(H96-1)</f>
        <v>26</v>
      </c>
      <c r="AE96" s="10" t="n">
        <f aca="false">AG96+AA$2</f>
        <v>31.8</v>
      </c>
      <c r="AF96" s="10" t="n">
        <f aca="false">AE96+Z$2</f>
        <v>30.7</v>
      </c>
      <c r="AG96" s="10" t="n">
        <f aca="false">W$2+X$2*(M96-1)+Y$2</f>
        <v>37.8</v>
      </c>
      <c r="AH96" s="10" t="n">
        <f aca="false">AJ96+AA$2</f>
        <v>21.6</v>
      </c>
      <c r="AI96" s="10" t="n">
        <f aca="false">AH96+Z$2</f>
        <v>20.5</v>
      </c>
      <c r="AJ96" s="12" t="n">
        <f aca="false">W$2+X$2*(R96-1)+2*Y$2</f>
        <v>27.6</v>
      </c>
    </row>
    <row r="97" customFormat="false" ht="55.4" hidden="false" customHeight="false" outlineLevel="0" collapsed="false">
      <c r="B97" s="8" t="s">
        <v>481</v>
      </c>
      <c r="C97" s="8" t="s">
        <v>48</v>
      </c>
      <c r="D97" s="22" t="s">
        <v>358</v>
      </c>
      <c r="E97" s="9" t="str">
        <f aca="false">D97&amp;C97</f>
        <v>LimbB</v>
      </c>
      <c r="F97" s="10"/>
      <c r="G97" s="11"/>
      <c r="H97" s="10" t="n">
        <v>1</v>
      </c>
      <c r="I97" s="12" t="s">
        <v>361</v>
      </c>
      <c r="J97" s="12" t="s">
        <v>482</v>
      </c>
      <c r="K97" s="12" t="s">
        <v>483</v>
      </c>
      <c r="L97" s="11"/>
      <c r="M97" s="10" t="n">
        <v>3</v>
      </c>
      <c r="N97" s="10" t="s">
        <v>154</v>
      </c>
      <c r="O97" s="10" t="s">
        <v>484</v>
      </c>
      <c r="P97" s="10" t="s">
        <v>485</v>
      </c>
      <c r="Q97" s="13"/>
      <c r="R97" s="10"/>
      <c r="S97" s="10"/>
      <c r="T97" s="10"/>
      <c r="U97" s="10"/>
      <c r="V97" s="11"/>
      <c r="W97" s="10"/>
      <c r="X97" s="10"/>
      <c r="Y97" s="10"/>
      <c r="Z97" s="10"/>
      <c r="AA97" s="10"/>
      <c r="AB97" s="10" t="n">
        <f aca="false">AD97+AA$2</f>
        <v>20</v>
      </c>
      <c r="AC97" s="10" t="n">
        <f aca="false">AB97+Z$2</f>
        <v>18.9</v>
      </c>
      <c r="AD97" s="10" t="n">
        <f aca="false">W$2+X$2*(H97-1)</f>
        <v>26</v>
      </c>
      <c r="AE97" s="10" t="n">
        <f aca="false">AG97+AA$2</f>
        <v>31.8</v>
      </c>
      <c r="AF97" s="10" t="n">
        <f aca="false">AE97+Z$2</f>
        <v>30.7</v>
      </c>
      <c r="AG97" s="10" t="n">
        <f aca="false">W$2+X$2*(M97-1)+Y$2</f>
        <v>37.8</v>
      </c>
      <c r="AH97" s="10" t="n">
        <f aca="false">AJ97+AA$2</f>
        <v>21.6</v>
      </c>
      <c r="AI97" s="10" t="n">
        <f aca="false">AH97+Z$2</f>
        <v>20.5</v>
      </c>
      <c r="AJ97" s="12" t="n">
        <f aca="false">W$2+X$2*(R97-1)+2*Y$2</f>
        <v>27.6</v>
      </c>
    </row>
    <row r="98" customFormat="false" ht="55.4" hidden="false" customHeight="false" outlineLevel="0" collapsed="false">
      <c r="B98" s="8" t="s">
        <v>486</v>
      </c>
      <c r="C98" s="8" t="s">
        <v>37</v>
      </c>
      <c r="D98" s="22" t="s">
        <v>358</v>
      </c>
      <c r="E98" s="9" t="str">
        <f aca="false">D98&amp;C98</f>
        <v>LimbA</v>
      </c>
      <c r="F98" s="10" t="s">
        <v>487</v>
      </c>
      <c r="G98" s="11"/>
      <c r="H98" s="10" t="n">
        <v>1</v>
      </c>
      <c r="I98" s="12" t="s">
        <v>42</v>
      </c>
      <c r="J98" s="12" t="s">
        <v>488</v>
      </c>
      <c r="K98" s="12" t="s">
        <v>489</v>
      </c>
      <c r="L98" s="11"/>
      <c r="M98" s="10" t="n">
        <v>5</v>
      </c>
      <c r="N98" s="10" t="s">
        <v>42</v>
      </c>
      <c r="O98" s="10" t="s">
        <v>490</v>
      </c>
      <c r="P98" s="10" t="s">
        <v>491</v>
      </c>
      <c r="Q98" s="13"/>
      <c r="R98" s="10"/>
      <c r="S98" s="10"/>
      <c r="T98" s="10"/>
      <c r="U98" s="10"/>
      <c r="V98" s="11"/>
      <c r="W98" s="10"/>
      <c r="X98" s="10"/>
      <c r="Y98" s="10"/>
      <c r="Z98" s="10"/>
      <c r="AA98" s="10"/>
      <c r="AB98" s="10" t="n">
        <f aca="false">AD98+AA$2</f>
        <v>20</v>
      </c>
      <c r="AC98" s="10" t="n">
        <f aca="false">AB98+Z$2</f>
        <v>18.9</v>
      </c>
      <c r="AD98" s="10" t="n">
        <f aca="false">W$2+X$2*(H98-1)</f>
        <v>26</v>
      </c>
      <c r="AE98" s="10" t="n">
        <f aca="false">AG98+AA$2</f>
        <v>40.6</v>
      </c>
      <c r="AF98" s="10" t="n">
        <f aca="false">AE98+Z$2</f>
        <v>39.5</v>
      </c>
      <c r="AG98" s="10" t="n">
        <f aca="false">W$2+X$2*(M98-1)+Y$2</f>
        <v>46.6</v>
      </c>
      <c r="AH98" s="10" t="n">
        <f aca="false">AJ98+AA$2</f>
        <v>21.6</v>
      </c>
      <c r="AI98" s="10" t="n">
        <f aca="false">AH98+Z$2</f>
        <v>20.5</v>
      </c>
      <c r="AJ98" s="12" t="n">
        <f aca="false">W$2+X$2*(R98-1)+2*Y$2</f>
        <v>27.6</v>
      </c>
    </row>
    <row r="99" customFormat="false" ht="55.4" hidden="false" customHeight="false" outlineLevel="0" collapsed="false">
      <c r="B99" s="8" t="s">
        <v>492</v>
      </c>
      <c r="C99" s="8" t="s">
        <v>37</v>
      </c>
      <c r="D99" s="22" t="s">
        <v>358</v>
      </c>
      <c r="E99" s="9" t="str">
        <f aca="false">D99&amp;C99</f>
        <v>LimbA</v>
      </c>
      <c r="F99" s="12"/>
      <c r="G99" s="11"/>
      <c r="H99" s="10" t="n">
        <v>1</v>
      </c>
      <c r="I99" s="12" t="s">
        <v>361</v>
      </c>
      <c r="J99" s="12" t="s">
        <v>493</v>
      </c>
      <c r="K99" s="12" t="s">
        <v>391</v>
      </c>
      <c r="L99" s="11"/>
      <c r="M99" s="10" t="n">
        <v>3</v>
      </c>
      <c r="N99" s="10" t="s">
        <v>39</v>
      </c>
      <c r="O99" s="10" t="s">
        <v>494</v>
      </c>
      <c r="P99" s="12" t="s">
        <v>495</v>
      </c>
      <c r="Q99" s="13"/>
      <c r="R99" s="10"/>
      <c r="S99" s="10"/>
      <c r="T99" s="10"/>
      <c r="U99" s="12"/>
      <c r="V99" s="11"/>
      <c r="W99" s="10"/>
      <c r="X99" s="10"/>
      <c r="Y99" s="10"/>
      <c r="Z99" s="10"/>
      <c r="AA99" s="10"/>
      <c r="AB99" s="10" t="n">
        <f aca="false">AD99+AA$2</f>
        <v>20</v>
      </c>
      <c r="AC99" s="10" t="n">
        <f aca="false">AB99+Z$2</f>
        <v>18.9</v>
      </c>
      <c r="AD99" s="10" t="n">
        <f aca="false">W$2+X$2*(H99-1)</f>
        <v>26</v>
      </c>
      <c r="AE99" s="10" t="n">
        <f aca="false">AG99+AA$2</f>
        <v>31.8</v>
      </c>
      <c r="AF99" s="10" t="n">
        <f aca="false">AE99+Z$2</f>
        <v>30.7</v>
      </c>
      <c r="AG99" s="10" t="n">
        <f aca="false">W$2+X$2*(M99-1)+Y$2</f>
        <v>37.8</v>
      </c>
      <c r="AH99" s="10" t="n">
        <f aca="false">AJ99+AA$2</f>
        <v>21.6</v>
      </c>
      <c r="AI99" s="10" t="n">
        <f aca="false">AH99+Z$2</f>
        <v>20.5</v>
      </c>
      <c r="AJ99" s="12" t="n">
        <f aca="false">W$2+X$2*(R99-1)+2*Y$2</f>
        <v>27.6</v>
      </c>
    </row>
    <row r="100" customFormat="false" ht="55.4" hidden="false" customHeight="false" outlineLevel="0" collapsed="false">
      <c r="B100" s="8" t="s">
        <v>496</v>
      </c>
      <c r="C100" s="8" t="s">
        <v>48</v>
      </c>
      <c r="D100" s="22" t="s">
        <v>358</v>
      </c>
      <c r="E100" s="9" t="str">
        <f aca="false">D100&amp;C100</f>
        <v>LimbB</v>
      </c>
      <c r="F100" s="10"/>
      <c r="G100" s="11"/>
      <c r="H100" s="10" t="n">
        <v>1</v>
      </c>
      <c r="I100" s="12" t="s">
        <v>361</v>
      </c>
      <c r="J100" s="12" t="s">
        <v>497</v>
      </c>
      <c r="K100" s="12" t="s">
        <v>498</v>
      </c>
      <c r="L100" s="11"/>
      <c r="M100" s="10" t="n">
        <v>4</v>
      </c>
      <c r="N100" s="10" t="s">
        <v>39</v>
      </c>
      <c r="O100" s="10" t="s">
        <v>499</v>
      </c>
      <c r="P100" s="10" t="s">
        <v>500</v>
      </c>
      <c r="Q100" s="13"/>
      <c r="R100" s="10"/>
      <c r="S100" s="10"/>
      <c r="T100" s="10"/>
      <c r="U100" s="10"/>
      <c r="V100" s="11"/>
      <c r="W100" s="10"/>
      <c r="X100" s="10"/>
      <c r="Y100" s="10"/>
      <c r="Z100" s="10"/>
      <c r="AA100" s="10"/>
      <c r="AB100" s="10" t="n">
        <f aca="false">AD100+AA$2</f>
        <v>20</v>
      </c>
      <c r="AC100" s="10" t="n">
        <f aca="false">AB100+Z$2</f>
        <v>18.9</v>
      </c>
      <c r="AD100" s="10" t="n">
        <f aca="false">W$2+X$2*(H100-1)</f>
        <v>26</v>
      </c>
      <c r="AE100" s="10" t="n">
        <f aca="false">AG100+AA$2</f>
        <v>36.2</v>
      </c>
      <c r="AF100" s="10" t="n">
        <f aca="false">AE100+Z$2</f>
        <v>35.1</v>
      </c>
      <c r="AG100" s="10" t="n">
        <f aca="false">W$2+X$2*(M100-1)+Y$2</f>
        <v>42.2</v>
      </c>
      <c r="AH100" s="10" t="n">
        <f aca="false">AJ100+AA$2</f>
        <v>21.6</v>
      </c>
      <c r="AI100" s="10" t="n">
        <f aca="false">AH100+Z$2</f>
        <v>20.5</v>
      </c>
      <c r="AJ100" s="12" t="n">
        <f aca="false">W$2+X$2*(R100-1)+2*Y$2</f>
        <v>27.6</v>
      </c>
    </row>
    <row r="101" customFormat="false" ht="55.4" hidden="false" customHeight="false" outlineLevel="0" collapsed="false">
      <c r="B101" s="8" t="s">
        <v>501</v>
      </c>
      <c r="C101" s="8" t="s">
        <v>48</v>
      </c>
      <c r="D101" s="22" t="s">
        <v>358</v>
      </c>
      <c r="E101" s="9" t="str">
        <f aca="false">D101&amp;C101</f>
        <v>LimbB</v>
      </c>
      <c r="F101" s="10"/>
      <c r="G101" s="11"/>
      <c r="H101" s="10" t="n">
        <v>1</v>
      </c>
      <c r="I101" s="12" t="s">
        <v>361</v>
      </c>
      <c r="J101" s="12" t="s">
        <v>502</v>
      </c>
      <c r="K101" s="12" t="s">
        <v>461</v>
      </c>
      <c r="L101" s="11"/>
      <c r="M101" s="10" t="n">
        <v>10.5</v>
      </c>
      <c r="N101" s="10" t="s">
        <v>53</v>
      </c>
      <c r="O101" s="10" t="s">
        <v>364</v>
      </c>
      <c r="P101" s="10" t="s">
        <v>503</v>
      </c>
      <c r="Q101" s="13"/>
      <c r="R101" s="10"/>
      <c r="S101" s="10"/>
      <c r="T101" s="10"/>
      <c r="U101" s="10"/>
      <c r="V101" s="11"/>
      <c r="W101" s="10"/>
      <c r="X101" s="10"/>
      <c r="Y101" s="10"/>
      <c r="Z101" s="10"/>
      <c r="AA101" s="10"/>
      <c r="AB101" s="10" t="n">
        <f aca="false">AD101+AA$2</f>
        <v>20</v>
      </c>
      <c r="AC101" s="10" t="n">
        <f aca="false">AB101+Z$2</f>
        <v>18.9</v>
      </c>
      <c r="AD101" s="10" t="n">
        <f aca="false">W$2+X$2*(H101-1)</f>
        <v>26</v>
      </c>
      <c r="AE101" s="10" t="n">
        <f aca="false">AG101+AA$2</f>
        <v>64.8</v>
      </c>
      <c r="AF101" s="10" t="n">
        <f aca="false">AE101+Z$2</f>
        <v>63.7</v>
      </c>
      <c r="AG101" s="10" t="n">
        <f aca="false">W$2+X$2*(M101-1)+Y$2</f>
        <v>70.8</v>
      </c>
      <c r="AH101" s="10" t="n">
        <f aca="false">AJ101+AA$2</f>
        <v>21.6</v>
      </c>
      <c r="AI101" s="10" t="n">
        <f aca="false">AH101+Z$2</f>
        <v>20.5</v>
      </c>
      <c r="AJ101" s="12" t="n">
        <f aca="false">W$2+X$2*(R101-1)+2*Y$2</f>
        <v>27.6</v>
      </c>
    </row>
    <row r="102" customFormat="false" ht="55.4" hidden="false" customHeight="false" outlineLevel="0" collapsed="false">
      <c r="B102" s="8" t="s">
        <v>504</v>
      </c>
      <c r="C102" s="8" t="s">
        <v>48</v>
      </c>
      <c r="D102" s="22" t="s">
        <v>358</v>
      </c>
      <c r="E102" s="9" t="str">
        <f aca="false">D102&amp;C102</f>
        <v>LimbB</v>
      </c>
      <c r="F102" s="10"/>
      <c r="G102" s="11"/>
      <c r="H102" s="10" t="n">
        <v>1</v>
      </c>
      <c r="I102" s="12" t="s">
        <v>154</v>
      </c>
      <c r="J102" s="12" t="s">
        <v>505</v>
      </c>
      <c r="K102" s="12" t="s">
        <v>506</v>
      </c>
      <c r="L102" s="11"/>
      <c r="M102" s="10" t="n">
        <v>6</v>
      </c>
      <c r="N102" s="10" t="s">
        <v>39</v>
      </c>
      <c r="O102" s="10" t="s">
        <v>507</v>
      </c>
      <c r="P102" s="10" t="s">
        <v>508</v>
      </c>
      <c r="Q102" s="13"/>
      <c r="R102" s="10"/>
      <c r="S102" s="10"/>
      <c r="T102" s="10"/>
      <c r="U102" s="10"/>
      <c r="V102" s="11"/>
      <c r="W102" s="10"/>
      <c r="X102" s="10"/>
      <c r="Y102" s="10"/>
      <c r="Z102" s="10"/>
      <c r="AA102" s="10"/>
      <c r="AB102" s="10" t="n">
        <f aca="false">AD102+AA$2</f>
        <v>20</v>
      </c>
      <c r="AC102" s="10" t="n">
        <f aca="false">AB102+Z$2</f>
        <v>18.9</v>
      </c>
      <c r="AD102" s="10" t="n">
        <f aca="false">W$2+X$2*(H102-1)</f>
        <v>26</v>
      </c>
      <c r="AE102" s="10" t="n">
        <f aca="false">AG102+AA$2</f>
        <v>45</v>
      </c>
      <c r="AF102" s="10" t="n">
        <f aca="false">AE102+Z$2</f>
        <v>43.9</v>
      </c>
      <c r="AG102" s="10" t="n">
        <f aca="false">W$2+X$2*(M102-1)+Y$2</f>
        <v>51</v>
      </c>
      <c r="AH102" s="10" t="n">
        <f aca="false">AJ102+AA$2</f>
        <v>21.6</v>
      </c>
      <c r="AI102" s="10" t="n">
        <f aca="false">AH102+Z$2</f>
        <v>20.5</v>
      </c>
      <c r="AJ102" s="12" t="n">
        <f aca="false">W$2+X$2*(R102-1)+2*Y$2</f>
        <v>27.6</v>
      </c>
    </row>
    <row r="103" customFormat="false" ht="55.4" hidden="false" customHeight="false" outlineLevel="0" collapsed="false">
      <c r="B103" s="8" t="s">
        <v>509</v>
      </c>
      <c r="C103" s="8" t="s">
        <v>48</v>
      </c>
      <c r="D103" s="22" t="s">
        <v>358</v>
      </c>
      <c r="E103" s="9" t="str">
        <f aca="false">D103&amp;C103</f>
        <v>LimbB</v>
      </c>
      <c r="F103" s="12"/>
      <c r="G103" s="11"/>
      <c r="H103" s="10" t="n">
        <v>1</v>
      </c>
      <c r="I103" s="12" t="s">
        <v>361</v>
      </c>
      <c r="J103" s="12" t="s">
        <v>510</v>
      </c>
      <c r="K103" s="12" t="s">
        <v>461</v>
      </c>
      <c r="L103" s="11"/>
      <c r="M103" s="10" t="n">
        <v>3</v>
      </c>
      <c r="N103" s="10" t="s">
        <v>42</v>
      </c>
      <c r="O103" s="10" t="s">
        <v>511</v>
      </c>
      <c r="P103" s="10" t="s">
        <v>512</v>
      </c>
      <c r="Q103" s="13"/>
      <c r="R103" s="10"/>
      <c r="S103" s="10"/>
      <c r="T103" s="10"/>
      <c r="U103" s="12"/>
      <c r="V103" s="11"/>
      <c r="W103" s="10"/>
      <c r="X103" s="10"/>
      <c r="Y103" s="10"/>
      <c r="Z103" s="10"/>
      <c r="AA103" s="10"/>
      <c r="AB103" s="10" t="n">
        <f aca="false">AD103+AA$2</f>
        <v>20</v>
      </c>
      <c r="AC103" s="10" t="n">
        <f aca="false">AB103+Z$2</f>
        <v>18.9</v>
      </c>
      <c r="AD103" s="10" t="n">
        <f aca="false">W$2+X$2*(H103-1)</f>
        <v>26</v>
      </c>
      <c r="AE103" s="10" t="n">
        <f aca="false">AG103+AA$2</f>
        <v>31.8</v>
      </c>
      <c r="AF103" s="10" t="n">
        <f aca="false">AE103+Z$2</f>
        <v>30.7</v>
      </c>
      <c r="AG103" s="10" t="n">
        <f aca="false">W$2+X$2*(M103-1)+Y$2</f>
        <v>37.8</v>
      </c>
      <c r="AH103" s="10" t="n">
        <f aca="false">AJ103+AA$2</f>
        <v>21.6</v>
      </c>
      <c r="AI103" s="10" t="n">
        <f aca="false">AH103+Z$2</f>
        <v>20.5</v>
      </c>
      <c r="AJ103" s="12" t="n">
        <f aca="false">W$2+X$2*(R103-1)+2*Y$2</f>
        <v>27.6</v>
      </c>
    </row>
    <row r="104" customFormat="false" ht="55.4" hidden="false" customHeight="false" outlineLevel="0" collapsed="false">
      <c r="B104" s="8" t="s">
        <v>513</v>
      </c>
      <c r="C104" s="8" t="s">
        <v>48</v>
      </c>
      <c r="D104" s="22" t="s">
        <v>358</v>
      </c>
      <c r="E104" s="9" t="str">
        <f aca="false">D104&amp;C104</f>
        <v>LimbB</v>
      </c>
      <c r="F104" s="10"/>
      <c r="G104" s="11"/>
      <c r="H104" s="10" t="n">
        <v>1</v>
      </c>
      <c r="I104" s="12" t="s">
        <v>361</v>
      </c>
      <c r="J104" s="12" t="s">
        <v>514</v>
      </c>
      <c r="K104" s="12" t="s">
        <v>368</v>
      </c>
      <c r="L104" s="11"/>
      <c r="M104" s="10" t="n">
        <v>3</v>
      </c>
      <c r="N104" s="10" t="s">
        <v>39</v>
      </c>
      <c r="O104" s="10" t="s">
        <v>515</v>
      </c>
      <c r="P104" s="10" t="s">
        <v>516</v>
      </c>
      <c r="Q104" s="13"/>
      <c r="R104" s="10" t="n">
        <v>11</v>
      </c>
      <c r="S104" s="10" t="s">
        <v>53</v>
      </c>
      <c r="T104" s="10" t="s">
        <v>364</v>
      </c>
      <c r="U104" s="10" t="s">
        <v>471</v>
      </c>
      <c r="V104" s="11"/>
      <c r="W104" s="10"/>
      <c r="X104" s="10"/>
      <c r="Y104" s="10"/>
      <c r="Z104" s="10"/>
      <c r="AA104" s="10"/>
      <c r="AB104" s="10" t="n">
        <f aca="false">AD104+AA$2</f>
        <v>20</v>
      </c>
      <c r="AC104" s="10" t="n">
        <f aca="false">AB104+Z$2</f>
        <v>18.9</v>
      </c>
      <c r="AD104" s="10" t="n">
        <f aca="false">W$2+X$2*(H104-1)</f>
        <v>26</v>
      </c>
      <c r="AE104" s="10" t="n">
        <f aca="false">AG104+AA$2</f>
        <v>31.8</v>
      </c>
      <c r="AF104" s="10" t="n">
        <f aca="false">AE104+Z$2</f>
        <v>30.7</v>
      </c>
      <c r="AG104" s="10" t="n">
        <f aca="false">W$2+X$2*(M104-1)+Y$2</f>
        <v>37.8</v>
      </c>
      <c r="AH104" s="10" t="n">
        <f aca="false">AJ104+AA$2</f>
        <v>70</v>
      </c>
      <c r="AI104" s="10" t="n">
        <f aca="false">AH104+Z$2</f>
        <v>68.9</v>
      </c>
      <c r="AJ104" s="12" t="n">
        <f aca="false">W$2+X$2*(R104-1)+2*Y$2</f>
        <v>76</v>
      </c>
    </row>
    <row r="105" customFormat="false" ht="55.4" hidden="false" customHeight="false" outlineLevel="0" collapsed="false">
      <c r="B105" s="8" t="s">
        <v>517</v>
      </c>
      <c r="C105" s="8" t="s">
        <v>48</v>
      </c>
      <c r="D105" s="22" t="s">
        <v>358</v>
      </c>
      <c r="E105" s="9" t="str">
        <f aca="false">D105&amp;C105</f>
        <v>LimbB</v>
      </c>
      <c r="F105" s="10"/>
      <c r="G105" s="11"/>
      <c r="H105" s="10" t="n">
        <v>1</v>
      </c>
      <c r="I105" s="12" t="s">
        <v>361</v>
      </c>
      <c r="J105" s="12" t="s">
        <v>518</v>
      </c>
      <c r="K105" s="12" t="s">
        <v>519</v>
      </c>
      <c r="L105" s="11"/>
      <c r="M105" s="10"/>
      <c r="N105" s="10"/>
      <c r="O105" s="10"/>
      <c r="P105" s="10"/>
      <c r="Q105" s="13"/>
      <c r="R105" s="10"/>
      <c r="S105" s="10"/>
      <c r="T105" s="10"/>
      <c r="U105" s="10"/>
      <c r="V105" s="11"/>
      <c r="W105" s="10"/>
      <c r="X105" s="10"/>
      <c r="Y105" s="10"/>
      <c r="Z105" s="10"/>
      <c r="AA105" s="10"/>
      <c r="AB105" s="10" t="n">
        <f aca="false">AD105+AA$2</f>
        <v>20</v>
      </c>
      <c r="AC105" s="10" t="n">
        <f aca="false">AB105+Z$2</f>
        <v>18.9</v>
      </c>
      <c r="AD105" s="10" t="n">
        <f aca="false">W$2+X$2*(H105-1)</f>
        <v>26</v>
      </c>
      <c r="AE105" s="10" t="n">
        <f aca="false">AG105+AA$2</f>
        <v>18.6</v>
      </c>
      <c r="AF105" s="10" t="n">
        <f aca="false">AE105+Z$2</f>
        <v>17.5</v>
      </c>
      <c r="AG105" s="10" t="n">
        <f aca="false">W$2+X$2*(M105-1)+Y$2</f>
        <v>24.6</v>
      </c>
      <c r="AH105" s="10" t="n">
        <f aca="false">AJ105+AA$2</f>
        <v>21.6</v>
      </c>
      <c r="AI105" s="10" t="n">
        <f aca="false">AH105+Z$2</f>
        <v>20.5</v>
      </c>
      <c r="AJ105" s="12" t="n">
        <f aca="false">W$2+X$2*(R105-1)+2*Y$2</f>
        <v>27.6</v>
      </c>
    </row>
    <row r="106" customFormat="false" ht="55.4" hidden="false" customHeight="false" outlineLevel="0" collapsed="false">
      <c r="B106" s="8" t="s">
        <v>520</v>
      </c>
      <c r="C106" s="8" t="s">
        <v>48</v>
      </c>
      <c r="D106" s="23" t="s">
        <v>358</v>
      </c>
      <c r="E106" s="9" t="str">
        <f aca="false">D106&amp;C106</f>
        <v>LimbB</v>
      </c>
      <c r="F106" s="12"/>
      <c r="G106" s="11"/>
      <c r="H106" s="10" t="n">
        <v>1</v>
      </c>
      <c r="I106" s="12" t="s">
        <v>361</v>
      </c>
      <c r="J106" s="12" t="s">
        <v>521</v>
      </c>
      <c r="K106" s="12" t="s">
        <v>522</v>
      </c>
      <c r="L106" s="11"/>
      <c r="M106" s="10"/>
      <c r="N106" s="10"/>
      <c r="O106" s="10"/>
      <c r="P106" s="12"/>
      <c r="Q106" s="13"/>
      <c r="R106" s="10"/>
      <c r="S106" s="10"/>
      <c r="T106" s="10"/>
      <c r="U106" s="12"/>
      <c r="V106" s="11"/>
      <c r="W106" s="10"/>
      <c r="X106" s="10"/>
      <c r="Y106" s="10"/>
      <c r="Z106" s="10"/>
      <c r="AA106" s="10"/>
      <c r="AB106" s="10" t="n">
        <f aca="false">AD106+AA$2</f>
        <v>20</v>
      </c>
      <c r="AC106" s="10" t="n">
        <f aca="false">AB106+Z$2</f>
        <v>18.9</v>
      </c>
      <c r="AD106" s="10" t="n">
        <f aca="false">W$2+X$2*(H106-1)</f>
        <v>26</v>
      </c>
      <c r="AE106" s="10" t="n">
        <f aca="false">AG106+AA$2</f>
        <v>18.6</v>
      </c>
      <c r="AF106" s="10" t="n">
        <f aca="false">AE106+Z$2</f>
        <v>17.5</v>
      </c>
      <c r="AG106" s="10" t="n">
        <f aca="false">W$2+X$2*(M106-1)+Y$2</f>
        <v>24.6</v>
      </c>
      <c r="AH106" s="10" t="n">
        <f aca="false">AJ106+AA$2</f>
        <v>21.6</v>
      </c>
      <c r="AI106" s="10" t="n">
        <f aca="false">AH106+Z$2</f>
        <v>20.5</v>
      </c>
      <c r="AJ106" s="12" t="n">
        <f aca="false">W$2+X$2*(R106-1)+2*Y$2</f>
        <v>27.6</v>
      </c>
    </row>
    <row r="107" customFormat="false" ht="55.4" hidden="false" customHeight="false" outlineLevel="0" collapsed="false">
      <c r="B107" s="8" t="s">
        <v>523</v>
      </c>
      <c r="C107" s="8" t="s">
        <v>37</v>
      </c>
      <c r="D107" s="22" t="s">
        <v>358</v>
      </c>
      <c r="E107" s="9" t="str">
        <f aca="false">D107&amp;C107</f>
        <v>LimbA</v>
      </c>
      <c r="F107" s="10"/>
      <c r="G107" s="11"/>
      <c r="H107" s="10" t="n">
        <v>1</v>
      </c>
      <c r="I107" s="12" t="s">
        <v>361</v>
      </c>
      <c r="J107" s="12" t="s">
        <v>524</v>
      </c>
      <c r="K107" s="12" t="s">
        <v>430</v>
      </c>
      <c r="L107" s="11"/>
      <c r="M107" s="10" t="n">
        <v>3</v>
      </c>
      <c r="N107" s="10" t="s">
        <v>42</v>
      </c>
      <c r="O107" s="10" t="s">
        <v>525</v>
      </c>
      <c r="P107" s="10" t="s">
        <v>526</v>
      </c>
      <c r="Q107" s="13"/>
      <c r="R107" s="10" t="n">
        <v>9</v>
      </c>
      <c r="S107" s="10" t="s">
        <v>42</v>
      </c>
      <c r="T107" s="10" t="s">
        <v>527</v>
      </c>
      <c r="U107" s="10" t="s">
        <v>528</v>
      </c>
      <c r="V107" s="11"/>
      <c r="W107" s="10"/>
      <c r="X107" s="10"/>
      <c r="Y107" s="10"/>
      <c r="Z107" s="10"/>
      <c r="AA107" s="10"/>
      <c r="AB107" s="10" t="n">
        <f aca="false">AD107+AA$2</f>
        <v>20</v>
      </c>
      <c r="AC107" s="10" t="n">
        <f aca="false">AB107+Z$2</f>
        <v>18.9</v>
      </c>
      <c r="AD107" s="10" t="n">
        <f aca="false">W$2+X$2*(H107-1)</f>
        <v>26</v>
      </c>
      <c r="AE107" s="10" t="n">
        <f aca="false">AG107+AA$2</f>
        <v>31.8</v>
      </c>
      <c r="AF107" s="10" t="n">
        <f aca="false">AE107+Z$2</f>
        <v>30.7</v>
      </c>
      <c r="AG107" s="10" t="n">
        <f aca="false">W$2+X$2*(M107-1)+Y$2</f>
        <v>37.8</v>
      </c>
      <c r="AH107" s="10" t="n">
        <f aca="false">AJ107+AA$2</f>
        <v>61.2</v>
      </c>
      <c r="AI107" s="10" t="n">
        <f aca="false">AH107+Z$2</f>
        <v>60.1</v>
      </c>
      <c r="AJ107" s="12" t="n">
        <f aca="false">W$2+X$2*(R107-1)+2*Y$2</f>
        <v>67.2</v>
      </c>
    </row>
    <row r="108" customFormat="false" ht="55.4" hidden="false" customHeight="false" outlineLevel="0" collapsed="false">
      <c r="B108" s="8" t="s">
        <v>529</v>
      </c>
      <c r="C108" s="8" t="s">
        <v>48</v>
      </c>
      <c r="D108" s="22" t="s">
        <v>358</v>
      </c>
      <c r="E108" s="9" t="str">
        <f aca="false">D108&amp;C108</f>
        <v>LimbB</v>
      </c>
      <c r="F108" s="10"/>
      <c r="G108" s="11"/>
      <c r="H108" s="10" t="n">
        <v>1</v>
      </c>
      <c r="I108" s="12" t="s">
        <v>361</v>
      </c>
      <c r="J108" s="12" t="s">
        <v>514</v>
      </c>
      <c r="K108" s="12" t="s">
        <v>530</v>
      </c>
      <c r="L108" s="11"/>
      <c r="M108" s="10" t="n">
        <v>11</v>
      </c>
      <c r="N108" s="10" t="s">
        <v>53</v>
      </c>
      <c r="O108" s="10" t="s">
        <v>364</v>
      </c>
      <c r="P108" s="10" t="s">
        <v>531</v>
      </c>
      <c r="Q108" s="13"/>
      <c r="R108" s="10"/>
      <c r="S108" s="10"/>
      <c r="T108" s="10"/>
      <c r="U108" s="10"/>
      <c r="V108" s="11"/>
      <c r="W108" s="10"/>
      <c r="X108" s="10"/>
      <c r="Y108" s="10"/>
      <c r="Z108" s="10"/>
      <c r="AA108" s="10"/>
      <c r="AB108" s="10" t="n">
        <f aca="false">AD108+AA$2</f>
        <v>20</v>
      </c>
      <c r="AC108" s="10" t="n">
        <f aca="false">AB108+Z$2</f>
        <v>18.9</v>
      </c>
      <c r="AD108" s="10" t="n">
        <f aca="false">W$2+X$2*(H108-1)</f>
        <v>26</v>
      </c>
      <c r="AE108" s="10" t="n">
        <f aca="false">AG108+AA$2</f>
        <v>67</v>
      </c>
      <c r="AF108" s="10" t="n">
        <f aca="false">AE108+Z$2</f>
        <v>65.9</v>
      </c>
      <c r="AG108" s="10" t="n">
        <f aca="false">W$2+X$2*(M108-1)+Y$2</f>
        <v>73</v>
      </c>
      <c r="AH108" s="10" t="n">
        <f aca="false">AJ108+AA$2</f>
        <v>21.6</v>
      </c>
      <c r="AI108" s="10" t="n">
        <f aca="false">AH108+Z$2</f>
        <v>20.5</v>
      </c>
      <c r="AJ108" s="12" t="n">
        <f aca="false">W$2+X$2*(R108-1)+2*Y$2</f>
        <v>27.6</v>
      </c>
    </row>
    <row r="109" customFormat="false" ht="55.4" hidden="false" customHeight="false" outlineLevel="0" collapsed="false">
      <c r="B109" s="8" t="s">
        <v>532</v>
      </c>
      <c r="C109" s="8" t="s">
        <v>48</v>
      </c>
      <c r="D109" s="22" t="s">
        <v>358</v>
      </c>
      <c r="E109" s="9" t="str">
        <f aca="false">D109&amp;C109</f>
        <v>LimbB</v>
      </c>
      <c r="F109" s="10"/>
      <c r="G109" s="11"/>
      <c r="H109" s="10" t="n">
        <v>1</v>
      </c>
      <c r="I109" s="12" t="s">
        <v>361</v>
      </c>
      <c r="J109" s="12" t="s">
        <v>533</v>
      </c>
      <c r="K109" s="12" t="s">
        <v>534</v>
      </c>
      <c r="L109" s="11"/>
      <c r="M109" s="10"/>
      <c r="N109" s="10"/>
      <c r="O109" s="10"/>
      <c r="P109" s="10"/>
      <c r="Q109" s="13"/>
      <c r="R109" s="10"/>
      <c r="S109" s="10"/>
      <c r="T109" s="10"/>
      <c r="U109" s="10"/>
      <c r="V109" s="11"/>
      <c r="W109" s="10"/>
      <c r="X109" s="10"/>
      <c r="Y109" s="10"/>
      <c r="Z109" s="10"/>
      <c r="AA109" s="10"/>
      <c r="AB109" s="10" t="n">
        <f aca="false">AD109+AA$2</f>
        <v>20</v>
      </c>
      <c r="AC109" s="10" t="n">
        <f aca="false">AB109+Z$2</f>
        <v>18.9</v>
      </c>
      <c r="AD109" s="10" t="n">
        <f aca="false">W$2+X$2*(H109-1)</f>
        <v>26</v>
      </c>
      <c r="AE109" s="10" t="n">
        <f aca="false">AG109+AA$2</f>
        <v>18.6</v>
      </c>
      <c r="AF109" s="10" t="n">
        <f aca="false">AE109+Z$2</f>
        <v>17.5</v>
      </c>
      <c r="AG109" s="10" t="n">
        <f aca="false">W$2+X$2*(M109-1)+Y$2</f>
        <v>24.6</v>
      </c>
      <c r="AH109" s="10" t="n">
        <f aca="false">AJ109+AA$2</f>
        <v>21.6</v>
      </c>
      <c r="AI109" s="10" t="n">
        <f aca="false">AH109+Z$2</f>
        <v>20.5</v>
      </c>
      <c r="AJ109" s="12" t="n">
        <f aca="false">W$2+X$2*(R109-1)+2*Y$2</f>
        <v>27.6</v>
      </c>
    </row>
    <row r="110" customFormat="false" ht="55.4" hidden="false" customHeight="false" outlineLevel="0" collapsed="false">
      <c r="B110" s="8" t="s">
        <v>535</v>
      </c>
      <c r="C110" s="8" t="s">
        <v>48</v>
      </c>
      <c r="D110" s="22" t="s">
        <v>358</v>
      </c>
      <c r="E110" s="9" t="str">
        <f aca="false">D110&amp;C110</f>
        <v>LimbB</v>
      </c>
      <c r="F110" s="10" t="s">
        <v>269</v>
      </c>
      <c r="G110" s="11"/>
      <c r="H110" s="10" t="n">
        <v>1</v>
      </c>
      <c r="I110" s="12" t="s">
        <v>42</v>
      </c>
      <c r="J110" s="12" t="s">
        <v>536</v>
      </c>
      <c r="K110" s="12" t="s">
        <v>537</v>
      </c>
      <c r="L110" s="11"/>
      <c r="M110" s="10" t="n">
        <v>5</v>
      </c>
      <c r="N110" s="10" t="s">
        <v>154</v>
      </c>
      <c r="O110" s="10" t="s">
        <v>538</v>
      </c>
      <c r="P110" s="10" t="s">
        <v>539</v>
      </c>
      <c r="Q110" s="13"/>
      <c r="R110" s="10"/>
      <c r="S110" s="10"/>
      <c r="T110" s="10"/>
      <c r="U110" s="10"/>
      <c r="V110" s="11"/>
      <c r="W110" s="10"/>
      <c r="X110" s="10"/>
      <c r="Y110" s="10"/>
      <c r="Z110" s="10"/>
      <c r="AA110" s="10"/>
      <c r="AB110" s="10" t="n">
        <f aca="false">AD110+AA$2</f>
        <v>20</v>
      </c>
      <c r="AC110" s="10" t="n">
        <f aca="false">AB110+Z$2</f>
        <v>18.9</v>
      </c>
      <c r="AD110" s="10" t="n">
        <f aca="false">W$2+X$2*(H110-1)</f>
        <v>26</v>
      </c>
      <c r="AE110" s="10" t="n">
        <f aca="false">AG110+AA$2</f>
        <v>40.6</v>
      </c>
      <c r="AF110" s="10" t="n">
        <f aca="false">AE110+Z$2</f>
        <v>39.5</v>
      </c>
      <c r="AG110" s="10" t="n">
        <f aca="false">W$2+X$2*(M110-1)+Y$2</f>
        <v>46.6</v>
      </c>
      <c r="AH110" s="10" t="n">
        <f aca="false">AJ110+AA$2</f>
        <v>21.6</v>
      </c>
      <c r="AI110" s="10" t="n">
        <f aca="false">AH110+Z$2</f>
        <v>20.5</v>
      </c>
      <c r="AJ110" s="12" t="n">
        <f aca="false">W$2+X$2*(R110-1)+2*Y$2</f>
        <v>27.6</v>
      </c>
    </row>
    <row r="111" customFormat="false" ht="55.4" hidden="false" customHeight="false" outlineLevel="0" collapsed="false">
      <c r="B111" s="8" t="s">
        <v>540</v>
      </c>
      <c r="C111" s="8" t="s">
        <v>48</v>
      </c>
      <c r="D111" s="22" t="s">
        <v>358</v>
      </c>
      <c r="E111" s="9" t="str">
        <f aca="false">D111&amp;C111</f>
        <v>LimbB</v>
      </c>
      <c r="F111" s="12" t="s">
        <v>126</v>
      </c>
      <c r="G111" s="11"/>
      <c r="H111" s="10" t="n">
        <v>1</v>
      </c>
      <c r="I111" s="12" t="s">
        <v>42</v>
      </c>
      <c r="J111" s="12" t="s">
        <v>399</v>
      </c>
      <c r="K111" s="12" t="s">
        <v>541</v>
      </c>
      <c r="L111" s="11"/>
      <c r="M111" s="10" t="n">
        <v>5</v>
      </c>
      <c r="N111" s="10" t="s">
        <v>39</v>
      </c>
      <c r="O111" s="10" t="s">
        <v>542</v>
      </c>
      <c r="P111" s="10" t="s">
        <v>543</v>
      </c>
      <c r="Q111" s="13"/>
      <c r="R111" s="10"/>
      <c r="S111" s="10"/>
      <c r="T111" s="10"/>
      <c r="U111" s="10"/>
      <c r="V111" s="11"/>
      <c r="W111" s="10"/>
      <c r="X111" s="10"/>
      <c r="Y111" s="10"/>
      <c r="Z111" s="10"/>
      <c r="AA111" s="10"/>
      <c r="AB111" s="10" t="n">
        <f aca="false">AD111+AA$2</f>
        <v>20</v>
      </c>
      <c r="AC111" s="10" t="n">
        <f aca="false">AB111+Z$2</f>
        <v>18.9</v>
      </c>
      <c r="AD111" s="10" t="n">
        <f aca="false">W$2+X$2*(H111-1)</f>
        <v>26</v>
      </c>
      <c r="AE111" s="10" t="n">
        <f aca="false">AG111+AA$2</f>
        <v>40.6</v>
      </c>
      <c r="AF111" s="10" t="n">
        <f aca="false">AE111+Z$2</f>
        <v>39.5</v>
      </c>
      <c r="AG111" s="10" t="n">
        <f aca="false">W$2+X$2*(M111-1)+Y$2</f>
        <v>46.6</v>
      </c>
      <c r="AH111" s="10" t="n">
        <f aca="false">AJ111+AA$2</f>
        <v>21.6</v>
      </c>
      <c r="AI111" s="10" t="n">
        <f aca="false">AH111+Z$2</f>
        <v>20.5</v>
      </c>
      <c r="AJ111" s="12" t="n">
        <f aca="false">W$2+X$2*(R111-1)+2*Y$2</f>
        <v>27.6</v>
      </c>
    </row>
    <row r="112" customFormat="false" ht="55.4" hidden="false" customHeight="false" outlineLevel="0" collapsed="false">
      <c r="B112" s="8" t="s">
        <v>544</v>
      </c>
      <c r="C112" s="8" t="s">
        <v>48</v>
      </c>
      <c r="D112" s="22" t="s">
        <v>358</v>
      </c>
      <c r="E112" s="9" t="str">
        <f aca="false">D112&amp;C112</f>
        <v>LimbB</v>
      </c>
      <c r="F112" s="10" t="s">
        <v>545</v>
      </c>
      <c r="G112" s="11"/>
      <c r="H112" s="10" t="n">
        <v>1</v>
      </c>
      <c r="I112" s="12" t="s">
        <v>154</v>
      </c>
      <c r="J112" s="12" t="s">
        <v>546</v>
      </c>
      <c r="K112" s="12" t="s">
        <v>547</v>
      </c>
      <c r="L112" s="11"/>
      <c r="M112" s="10"/>
      <c r="N112" s="10"/>
      <c r="O112" s="10"/>
      <c r="P112" s="10"/>
      <c r="Q112" s="13"/>
      <c r="R112" s="10"/>
      <c r="S112" s="10"/>
      <c r="T112" s="10"/>
      <c r="U112" s="10"/>
      <c r="V112" s="11"/>
      <c r="W112" s="10"/>
      <c r="X112" s="10"/>
      <c r="Y112" s="10"/>
      <c r="Z112" s="10"/>
      <c r="AA112" s="10"/>
      <c r="AB112" s="10" t="n">
        <f aca="false">AD112+AA$2</f>
        <v>20</v>
      </c>
      <c r="AC112" s="10" t="n">
        <f aca="false">AB112+Z$2</f>
        <v>18.9</v>
      </c>
      <c r="AD112" s="10" t="n">
        <f aca="false">W$2+X$2*(H112-1)</f>
        <v>26</v>
      </c>
      <c r="AE112" s="10" t="n">
        <f aca="false">AG112+AA$2</f>
        <v>18.6</v>
      </c>
      <c r="AF112" s="10" t="n">
        <f aca="false">AE112+Z$2</f>
        <v>17.5</v>
      </c>
      <c r="AG112" s="10" t="n">
        <f aca="false">W$2+X$2*(M112-1)+Y$2</f>
        <v>24.6</v>
      </c>
      <c r="AH112" s="10" t="n">
        <f aca="false">AJ112+AA$2</f>
        <v>21.6</v>
      </c>
      <c r="AI112" s="10" t="n">
        <f aca="false">AH112+Z$2</f>
        <v>20.5</v>
      </c>
      <c r="AJ112" s="12" t="n">
        <f aca="false">W$2+X$2*(R112-1)+2*Y$2</f>
        <v>27.6</v>
      </c>
    </row>
    <row r="113" customFormat="false" ht="55.4" hidden="false" customHeight="false" outlineLevel="0" collapsed="false">
      <c r="B113" s="8" t="s">
        <v>548</v>
      </c>
      <c r="C113" s="8" t="s">
        <v>37</v>
      </c>
      <c r="D113" s="23" t="s">
        <v>358</v>
      </c>
      <c r="E113" s="9" t="str">
        <f aca="false">D113&amp;C113</f>
        <v>LimbA</v>
      </c>
      <c r="F113" s="12" t="s">
        <v>442</v>
      </c>
      <c r="G113" s="11"/>
      <c r="H113" s="10" t="n">
        <v>1</v>
      </c>
      <c r="I113" s="12" t="s">
        <v>42</v>
      </c>
      <c r="J113" s="12" t="s">
        <v>549</v>
      </c>
      <c r="K113" s="12" t="s">
        <v>550</v>
      </c>
      <c r="L113" s="11"/>
      <c r="M113" s="10" t="n">
        <v>9</v>
      </c>
      <c r="N113" s="10" t="s">
        <v>39</v>
      </c>
      <c r="O113" s="10" t="s">
        <v>221</v>
      </c>
      <c r="P113" s="12" t="s">
        <v>551</v>
      </c>
      <c r="Q113" s="13"/>
      <c r="R113" s="10"/>
      <c r="S113" s="10"/>
      <c r="T113" s="10"/>
      <c r="U113" s="12"/>
      <c r="V113" s="11"/>
      <c r="W113" s="10"/>
      <c r="X113" s="10"/>
      <c r="Y113" s="10"/>
      <c r="Z113" s="10"/>
      <c r="AA113" s="10"/>
      <c r="AB113" s="10" t="n">
        <f aca="false">AD113+AA$2</f>
        <v>20</v>
      </c>
      <c r="AC113" s="10" t="n">
        <f aca="false">AB113+Z$2</f>
        <v>18.9</v>
      </c>
      <c r="AD113" s="10" t="n">
        <f aca="false">W$2+X$2*(H113-1)</f>
        <v>26</v>
      </c>
      <c r="AE113" s="10" t="n">
        <f aca="false">AG113+AA$2</f>
        <v>58.2</v>
      </c>
      <c r="AF113" s="10" t="n">
        <f aca="false">AE113+Z$2</f>
        <v>57.1</v>
      </c>
      <c r="AG113" s="10" t="n">
        <f aca="false">W$2+X$2*(M113-1)+Y$2</f>
        <v>64.2</v>
      </c>
      <c r="AH113" s="10" t="n">
        <f aca="false">AJ113+AA$2</f>
        <v>21.6</v>
      </c>
      <c r="AI113" s="10" t="n">
        <f aca="false">AH113+Z$2</f>
        <v>20.5</v>
      </c>
      <c r="AJ113" s="12" t="n">
        <f aca="false">W$2+X$2*(R113-1)+2*Y$2</f>
        <v>27.6</v>
      </c>
    </row>
    <row r="114" customFormat="false" ht="55.4" hidden="false" customHeight="false" outlineLevel="0" collapsed="false">
      <c r="B114" s="8" t="s">
        <v>552</v>
      </c>
      <c r="C114" s="8" t="s">
        <v>48</v>
      </c>
      <c r="D114" s="22" t="s">
        <v>358</v>
      </c>
      <c r="E114" s="9" t="str">
        <f aca="false">D114&amp;C114</f>
        <v>LimbB</v>
      </c>
      <c r="F114" s="10"/>
      <c r="G114" s="11"/>
      <c r="H114" s="10" t="n">
        <v>1</v>
      </c>
      <c r="I114" s="12" t="s">
        <v>361</v>
      </c>
      <c r="J114" s="12" t="s">
        <v>553</v>
      </c>
      <c r="K114" s="12" t="s">
        <v>391</v>
      </c>
      <c r="L114" s="11"/>
      <c r="M114" s="10" t="n">
        <v>3</v>
      </c>
      <c r="N114" s="10" t="s">
        <v>42</v>
      </c>
      <c r="O114" s="10" t="s">
        <v>554</v>
      </c>
      <c r="P114" s="10" t="s">
        <v>555</v>
      </c>
      <c r="Q114" s="13"/>
      <c r="R114" s="10" t="n">
        <v>10</v>
      </c>
      <c r="S114" s="10" t="s">
        <v>53</v>
      </c>
      <c r="T114" s="10" t="s">
        <v>364</v>
      </c>
      <c r="U114" s="10" t="s">
        <v>458</v>
      </c>
      <c r="V114" s="11"/>
      <c r="W114" s="10"/>
      <c r="X114" s="10"/>
      <c r="Y114" s="10"/>
      <c r="Z114" s="10"/>
      <c r="AA114" s="10"/>
      <c r="AB114" s="10" t="n">
        <f aca="false">AD114+AA$2</f>
        <v>20</v>
      </c>
      <c r="AC114" s="10" t="n">
        <f aca="false">AB114+Z$2</f>
        <v>18.9</v>
      </c>
      <c r="AD114" s="10" t="n">
        <f aca="false">W$2+X$2*(H114-1)</f>
        <v>26</v>
      </c>
      <c r="AE114" s="10" t="n">
        <f aca="false">AG114+AA$2</f>
        <v>31.8</v>
      </c>
      <c r="AF114" s="10" t="n">
        <f aca="false">AE114+Z$2</f>
        <v>30.7</v>
      </c>
      <c r="AG114" s="10" t="n">
        <f aca="false">W$2+X$2*(M114-1)+Y$2</f>
        <v>37.8</v>
      </c>
      <c r="AH114" s="10" t="n">
        <f aca="false">AJ114+AA$2</f>
        <v>65.6</v>
      </c>
      <c r="AI114" s="10" t="n">
        <f aca="false">AH114+Z$2</f>
        <v>64.5</v>
      </c>
      <c r="AJ114" s="12" t="n">
        <f aca="false">W$2+X$2*(R114-1)+2*Y$2</f>
        <v>71.6</v>
      </c>
    </row>
    <row r="115" customFormat="false" ht="55.4" hidden="false" customHeight="false" outlineLevel="0" collapsed="false">
      <c r="B115" s="8" t="s">
        <v>556</v>
      </c>
      <c r="C115" s="8" t="s">
        <v>48</v>
      </c>
      <c r="D115" s="22" t="s">
        <v>358</v>
      </c>
      <c r="E115" s="9" t="str">
        <f aca="false">D115&amp;C115</f>
        <v>LimbB</v>
      </c>
      <c r="F115" s="10"/>
      <c r="G115" s="11"/>
      <c r="H115" s="10" t="n">
        <v>1</v>
      </c>
      <c r="I115" s="12" t="s">
        <v>361</v>
      </c>
      <c r="J115" s="12" t="s">
        <v>557</v>
      </c>
      <c r="K115" s="12" t="s">
        <v>558</v>
      </c>
      <c r="L115" s="11"/>
      <c r="M115" s="10" t="n">
        <v>11</v>
      </c>
      <c r="N115" s="10" t="s">
        <v>53</v>
      </c>
      <c r="O115" s="10" t="s">
        <v>364</v>
      </c>
      <c r="P115" s="10" t="s">
        <v>559</v>
      </c>
      <c r="Q115" s="13"/>
      <c r="R115" s="10"/>
      <c r="S115" s="10"/>
      <c r="T115" s="10"/>
      <c r="U115" s="10"/>
      <c r="V115" s="11"/>
      <c r="W115" s="10"/>
      <c r="X115" s="10"/>
      <c r="Y115" s="10"/>
      <c r="Z115" s="10"/>
      <c r="AA115" s="10"/>
      <c r="AB115" s="10" t="n">
        <f aca="false">AD115+AA$2</f>
        <v>20</v>
      </c>
      <c r="AC115" s="10" t="n">
        <f aca="false">AB115+Z$2</f>
        <v>18.9</v>
      </c>
      <c r="AD115" s="10" t="n">
        <f aca="false">W$2+X$2*(H115-1)</f>
        <v>26</v>
      </c>
      <c r="AE115" s="10" t="n">
        <f aca="false">AG115+AA$2</f>
        <v>67</v>
      </c>
      <c r="AF115" s="10" t="n">
        <f aca="false">AE115+Z$2</f>
        <v>65.9</v>
      </c>
      <c r="AG115" s="10" t="n">
        <f aca="false">W$2+X$2*(M115-1)+Y$2</f>
        <v>73</v>
      </c>
      <c r="AH115" s="10" t="n">
        <f aca="false">AJ115+AA$2</f>
        <v>21.6</v>
      </c>
      <c r="AI115" s="10" t="n">
        <f aca="false">AH115+Z$2</f>
        <v>20.5</v>
      </c>
      <c r="AJ115" s="12" t="n">
        <f aca="false">W$2+X$2*(R115-1)+2*Y$2</f>
        <v>27.6</v>
      </c>
    </row>
    <row r="116" customFormat="false" ht="55.4" hidden="false" customHeight="false" outlineLevel="0" collapsed="false">
      <c r="B116" s="8" t="s">
        <v>560</v>
      </c>
      <c r="C116" s="8" t="s">
        <v>48</v>
      </c>
      <c r="D116" s="22" t="s">
        <v>358</v>
      </c>
      <c r="E116" s="9" t="str">
        <f aca="false">D116&amp;C116</f>
        <v>LimbB</v>
      </c>
      <c r="F116" s="10"/>
      <c r="G116" s="19"/>
      <c r="H116" s="10" t="n">
        <v>1</v>
      </c>
      <c r="I116" s="10" t="s">
        <v>361</v>
      </c>
      <c r="J116" s="10" t="s">
        <v>561</v>
      </c>
      <c r="K116" s="10" t="s">
        <v>562</v>
      </c>
      <c r="L116" s="19"/>
      <c r="M116" s="10"/>
      <c r="N116" s="10"/>
      <c r="O116" s="10"/>
      <c r="P116" s="10"/>
      <c r="Q116" s="20"/>
      <c r="R116" s="10"/>
      <c r="S116" s="10"/>
      <c r="T116" s="10"/>
      <c r="U116" s="10"/>
      <c r="V116" s="19"/>
      <c r="W116" s="12"/>
      <c r="X116" s="12"/>
      <c r="Y116" s="10"/>
      <c r="Z116" s="10"/>
      <c r="AA116" s="10"/>
      <c r="AB116" s="10" t="n">
        <f aca="false">AD116+AA$2</f>
        <v>20</v>
      </c>
      <c r="AC116" s="10" t="n">
        <f aca="false">AB116+Z$2</f>
        <v>18.9</v>
      </c>
      <c r="AD116" s="10" t="n">
        <f aca="false">W$2+X$2*(H116-1)</f>
        <v>26</v>
      </c>
      <c r="AE116" s="10" t="n">
        <f aca="false">AG116+AA$2</f>
        <v>18.6</v>
      </c>
      <c r="AF116" s="10" t="n">
        <f aca="false">AE116+Z$2</f>
        <v>17.5</v>
      </c>
      <c r="AG116" s="10" t="n">
        <f aca="false">W$2+X$2*(M116-1)+Y$2</f>
        <v>24.6</v>
      </c>
      <c r="AH116" s="10" t="n">
        <f aca="false">AJ116+AA$2</f>
        <v>21.6</v>
      </c>
      <c r="AI116" s="10" t="n">
        <f aca="false">AH116+Z$2</f>
        <v>20.5</v>
      </c>
      <c r="AJ116" s="12" t="n">
        <f aca="false">W$2+X$2*(R116-1)+2*Y$2</f>
        <v>27.6</v>
      </c>
    </row>
    <row r="117" customFormat="false" ht="55.4" hidden="false" customHeight="false" outlineLevel="0" collapsed="false">
      <c r="B117" s="8" t="s">
        <v>563</v>
      </c>
      <c r="C117" s="8" t="s">
        <v>48</v>
      </c>
      <c r="D117" s="22" t="s">
        <v>358</v>
      </c>
      <c r="E117" s="9" t="str">
        <f aca="false">D117&amp;C117</f>
        <v>LimbB</v>
      </c>
      <c r="F117" s="12"/>
      <c r="G117" s="11"/>
      <c r="H117" s="10" t="n">
        <v>1</v>
      </c>
      <c r="I117" s="12" t="s">
        <v>361</v>
      </c>
      <c r="J117" s="12" t="s">
        <v>564</v>
      </c>
      <c r="K117" s="12" t="s">
        <v>410</v>
      </c>
      <c r="L117" s="11"/>
      <c r="M117" s="10" t="n">
        <v>10</v>
      </c>
      <c r="N117" s="10" t="s">
        <v>53</v>
      </c>
      <c r="O117" s="10" t="s">
        <v>364</v>
      </c>
      <c r="P117" s="12" t="s">
        <v>565</v>
      </c>
      <c r="Q117" s="13"/>
      <c r="R117" s="10"/>
      <c r="S117" s="10"/>
      <c r="T117" s="10"/>
      <c r="U117" s="12"/>
      <c r="V117" s="11"/>
      <c r="W117" s="10"/>
      <c r="X117" s="10"/>
      <c r="Y117" s="10"/>
      <c r="Z117" s="10"/>
      <c r="AA117" s="10"/>
      <c r="AB117" s="10" t="n">
        <f aca="false">AD117+AA$2</f>
        <v>20</v>
      </c>
      <c r="AC117" s="10" t="n">
        <f aca="false">AB117+Z$2</f>
        <v>18.9</v>
      </c>
      <c r="AD117" s="10" t="n">
        <f aca="false">W$2+X$2*(H117-1)</f>
        <v>26</v>
      </c>
      <c r="AE117" s="10" t="n">
        <f aca="false">AG117+AA$2</f>
        <v>62.6</v>
      </c>
      <c r="AF117" s="10" t="n">
        <f aca="false">AE117+Z$2</f>
        <v>61.5</v>
      </c>
      <c r="AG117" s="10" t="n">
        <f aca="false">W$2+X$2*(M117-1)+Y$2</f>
        <v>68.6</v>
      </c>
      <c r="AH117" s="10" t="n">
        <f aca="false">AJ117+AA$2</f>
        <v>21.6</v>
      </c>
      <c r="AI117" s="10" t="n">
        <f aca="false">AH117+Z$2</f>
        <v>20.5</v>
      </c>
      <c r="AJ117" s="12" t="n">
        <f aca="false">W$2+X$2*(R117-1)+2*Y$2</f>
        <v>27.6</v>
      </c>
    </row>
    <row r="118" customFormat="false" ht="55.4" hidden="false" customHeight="false" outlineLevel="0" collapsed="false">
      <c r="B118" s="8" t="s">
        <v>566</v>
      </c>
      <c r="C118" s="8" t="s">
        <v>48</v>
      </c>
      <c r="D118" s="22" t="s">
        <v>358</v>
      </c>
      <c r="E118" s="9" t="str">
        <f aca="false">D118&amp;C118</f>
        <v>LimbB</v>
      </c>
      <c r="F118" s="12"/>
      <c r="G118" s="11"/>
      <c r="H118" s="10" t="n">
        <v>1</v>
      </c>
      <c r="I118" s="12" t="s">
        <v>39</v>
      </c>
      <c r="J118" s="12" t="s">
        <v>567</v>
      </c>
      <c r="K118" s="12" t="s">
        <v>568</v>
      </c>
      <c r="L118" s="11"/>
      <c r="M118" s="10" t="n">
        <v>5</v>
      </c>
      <c r="N118" s="10" t="s">
        <v>154</v>
      </c>
      <c r="O118" s="10" t="s">
        <v>569</v>
      </c>
      <c r="P118" s="12" t="s">
        <v>570</v>
      </c>
      <c r="Q118" s="13"/>
      <c r="R118" s="10"/>
      <c r="S118" s="10"/>
      <c r="T118" s="10"/>
      <c r="U118" s="12"/>
      <c r="V118" s="11"/>
      <c r="W118" s="10"/>
      <c r="X118" s="10"/>
      <c r="Y118" s="10"/>
      <c r="Z118" s="10"/>
      <c r="AA118" s="10"/>
      <c r="AB118" s="10" t="n">
        <f aca="false">AD118+AA$2</f>
        <v>20</v>
      </c>
      <c r="AC118" s="10" t="n">
        <f aca="false">AB118+Z$2</f>
        <v>18.9</v>
      </c>
      <c r="AD118" s="10" t="n">
        <f aca="false">W$2+X$2*(H118-1)</f>
        <v>26</v>
      </c>
      <c r="AE118" s="10" t="n">
        <f aca="false">AG118+AA$2</f>
        <v>40.6</v>
      </c>
      <c r="AF118" s="10" t="n">
        <f aca="false">AE118+Z$2</f>
        <v>39.5</v>
      </c>
      <c r="AG118" s="10" t="n">
        <f aca="false">W$2+X$2*(M118-1)+Y$2</f>
        <v>46.6</v>
      </c>
      <c r="AH118" s="10" t="n">
        <f aca="false">AJ118+AA$2</f>
        <v>21.6</v>
      </c>
      <c r="AI118" s="10" t="n">
        <f aca="false">AH118+Z$2</f>
        <v>20.5</v>
      </c>
      <c r="AJ118" s="12" t="n">
        <f aca="false">W$2+X$2*(R118-1)+2*Y$2</f>
        <v>27.6</v>
      </c>
    </row>
    <row r="119" customFormat="false" ht="55.4" hidden="false" customHeight="false" outlineLevel="0" collapsed="false">
      <c r="B119" s="8" t="s">
        <v>571</v>
      </c>
      <c r="C119" s="8" t="s">
        <v>37</v>
      </c>
      <c r="D119" s="22" t="s">
        <v>358</v>
      </c>
      <c r="E119" s="9" t="str">
        <f aca="false">D119&amp;C119</f>
        <v>LimbA</v>
      </c>
      <c r="F119" s="12"/>
      <c r="G119" s="11"/>
      <c r="H119" s="10" t="n">
        <v>1</v>
      </c>
      <c r="I119" s="12" t="s">
        <v>361</v>
      </c>
      <c r="J119" s="12" t="s">
        <v>572</v>
      </c>
      <c r="K119" s="12" t="s">
        <v>573</v>
      </c>
      <c r="L119" s="11"/>
      <c r="M119" s="10" t="n">
        <v>9</v>
      </c>
      <c r="N119" s="10" t="s">
        <v>53</v>
      </c>
      <c r="O119" s="10" t="s">
        <v>364</v>
      </c>
      <c r="P119" s="12" t="s">
        <v>574</v>
      </c>
      <c r="Q119" s="13"/>
      <c r="R119" s="10"/>
      <c r="S119" s="10"/>
      <c r="T119" s="10"/>
      <c r="U119" s="12"/>
      <c r="V119" s="11"/>
      <c r="W119" s="10"/>
      <c r="X119" s="10"/>
      <c r="Y119" s="10"/>
      <c r="Z119" s="10"/>
      <c r="AA119" s="10"/>
      <c r="AB119" s="10" t="n">
        <f aca="false">AD119+AA$2</f>
        <v>20</v>
      </c>
      <c r="AC119" s="10" t="n">
        <f aca="false">AB119+Z$2</f>
        <v>18.9</v>
      </c>
      <c r="AD119" s="10" t="n">
        <f aca="false">W$2+X$2*(H119-1)</f>
        <v>26</v>
      </c>
      <c r="AE119" s="10" t="n">
        <f aca="false">AG119+AA$2</f>
        <v>58.2</v>
      </c>
      <c r="AF119" s="10" t="n">
        <f aca="false">AE119+Z$2</f>
        <v>57.1</v>
      </c>
      <c r="AG119" s="10" t="n">
        <f aca="false">W$2+X$2*(M119-1)+Y$2</f>
        <v>64.2</v>
      </c>
      <c r="AH119" s="10" t="n">
        <f aca="false">AJ119+AA$2</f>
        <v>21.6</v>
      </c>
      <c r="AI119" s="10" t="n">
        <f aca="false">AH119+Z$2</f>
        <v>20.5</v>
      </c>
      <c r="AJ119" s="12" t="n">
        <f aca="false">W$2+X$2*(R119-1)+2*Y$2</f>
        <v>27.6</v>
      </c>
    </row>
    <row r="120" customFormat="false" ht="55.4" hidden="false" customHeight="false" outlineLevel="0" collapsed="false">
      <c r="B120" s="8" t="s">
        <v>575</v>
      </c>
      <c r="C120" s="8" t="s">
        <v>48</v>
      </c>
      <c r="D120" s="22" t="s">
        <v>358</v>
      </c>
      <c r="E120" s="9" t="str">
        <f aca="false">D120&amp;C120</f>
        <v>LimbB</v>
      </c>
      <c r="F120" s="12"/>
      <c r="G120" s="11"/>
      <c r="H120" s="10" t="n">
        <v>1</v>
      </c>
      <c r="I120" s="12" t="s">
        <v>361</v>
      </c>
      <c r="J120" s="12" t="s">
        <v>576</v>
      </c>
      <c r="K120" s="12" t="s">
        <v>577</v>
      </c>
      <c r="L120" s="11"/>
      <c r="M120" s="10" t="n">
        <v>11</v>
      </c>
      <c r="N120" s="10" t="s">
        <v>53</v>
      </c>
      <c r="O120" s="10" t="s">
        <v>364</v>
      </c>
      <c r="P120" s="12" t="s">
        <v>503</v>
      </c>
      <c r="Q120" s="13"/>
      <c r="R120" s="10"/>
      <c r="S120" s="10"/>
      <c r="T120" s="10"/>
      <c r="U120" s="12"/>
      <c r="V120" s="11"/>
      <c r="W120" s="10"/>
      <c r="X120" s="10"/>
      <c r="Y120" s="10"/>
      <c r="Z120" s="10"/>
      <c r="AA120" s="10"/>
      <c r="AB120" s="10" t="n">
        <f aca="false">AD120+AA$2</f>
        <v>20</v>
      </c>
      <c r="AC120" s="10" t="n">
        <f aca="false">AB120+Z$2</f>
        <v>18.9</v>
      </c>
      <c r="AD120" s="10" t="n">
        <f aca="false">W$2+X$2*(H120-1)</f>
        <v>26</v>
      </c>
      <c r="AE120" s="10" t="n">
        <f aca="false">AG120+AA$2</f>
        <v>67</v>
      </c>
      <c r="AF120" s="10" t="n">
        <f aca="false">AE120+Z$2</f>
        <v>65.9</v>
      </c>
      <c r="AG120" s="10" t="n">
        <f aca="false">W$2+X$2*(M120-1)+Y$2</f>
        <v>73</v>
      </c>
      <c r="AH120" s="10" t="n">
        <f aca="false">AJ120+AA$2</f>
        <v>21.6</v>
      </c>
      <c r="AI120" s="10" t="n">
        <f aca="false">AH120+Z$2</f>
        <v>20.5</v>
      </c>
      <c r="AJ120" s="12" t="n">
        <f aca="false">W$2+X$2*(R120-1)+2*Y$2</f>
        <v>27.6</v>
      </c>
    </row>
    <row r="121" customFormat="false" ht="55.4" hidden="false" customHeight="false" outlineLevel="0" collapsed="false">
      <c r="B121" s="8" t="s">
        <v>578</v>
      </c>
      <c r="C121" s="8" t="s">
        <v>48</v>
      </c>
      <c r="D121" s="22" t="s">
        <v>358</v>
      </c>
      <c r="E121" s="9" t="str">
        <f aca="false">D121&amp;C121</f>
        <v>LimbB</v>
      </c>
      <c r="F121" s="12"/>
      <c r="G121" s="11"/>
      <c r="H121" s="10" t="n">
        <v>1</v>
      </c>
      <c r="I121" s="12" t="s">
        <v>361</v>
      </c>
      <c r="J121" s="12" t="s">
        <v>579</v>
      </c>
      <c r="K121" s="12" t="s">
        <v>522</v>
      </c>
      <c r="L121" s="11"/>
      <c r="M121" s="10" t="n">
        <v>11</v>
      </c>
      <c r="N121" s="10" t="s">
        <v>53</v>
      </c>
      <c r="O121" s="10" t="s">
        <v>364</v>
      </c>
      <c r="P121" s="12" t="s">
        <v>580</v>
      </c>
      <c r="Q121" s="13"/>
      <c r="R121" s="10"/>
      <c r="S121" s="10"/>
      <c r="T121" s="10"/>
      <c r="U121" s="12"/>
      <c r="V121" s="11"/>
      <c r="W121" s="10"/>
      <c r="X121" s="10"/>
      <c r="Y121" s="10"/>
      <c r="Z121" s="10"/>
      <c r="AA121" s="10"/>
      <c r="AB121" s="10" t="n">
        <f aca="false">AD121+AA$2</f>
        <v>20</v>
      </c>
      <c r="AC121" s="10" t="n">
        <f aca="false">AB121+Z$2</f>
        <v>18.9</v>
      </c>
      <c r="AD121" s="10" t="n">
        <f aca="false">W$2+X$2*(H121-1)</f>
        <v>26</v>
      </c>
      <c r="AE121" s="10" t="n">
        <f aca="false">AG121+AA$2</f>
        <v>67</v>
      </c>
      <c r="AF121" s="10" t="n">
        <f aca="false">AE121+Z$2</f>
        <v>65.9</v>
      </c>
      <c r="AG121" s="10" t="n">
        <f aca="false">W$2+X$2*(M121-1)+Y$2</f>
        <v>73</v>
      </c>
      <c r="AH121" s="10" t="n">
        <f aca="false">AJ121+AA$2</f>
        <v>21.6</v>
      </c>
      <c r="AI121" s="10" t="n">
        <f aca="false">AH121+Z$2</f>
        <v>20.5</v>
      </c>
      <c r="AJ121" s="12" t="n">
        <f aca="false">W$2+X$2*(R121-1)+2*Y$2</f>
        <v>27.6</v>
      </c>
    </row>
    <row r="122" customFormat="false" ht="55.4" hidden="false" customHeight="false" outlineLevel="0" collapsed="false">
      <c r="B122" s="8" t="s">
        <v>581</v>
      </c>
      <c r="C122" s="8" t="s">
        <v>48</v>
      </c>
      <c r="D122" s="22" t="s">
        <v>358</v>
      </c>
      <c r="E122" s="9" t="str">
        <f aca="false">D122&amp;C122</f>
        <v>LimbB</v>
      </c>
      <c r="F122" s="12"/>
      <c r="G122" s="11"/>
      <c r="H122" s="10" t="n">
        <v>1</v>
      </c>
      <c r="I122" s="12" t="s">
        <v>361</v>
      </c>
      <c r="J122" s="12" t="s">
        <v>582</v>
      </c>
      <c r="K122" s="12" t="s">
        <v>583</v>
      </c>
      <c r="L122" s="11"/>
      <c r="M122" s="10"/>
      <c r="N122" s="10"/>
      <c r="O122" s="10"/>
      <c r="P122" s="12"/>
      <c r="Q122" s="13"/>
      <c r="R122" s="10"/>
      <c r="S122" s="10"/>
      <c r="T122" s="10"/>
      <c r="U122" s="12"/>
      <c r="V122" s="11"/>
      <c r="W122" s="10"/>
      <c r="X122" s="10"/>
      <c r="Y122" s="10"/>
      <c r="Z122" s="10"/>
      <c r="AA122" s="10"/>
      <c r="AB122" s="10" t="n">
        <f aca="false">AD122+AA$2</f>
        <v>20</v>
      </c>
      <c r="AC122" s="10" t="n">
        <f aca="false">AB122+Z$2</f>
        <v>18.9</v>
      </c>
      <c r="AD122" s="10" t="n">
        <f aca="false">W$2+X$2*(H122-1)</f>
        <v>26</v>
      </c>
      <c r="AE122" s="10" t="n">
        <f aca="false">AG122+AA$2</f>
        <v>18.6</v>
      </c>
      <c r="AF122" s="10" t="n">
        <f aca="false">AE122+Z$2</f>
        <v>17.5</v>
      </c>
      <c r="AG122" s="10" t="n">
        <f aca="false">W$2+X$2*(M122-1)+Y$2</f>
        <v>24.6</v>
      </c>
      <c r="AH122" s="10" t="n">
        <f aca="false">AJ122+AA$2</f>
        <v>21.6</v>
      </c>
      <c r="AI122" s="10" t="n">
        <f aca="false">AH122+Z$2</f>
        <v>20.5</v>
      </c>
      <c r="AJ122" s="12" t="n">
        <f aca="false">W$2+X$2*(R122-1)+2*Y$2</f>
        <v>27.6</v>
      </c>
    </row>
    <row r="123" customFormat="false" ht="55.4" hidden="false" customHeight="false" outlineLevel="0" collapsed="false">
      <c r="B123" s="8" t="s">
        <v>584</v>
      </c>
      <c r="C123" s="8" t="s">
        <v>48</v>
      </c>
      <c r="D123" s="22" t="s">
        <v>358</v>
      </c>
      <c r="E123" s="9" t="str">
        <f aca="false">D123&amp;C123</f>
        <v>LimbB</v>
      </c>
      <c r="F123" s="12"/>
      <c r="G123" s="11"/>
      <c r="H123" s="10" t="n">
        <v>1</v>
      </c>
      <c r="I123" s="12" t="s">
        <v>361</v>
      </c>
      <c r="J123" s="12" t="s">
        <v>585</v>
      </c>
      <c r="K123" s="12" t="s">
        <v>586</v>
      </c>
      <c r="L123" s="11"/>
      <c r="M123" s="10"/>
      <c r="N123" s="10"/>
      <c r="O123" s="10"/>
      <c r="P123" s="12"/>
      <c r="Q123" s="13"/>
      <c r="R123" s="10"/>
      <c r="S123" s="10"/>
      <c r="T123" s="10"/>
      <c r="U123" s="12"/>
      <c r="V123" s="11"/>
      <c r="W123" s="10"/>
      <c r="X123" s="10"/>
      <c r="Y123" s="10"/>
      <c r="Z123" s="10"/>
      <c r="AA123" s="10"/>
      <c r="AB123" s="10" t="n">
        <f aca="false">AD123+AA$2</f>
        <v>20</v>
      </c>
      <c r="AC123" s="10" t="n">
        <f aca="false">AB123+Z$2</f>
        <v>18.9</v>
      </c>
      <c r="AD123" s="10" t="n">
        <f aca="false">W$2+X$2*(H123-1)</f>
        <v>26</v>
      </c>
      <c r="AE123" s="10" t="n">
        <f aca="false">AG123+AA$2</f>
        <v>18.6</v>
      </c>
      <c r="AF123" s="10" t="n">
        <f aca="false">AE123+Z$2</f>
        <v>17.5</v>
      </c>
      <c r="AG123" s="10" t="n">
        <f aca="false">W$2+X$2*(M123-1)+Y$2</f>
        <v>24.6</v>
      </c>
      <c r="AH123" s="10" t="n">
        <f aca="false">AJ123+AA$2</f>
        <v>21.6</v>
      </c>
      <c r="AI123" s="10" t="n">
        <f aca="false">AH123+Z$2</f>
        <v>20.5</v>
      </c>
      <c r="AJ123" s="12" t="n">
        <f aca="false">W$2+X$2*(R123-1)+2*Y$2</f>
        <v>27.6</v>
      </c>
    </row>
    <row r="124" customFormat="false" ht="55.4" hidden="false" customHeight="false" outlineLevel="0" collapsed="false">
      <c r="B124" s="8" t="s">
        <v>587</v>
      </c>
      <c r="C124" s="8" t="s">
        <v>37</v>
      </c>
      <c r="D124" s="22" t="s">
        <v>358</v>
      </c>
      <c r="E124" s="9" t="str">
        <f aca="false">D124&amp;C124</f>
        <v>LimbA</v>
      </c>
      <c r="F124" s="12"/>
      <c r="G124" s="11"/>
      <c r="H124" s="10" t="n">
        <v>1</v>
      </c>
      <c r="I124" s="12" t="s">
        <v>42</v>
      </c>
      <c r="J124" s="12" t="s">
        <v>588</v>
      </c>
      <c r="K124" s="12" t="s">
        <v>589</v>
      </c>
      <c r="L124" s="11"/>
      <c r="M124" s="10" t="n">
        <v>4</v>
      </c>
      <c r="N124" s="10" t="s">
        <v>361</v>
      </c>
      <c r="O124" s="10" t="s">
        <v>590</v>
      </c>
      <c r="P124" s="12" t="s">
        <v>591</v>
      </c>
      <c r="Q124" s="13"/>
      <c r="R124" s="10" t="n">
        <v>10</v>
      </c>
      <c r="S124" s="10" t="s">
        <v>39</v>
      </c>
      <c r="T124" s="10" t="s">
        <v>592</v>
      </c>
      <c r="U124" s="10" t="s">
        <v>593</v>
      </c>
      <c r="V124" s="11"/>
      <c r="W124" s="10"/>
      <c r="X124" s="10"/>
      <c r="Y124" s="10"/>
      <c r="Z124" s="10"/>
      <c r="AA124" s="10"/>
      <c r="AB124" s="10" t="n">
        <f aca="false">AD124+AA$2</f>
        <v>20</v>
      </c>
      <c r="AC124" s="10" t="n">
        <f aca="false">AB124+Z$2</f>
        <v>18.9</v>
      </c>
      <c r="AD124" s="10" t="n">
        <f aca="false">W$2+X$2*(H124-1)</f>
        <v>26</v>
      </c>
      <c r="AE124" s="10" t="n">
        <f aca="false">AG124+AA$2</f>
        <v>36.2</v>
      </c>
      <c r="AF124" s="10" t="n">
        <f aca="false">AE124+Z$2</f>
        <v>35.1</v>
      </c>
      <c r="AG124" s="10" t="n">
        <f aca="false">W$2+X$2*(M124-1)+Y$2</f>
        <v>42.2</v>
      </c>
      <c r="AH124" s="10" t="n">
        <f aca="false">AJ124+AA$2</f>
        <v>65.6</v>
      </c>
      <c r="AI124" s="10" t="n">
        <f aca="false">AH124+Z$2</f>
        <v>64.5</v>
      </c>
      <c r="AJ124" s="12" t="n">
        <f aca="false">W$2+X$2*(R124-1)+2*Y$2</f>
        <v>71.6</v>
      </c>
    </row>
    <row r="125" customFormat="false" ht="55.4" hidden="false" customHeight="false" outlineLevel="0" collapsed="false">
      <c r="B125" s="8" t="s">
        <v>594</v>
      </c>
      <c r="C125" s="8" t="s">
        <v>37</v>
      </c>
      <c r="D125" s="22" t="s">
        <v>358</v>
      </c>
      <c r="E125" s="9" t="str">
        <f aca="false">D125&amp;C125</f>
        <v>LimbA</v>
      </c>
      <c r="F125" s="12"/>
      <c r="G125" s="11"/>
      <c r="H125" s="10" t="n">
        <v>1</v>
      </c>
      <c r="I125" s="12" t="s">
        <v>361</v>
      </c>
      <c r="J125" s="12" t="s">
        <v>595</v>
      </c>
      <c r="K125" s="12" t="s">
        <v>391</v>
      </c>
      <c r="L125" s="11"/>
      <c r="M125" s="10" t="n">
        <v>3</v>
      </c>
      <c r="N125" s="10" t="s">
        <v>39</v>
      </c>
      <c r="O125" s="10" t="s">
        <v>596</v>
      </c>
      <c r="P125" s="12" t="s">
        <v>597</v>
      </c>
      <c r="Q125" s="13"/>
      <c r="R125" s="10"/>
      <c r="S125" s="10"/>
      <c r="T125" s="10"/>
      <c r="U125" s="10"/>
      <c r="V125" s="11"/>
      <c r="W125" s="10"/>
      <c r="X125" s="10"/>
      <c r="Y125" s="10"/>
      <c r="Z125" s="10"/>
      <c r="AA125" s="10"/>
      <c r="AB125" s="10" t="n">
        <f aca="false">AD125+AA$2</f>
        <v>20</v>
      </c>
      <c r="AC125" s="10" t="n">
        <f aca="false">AB125+Z$2</f>
        <v>18.9</v>
      </c>
      <c r="AD125" s="10" t="n">
        <f aca="false">W$2+X$2*(H125-1)</f>
        <v>26</v>
      </c>
      <c r="AE125" s="10" t="n">
        <f aca="false">AG125+AA$2</f>
        <v>31.8</v>
      </c>
      <c r="AF125" s="10" t="n">
        <f aca="false">AE125+Z$2</f>
        <v>30.7</v>
      </c>
      <c r="AG125" s="10" t="n">
        <f aca="false">W$2+X$2*(M125-1)+Y$2</f>
        <v>37.8</v>
      </c>
      <c r="AH125" s="10" t="n">
        <f aca="false">AJ125+AA$2</f>
        <v>21.6</v>
      </c>
      <c r="AI125" s="10" t="n">
        <f aca="false">AH125+Z$2</f>
        <v>20.5</v>
      </c>
      <c r="AJ125" s="12" t="n">
        <f aca="false">W$2+X$2*(R125-1)+2*Y$2</f>
        <v>27.6</v>
      </c>
    </row>
    <row r="126" customFormat="false" ht="55.4" hidden="false" customHeight="false" outlineLevel="0" collapsed="false">
      <c r="B126" s="8" t="s">
        <v>598</v>
      </c>
      <c r="C126" s="8" t="s">
        <v>48</v>
      </c>
      <c r="D126" s="22" t="s">
        <v>358</v>
      </c>
      <c r="E126" s="9" t="str">
        <f aca="false">D126&amp;C126</f>
        <v>LimbB</v>
      </c>
      <c r="F126" s="12"/>
      <c r="G126" s="11"/>
      <c r="H126" s="10" t="n">
        <v>1</v>
      </c>
      <c r="I126" s="12" t="s">
        <v>361</v>
      </c>
      <c r="J126" s="12" t="s">
        <v>599</v>
      </c>
      <c r="K126" s="12" t="s">
        <v>600</v>
      </c>
      <c r="L126" s="11"/>
      <c r="M126" s="10" t="n">
        <v>3</v>
      </c>
      <c r="N126" s="10" t="s">
        <v>154</v>
      </c>
      <c r="O126" s="10" t="s">
        <v>601</v>
      </c>
      <c r="P126" s="10" t="s">
        <v>602</v>
      </c>
      <c r="Q126" s="13"/>
      <c r="R126" s="1" t="n">
        <v>10</v>
      </c>
      <c r="S126" s="10" t="s">
        <v>53</v>
      </c>
      <c r="T126" s="10" t="s">
        <v>364</v>
      </c>
      <c r="U126" s="12" t="s">
        <v>603</v>
      </c>
      <c r="V126" s="11"/>
      <c r="W126" s="10"/>
      <c r="X126" s="10"/>
      <c r="Y126" s="10"/>
      <c r="Z126" s="10"/>
      <c r="AA126" s="10"/>
      <c r="AB126" s="10" t="n">
        <f aca="false">AD126+AA$2</f>
        <v>20</v>
      </c>
      <c r="AC126" s="10" t="n">
        <f aca="false">AB126+Z$2</f>
        <v>18.9</v>
      </c>
      <c r="AD126" s="10" t="n">
        <f aca="false">W$2+X$2*(H126-1)</f>
        <v>26</v>
      </c>
      <c r="AE126" s="10" t="n">
        <f aca="false">AG126+AA$2</f>
        <v>31.8</v>
      </c>
      <c r="AF126" s="10" t="n">
        <f aca="false">AE126+Z$2</f>
        <v>30.7</v>
      </c>
      <c r="AG126" s="10" t="n">
        <f aca="false">W$2+X$2*(M126-1)+Y$2</f>
        <v>37.8</v>
      </c>
      <c r="AH126" s="10" t="n">
        <f aca="false">AJ126+AA$2</f>
        <v>65.6</v>
      </c>
      <c r="AI126" s="10" t="n">
        <f aca="false">AH126+Z$2</f>
        <v>64.5</v>
      </c>
      <c r="AJ126" s="12" t="n">
        <f aca="false">W$2+X$2*(R124-1)+2*Y$2</f>
        <v>71.6</v>
      </c>
    </row>
    <row r="127" customFormat="false" ht="55.4" hidden="false" customHeight="false" outlineLevel="0" collapsed="false">
      <c r="B127" s="8" t="s">
        <v>604</v>
      </c>
      <c r="C127" s="8" t="s">
        <v>37</v>
      </c>
      <c r="D127" s="22" t="s">
        <v>358</v>
      </c>
      <c r="E127" s="9" t="str">
        <f aca="false">D127&amp;C127</f>
        <v>LimbA</v>
      </c>
      <c r="F127" s="12" t="s">
        <v>545</v>
      </c>
      <c r="G127" s="11"/>
      <c r="H127" s="10" t="n">
        <v>1</v>
      </c>
      <c r="I127" s="12" t="s">
        <v>42</v>
      </c>
      <c r="J127" s="12" t="s">
        <v>605</v>
      </c>
      <c r="K127" s="12" t="s">
        <v>606</v>
      </c>
      <c r="L127" s="11"/>
      <c r="M127" s="10" t="n">
        <v>5</v>
      </c>
      <c r="N127" s="10" t="s">
        <v>39</v>
      </c>
      <c r="O127" s="10" t="s">
        <v>607</v>
      </c>
      <c r="P127" s="12" t="s">
        <v>608</v>
      </c>
      <c r="Q127" s="13"/>
      <c r="R127" s="10"/>
      <c r="S127" s="10"/>
      <c r="T127" s="10"/>
      <c r="U127" s="12"/>
      <c r="V127" s="11"/>
      <c r="W127" s="10"/>
      <c r="X127" s="10"/>
      <c r="Y127" s="10"/>
      <c r="Z127" s="10"/>
      <c r="AA127" s="10"/>
      <c r="AB127" s="10" t="n">
        <f aca="false">AD127+AA$2</f>
        <v>20</v>
      </c>
      <c r="AC127" s="10" t="n">
        <f aca="false">AB127+Z$2</f>
        <v>18.9</v>
      </c>
      <c r="AD127" s="10" t="n">
        <f aca="false">W$2+X$2*(H127-1)</f>
        <v>26</v>
      </c>
      <c r="AE127" s="10" t="n">
        <f aca="false">AG127+AA$2</f>
        <v>40.6</v>
      </c>
      <c r="AF127" s="10" t="n">
        <f aca="false">AE127+Z$2</f>
        <v>39.5</v>
      </c>
      <c r="AG127" s="10" t="n">
        <f aca="false">W$2+X$2*(M127-1)+Y$2</f>
        <v>46.6</v>
      </c>
      <c r="AH127" s="10" t="n">
        <f aca="false">AJ127+AA$2</f>
        <v>21.6</v>
      </c>
      <c r="AI127" s="10" t="n">
        <f aca="false">AH127+Z$2</f>
        <v>20.5</v>
      </c>
      <c r="AJ127" s="12" t="n">
        <f aca="false">W$2+X$2*(R127-1)+2*Y$2</f>
        <v>27.6</v>
      </c>
    </row>
    <row r="128" customFormat="false" ht="55.4" hidden="false" customHeight="false" outlineLevel="0" collapsed="false">
      <c r="B128" s="8" t="s">
        <v>609</v>
      </c>
      <c r="C128" s="8" t="s">
        <v>48</v>
      </c>
      <c r="D128" s="22" t="s">
        <v>358</v>
      </c>
      <c r="E128" s="9" t="str">
        <f aca="false">D128&amp;C128</f>
        <v>LimbB</v>
      </c>
      <c r="F128" s="12"/>
      <c r="G128" s="11"/>
      <c r="H128" s="10" t="n">
        <v>1</v>
      </c>
      <c r="I128" s="12" t="s">
        <v>361</v>
      </c>
      <c r="J128" s="12" t="s">
        <v>610</v>
      </c>
      <c r="K128" s="12" t="s">
        <v>483</v>
      </c>
      <c r="L128" s="11"/>
      <c r="M128" s="10" t="n">
        <v>3</v>
      </c>
      <c r="N128" s="10" t="s">
        <v>42</v>
      </c>
      <c r="O128" s="10" t="s">
        <v>611</v>
      </c>
      <c r="P128" s="10" t="s">
        <v>612</v>
      </c>
      <c r="Q128" s="13"/>
      <c r="R128" s="10"/>
      <c r="S128" s="10"/>
      <c r="T128" s="10"/>
      <c r="U128" s="12"/>
      <c r="V128" s="11"/>
      <c r="W128" s="10"/>
      <c r="X128" s="10"/>
      <c r="Y128" s="10"/>
      <c r="Z128" s="10"/>
      <c r="AA128" s="10"/>
      <c r="AB128" s="10" t="n">
        <f aca="false">AD128+AA$2</f>
        <v>20</v>
      </c>
      <c r="AC128" s="10" t="n">
        <f aca="false">AB128+Z$2</f>
        <v>18.9</v>
      </c>
      <c r="AD128" s="10" t="n">
        <f aca="false">W$2+X$2*(H128-1)</f>
        <v>26</v>
      </c>
      <c r="AE128" s="10" t="n">
        <f aca="false">AG128+AA$2</f>
        <v>31.8</v>
      </c>
      <c r="AF128" s="10" t="n">
        <f aca="false">AE128+Z$2</f>
        <v>30.7</v>
      </c>
      <c r="AG128" s="10" t="n">
        <f aca="false">W$2+X$2*(M128-1)+Y$2</f>
        <v>37.8</v>
      </c>
      <c r="AH128" s="10" t="n">
        <f aca="false">AJ128+AA$2</f>
        <v>21.6</v>
      </c>
      <c r="AI128" s="10" t="n">
        <f aca="false">AH128+Z$2</f>
        <v>20.5</v>
      </c>
      <c r="AJ128" s="12" t="n">
        <f aca="false">W$2+X$2*(R128-1)+2*Y$2</f>
        <v>27.6</v>
      </c>
    </row>
    <row r="129" customFormat="false" ht="55.4" hidden="false" customHeight="false" outlineLevel="0" collapsed="false">
      <c r="B129" s="8" t="s">
        <v>613</v>
      </c>
      <c r="C129" s="8" t="s">
        <v>48</v>
      </c>
      <c r="D129" s="22" t="s">
        <v>358</v>
      </c>
      <c r="E129" s="9" t="str">
        <f aca="false">D129&amp;C129</f>
        <v>LimbB</v>
      </c>
      <c r="F129" s="12"/>
      <c r="G129" s="11"/>
      <c r="H129" s="10" t="n">
        <v>1</v>
      </c>
      <c r="I129" s="12" t="s">
        <v>361</v>
      </c>
      <c r="J129" s="12" t="s">
        <v>614</v>
      </c>
      <c r="K129" s="12" t="s">
        <v>615</v>
      </c>
      <c r="L129" s="11"/>
      <c r="M129" s="10"/>
      <c r="N129" s="10"/>
      <c r="O129" s="10"/>
      <c r="P129" s="12"/>
      <c r="Q129" s="13"/>
      <c r="R129" s="10"/>
      <c r="S129" s="10"/>
      <c r="T129" s="10"/>
      <c r="U129" s="12"/>
      <c r="V129" s="11"/>
      <c r="W129" s="10"/>
      <c r="X129" s="10"/>
      <c r="Y129" s="10"/>
      <c r="Z129" s="10"/>
      <c r="AA129" s="10"/>
      <c r="AB129" s="10" t="n">
        <f aca="false">AD129+AA$2</f>
        <v>20</v>
      </c>
      <c r="AC129" s="10" t="n">
        <f aca="false">AB129+Z$2</f>
        <v>18.9</v>
      </c>
      <c r="AD129" s="10" t="n">
        <f aca="false">W$2+X$2*(H129-1)</f>
        <v>26</v>
      </c>
      <c r="AE129" s="10" t="n">
        <f aca="false">AG129+AA$2</f>
        <v>18.6</v>
      </c>
      <c r="AF129" s="10" t="n">
        <f aca="false">AE129+Z$2</f>
        <v>17.5</v>
      </c>
      <c r="AG129" s="10" t="n">
        <f aca="false">W$2+X$2*(M129-1)+Y$2</f>
        <v>24.6</v>
      </c>
      <c r="AH129" s="10" t="n">
        <f aca="false">AJ129+AA$2</f>
        <v>21.6</v>
      </c>
      <c r="AI129" s="10" t="n">
        <f aca="false">AH129+Z$2</f>
        <v>20.5</v>
      </c>
      <c r="AJ129" s="12" t="n">
        <f aca="false">W$2+X$2*(R129-1)+2*Y$2</f>
        <v>27.6</v>
      </c>
    </row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" hidden="false" customHeight="false" outlineLevel="0" collapsed="false"/>
    <row r="135" customFormat="false" ht="15" hidden="false" customHeight="false" outlineLevel="0" collapsed="false"/>
    <row r="136" customFormat="false" ht="15" hidden="false" customHeight="false" outlineLevel="0" collapsed="false"/>
    <row r="137" customFormat="false" ht="15" hidden="false" customHeight="false" outlineLevel="0" collapsed="false"/>
    <row r="138" customFormat="false" ht="15" hidden="false" customHeight="false" outlineLevel="0" collapsed="false"/>
    <row r="139" customFormat="false" ht="15" hidden="false" customHeight="false" outlineLevel="0" collapsed="false"/>
    <row r="140" customFormat="false" ht="15" hidden="false" customHeight="false" outlineLevel="0" collapsed="false"/>
    <row r="141" customFormat="false" ht="15" hidden="false" customHeight="false" outlineLevel="0" collapsed="false">
      <c r="B141" s="25"/>
      <c r="C141" s="25"/>
      <c r="D141" s="25"/>
      <c r="E141" s="25"/>
      <c r="F141" s="25"/>
      <c r="G141" s="25"/>
      <c r="H141" s="25"/>
      <c r="I141" s="26"/>
      <c r="J141" s="26"/>
      <c r="K141" s="25"/>
      <c r="L141" s="25"/>
      <c r="M141" s="25"/>
      <c r="N141" s="26"/>
      <c r="O141" s="26"/>
      <c r="P141" s="27"/>
      <c r="Q141" s="25"/>
      <c r="R141" s="25"/>
      <c r="S141" s="26"/>
      <c r="T141" s="26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6"/>
    </row>
    <row r="142" customFormat="false" ht="15" hidden="false" customHeight="false" outlineLevel="0" collapsed="false">
      <c r="B142" s="25"/>
      <c r="C142" s="25"/>
      <c r="D142" s="25"/>
      <c r="E142" s="25"/>
      <c r="F142" s="25"/>
      <c r="G142" s="25"/>
      <c r="H142" s="25"/>
      <c r="I142" s="26"/>
      <c r="J142" s="26"/>
      <c r="K142" s="25"/>
      <c r="L142" s="25"/>
      <c r="M142" s="25"/>
      <c r="N142" s="26"/>
      <c r="O142" s="26"/>
      <c r="P142" s="27"/>
      <c r="Q142" s="25"/>
      <c r="R142" s="25"/>
      <c r="S142" s="26"/>
      <c r="T142" s="26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6"/>
    </row>
    <row r="143" customFormat="false" ht="15" hidden="false" customHeight="false" outlineLevel="0" collapsed="false">
      <c r="B143" s="25"/>
      <c r="C143" s="25"/>
      <c r="D143" s="25"/>
      <c r="E143" s="25"/>
      <c r="F143" s="25"/>
      <c r="G143" s="25"/>
      <c r="H143" s="25"/>
      <c r="I143" s="26"/>
      <c r="J143" s="26"/>
      <c r="K143" s="25"/>
      <c r="L143" s="25"/>
      <c r="M143" s="25"/>
      <c r="N143" s="26"/>
      <c r="O143" s="26"/>
      <c r="P143" s="27"/>
      <c r="Q143" s="25"/>
      <c r="R143" s="25"/>
      <c r="S143" s="26"/>
      <c r="T143" s="26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6"/>
    </row>
    <row r="144" customFormat="false" ht="15" hidden="false" customHeight="false" outlineLevel="0" collapsed="false">
      <c r="B144" s="25"/>
      <c r="C144" s="25"/>
      <c r="D144" s="25"/>
      <c r="E144" s="25"/>
      <c r="F144" s="25"/>
      <c r="G144" s="25"/>
      <c r="H144" s="25"/>
      <c r="I144" s="26"/>
      <c r="J144" s="26"/>
      <c r="K144" s="25"/>
      <c r="L144" s="25"/>
      <c r="M144" s="25"/>
      <c r="N144" s="26"/>
      <c r="O144" s="26"/>
      <c r="P144" s="27"/>
      <c r="Q144" s="25"/>
      <c r="R144" s="25"/>
      <c r="S144" s="26"/>
      <c r="T144" s="26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6"/>
    </row>
    <row r="145" customFormat="false" ht="15" hidden="false" customHeight="false" outlineLevel="0" collapsed="false">
      <c r="B145" s="25"/>
      <c r="C145" s="25"/>
      <c r="D145" s="25"/>
      <c r="E145" s="25"/>
      <c r="F145" s="25"/>
      <c r="G145" s="25"/>
      <c r="H145" s="25"/>
      <c r="I145" s="26"/>
      <c r="J145" s="26"/>
      <c r="K145" s="25"/>
      <c r="L145" s="25"/>
      <c r="M145" s="25"/>
      <c r="N145" s="26"/>
      <c r="O145" s="26"/>
      <c r="P145" s="27"/>
      <c r="Q145" s="25"/>
      <c r="R145" s="25"/>
      <c r="S145" s="26"/>
      <c r="T145" s="26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6"/>
    </row>
    <row r="146" customFormat="false" ht="15" hidden="false" customHeight="false" outlineLevel="0" collapsed="false">
      <c r="B146" s="25"/>
      <c r="C146" s="25"/>
      <c r="D146" s="25"/>
      <c r="E146" s="25"/>
      <c r="F146" s="25"/>
      <c r="G146" s="25"/>
      <c r="H146" s="25"/>
      <c r="I146" s="26"/>
      <c r="J146" s="26"/>
      <c r="K146" s="25"/>
      <c r="L146" s="25"/>
      <c r="M146" s="25"/>
      <c r="N146" s="26"/>
      <c r="O146" s="26"/>
      <c r="P146" s="27"/>
      <c r="Q146" s="25"/>
      <c r="R146" s="25"/>
      <c r="S146" s="26"/>
      <c r="T146" s="26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6"/>
    </row>
    <row r="147" customFormat="false" ht="15" hidden="false" customHeight="false" outlineLevel="0" collapsed="false">
      <c r="B147" s="25"/>
      <c r="C147" s="25"/>
      <c r="D147" s="25"/>
      <c r="E147" s="25"/>
      <c r="F147" s="25"/>
      <c r="G147" s="25"/>
      <c r="H147" s="25"/>
      <c r="I147" s="26"/>
      <c r="J147" s="26"/>
      <c r="K147" s="25"/>
      <c r="L147" s="25"/>
      <c r="M147" s="25"/>
      <c r="N147" s="26"/>
      <c r="O147" s="26"/>
      <c r="P147" s="27"/>
      <c r="Q147" s="25"/>
      <c r="R147" s="25"/>
      <c r="S147" s="26"/>
      <c r="T147" s="26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6"/>
    </row>
    <row r="148" customFormat="false" ht="15" hidden="false" customHeight="false" outlineLevel="0" collapsed="false">
      <c r="B148" s="25"/>
      <c r="C148" s="25"/>
      <c r="D148" s="25"/>
      <c r="E148" s="25"/>
      <c r="F148" s="25"/>
      <c r="G148" s="25"/>
      <c r="H148" s="25"/>
      <c r="I148" s="26"/>
      <c r="J148" s="26"/>
      <c r="K148" s="25"/>
      <c r="L148" s="25"/>
      <c r="M148" s="25"/>
      <c r="N148" s="26"/>
      <c r="O148" s="26"/>
      <c r="P148" s="27"/>
      <c r="Q148" s="25"/>
      <c r="R148" s="25"/>
      <c r="S148" s="26"/>
      <c r="T148" s="26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6"/>
    </row>
    <row r="149" customFormat="false" ht="15" hidden="false" customHeight="false" outlineLevel="0" collapsed="false">
      <c r="B149" s="25"/>
      <c r="C149" s="25"/>
      <c r="D149" s="25"/>
      <c r="E149" s="25"/>
      <c r="F149" s="25"/>
      <c r="G149" s="25"/>
      <c r="H149" s="25"/>
      <c r="I149" s="26"/>
      <c r="J149" s="26"/>
      <c r="K149" s="25"/>
      <c r="L149" s="25"/>
      <c r="M149" s="25"/>
      <c r="N149" s="26"/>
      <c r="O149" s="26"/>
      <c r="P149" s="27"/>
      <c r="Q149" s="25"/>
      <c r="R149" s="25"/>
      <c r="S149" s="26"/>
      <c r="T149" s="26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6"/>
    </row>
    <row r="150" customFormat="false" ht="15" hidden="false" customHeight="false" outlineLevel="0" collapsed="false">
      <c r="B150" s="25"/>
      <c r="C150" s="25"/>
      <c r="D150" s="25"/>
      <c r="E150" s="25"/>
      <c r="F150" s="25"/>
      <c r="G150" s="25"/>
      <c r="H150" s="25"/>
      <c r="I150" s="26"/>
      <c r="J150" s="26"/>
      <c r="K150" s="25"/>
      <c r="L150" s="25"/>
      <c r="M150" s="25"/>
      <c r="N150" s="26"/>
      <c r="O150" s="26"/>
      <c r="P150" s="27"/>
      <c r="Q150" s="25"/>
      <c r="R150" s="25"/>
      <c r="S150" s="26"/>
      <c r="T150" s="26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6"/>
    </row>
    <row r="151" customFormat="false" ht="15" hidden="false" customHeight="false" outlineLevel="0" collapsed="false">
      <c r="B151" s="25"/>
      <c r="C151" s="25"/>
      <c r="D151" s="25"/>
      <c r="E151" s="25"/>
      <c r="F151" s="25"/>
      <c r="G151" s="25"/>
      <c r="H151" s="25"/>
      <c r="I151" s="26"/>
      <c r="J151" s="26"/>
      <c r="K151" s="25"/>
      <c r="L151" s="25"/>
      <c r="M151" s="25"/>
      <c r="N151" s="26"/>
      <c r="O151" s="26"/>
      <c r="P151" s="27"/>
      <c r="Q151" s="25"/>
      <c r="R151" s="25"/>
      <c r="S151" s="26"/>
      <c r="T151" s="26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6"/>
    </row>
    <row r="152" customFormat="false" ht="15" hidden="false" customHeight="false" outlineLevel="0" collapsed="false">
      <c r="B152" s="25"/>
      <c r="C152" s="25"/>
      <c r="D152" s="25"/>
      <c r="E152" s="25"/>
      <c r="F152" s="25"/>
      <c r="G152" s="25"/>
      <c r="H152" s="25"/>
      <c r="I152" s="26"/>
      <c r="J152" s="26"/>
      <c r="K152" s="25"/>
      <c r="L152" s="25"/>
      <c r="M152" s="25"/>
      <c r="N152" s="26"/>
      <c r="O152" s="26"/>
      <c r="P152" s="27"/>
      <c r="Q152" s="25"/>
      <c r="R152" s="25"/>
      <c r="S152" s="26"/>
      <c r="T152" s="26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6"/>
    </row>
    <row r="153" customFormat="false" ht="15" hidden="false" customHeight="false" outlineLevel="0" collapsed="false">
      <c r="B153" s="25"/>
      <c r="C153" s="25"/>
      <c r="D153" s="25"/>
      <c r="E153" s="25"/>
      <c r="F153" s="25"/>
      <c r="G153" s="25"/>
      <c r="H153" s="25"/>
      <c r="I153" s="26"/>
      <c r="J153" s="26"/>
      <c r="K153" s="25"/>
      <c r="L153" s="25"/>
      <c r="M153" s="25"/>
      <c r="N153" s="26"/>
      <c r="O153" s="26"/>
      <c r="P153" s="27"/>
      <c r="Q153" s="25"/>
      <c r="R153" s="25"/>
      <c r="S153" s="26"/>
      <c r="T153" s="26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6"/>
    </row>
    <row r="154" customFormat="false" ht="15" hidden="false" customHeight="false" outlineLevel="0" collapsed="false">
      <c r="B154" s="25"/>
      <c r="C154" s="25"/>
      <c r="D154" s="25"/>
      <c r="E154" s="25"/>
      <c r="F154" s="25"/>
      <c r="G154" s="25"/>
      <c r="H154" s="25"/>
      <c r="I154" s="26"/>
      <c r="J154" s="26"/>
      <c r="K154" s="25"/>
      <c r="L154" s="25"/>
      <c r="M154" s="25"/>
      <c r="N154" s="26"/>
      <c r="O154" s="26"/>
      <c r="P154" s="27"/>
      <c r="Q154" s="25"/>
      <c r="R154" s="25"/>
      <c r="S154" s="26"/>
      <c r="T154" s="26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6"/>
    </row>
    <row r="155" customFormat="false" ht="15" hidden="false" customHeight="false" outlineLevel="0" collapsed="false">
      <c r="B155" s="25"/>
      <c r="C155" s="25"/>
      <c r="D155" s="25"/>
      <c r="E155" s="25"/>
      <c r="F155" s="25"/>
      <c r="G155" s="25"/>
      <c r="H155" s="25"/>
      <c r="I155" s="26"/>
      <c r="J155" s="26"/>
      <c r="K155" s="25"/>
      <c r="L155" s="25"/>
      <c r="M155" s="25"/>
      <c r="N155" s="26"/>
      <c r="O155" s="26"/>
      <c r="P155" s="27"/>
      <c r="Q155" s="25"/>
      <c r="R155" s="25"/>
      <c r="S155" s="26"/>
      <c r="T155" s="26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6"/>
    </row>
    <row r="156" customFormat="false" ht="15" hidden="false" customHeight="false" outlineLevel="0" collapsed="false">
      <c r="B156" s="25"/>
      <c r="C156" s="25"/>
      <c r="D156" s="25"/>
      <c r="E156" s="25"/>
      <c r="F156" s="25"/>
      <c r="G156" s="25"/>
      <c r="H156" s="25"/>
      <c r="I156" s="26"/>
      <c r="J156" s="26"/>
      <c r="K156" s="25"/>
      <c r="L156" s="25"/>
      <c r="M156" s="25"/>
      <c r="N156" s="26"/>
      <c r="O156" s="26"/>
      <c r="P156" s="27"/>
      <c r="Q156" s="25"/>
      <c r="R156" s="25"/>
      <c r="S156" s="26"/>
      <c r="T156" s="26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6"/>
    </row>
    <row r="157" customFormat="false" ht="15" hidden="false" customHeight="false" outlineLevel="0" collapsed="false">
      <c r="B157" s="25"/>
      <c r="C157" s="25"/>
      <c r="D157" s="25"/>
      <c r="E157" s="25"/>
      <c r="F157" s="25"/>
      <c r="G157" s="25"/>
      <c r="H157" s="25"/>
      <c r="I157" s="26"/>
      <c r="J157" s="26"/>
      <c r="K157" s="25"/>
      <c r="L157" s="25"/>
      <c r="M157" s="25"/>
      <c r="N157" s="26"/>
      <c r="O157" s="26"/>
      <c r="P157" s="27"/>
      <c r="Q157" s="25"/>
      <c r="R157" s="25"/>
      <c r="S157" s="26"/>
      <c r="T157" s="26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6"/>
    </row>
    <row r="158" customFormat="false" ht="15" hidden="false" customHeight="false" outlineLevel="0" collapsed="false">
      <c r="B158" s="25"/>
      <c r="C158" s="25"/>
      <c r="D158" s="25"/>
      <c r="E158" s="25"/>
      <c r="F158" s="25"/>
      <c r="G158" s="25"/>
      <c r="H158" s="25"/>
      <c r="I158" s="26"/>
      <c r="J158" s="26"/>
      <c r="K158" s="25"/>
      <c r="L158" s="25"/>
      <c r="M158" s="25"/>
      <c r="N158" s="26"/>
      <c r="O158" s="26"/>
      <c r="P158" s="27"/>
      <c r="Q158" s="25"/>
      <c r="R158" s="25"/>
      <c r="S158" s="26"/>
      <c r="T158" s="26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6"/>
    </row>
    <row r="159" customFormat="false" ht="15" hidden="false" customHeight="false" outlineLevel="0" collapsed="false">
      <c r="B159" s="25"/>
      <c r="C159" s="25"/>
      <c r="D159" s="25"/>
      <c r="E159" s="25"/>
      <c r="F159" s="25"/>
      <c r="G159" s="25"/>
      <c r="H159" s="25"/>
      <c r="I159" s="26"/>
      <c r="J159" s="26"/>
      <c r="K159" s="25"/>
      <c r="L159" s="25"/>
      <c r="M159" s="25"/>
      <c r="N159" s="26"/>
      <c r="O159" s="26"/>
      <c r="P159" s="27"/>
      <c r="Q159" s="25"/>
      <c r="R159" s="25"/>
      <c r="S159" s="26"/>
      <c r="T159" s="26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6"/>
    </row>
    <row r="160" customFormat="false" ht="15" hidden="false" customHeight="false" outlineLevel="0" collapsed="false">
      <c r="B160" s="25"/>
      <c r="C160" s="25"/>
      <c r="D160" s="25"/>
      <c r="E160" s="25"/>
      <c r="F160" s="25"/>
      <c r="G160" s="25"/>
      <c r="H160" s="25"/>
      <c r="I160" s="26"/>
      <c r="J160" s="26"/>
      <c r="K160" s="25"/>
      <c r="L160" s="25"/>
      <c r="M160" s="25"/>
      <c r="N160" s="26"/>
      <c r="O160" s="26"/>
      <c r="P160" s="27"/>
      <c r="Q160" s="25"/>
      <c r="R160" s="25"/>
      <c r="S160" s="26"/>
      <c r="T160" s="26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6"/>
    </row>
    <row r="161" customFormat="false" ht="15" hidden="false" customHeight="false" outlineLevel="0" collapsed="false">
      <c r="B161" s="25"/>
      <c r="C161" s="25"/>
      <c r="D161" s="25"/>
      <c r="E161" s="25"/>
      <c r="F161" s="25"/>
      <c r="G161" s="25"/>
      <c r="H161" s="25"/>
      <c r="I161" s="26"/>
      <c r="J161" s="26"/>
      <c r="K161" s="25"/>
      <c r="L161" s="25"/>
      <c r="M161" s="25"/>
      <c r="N161" s="26"/>
      <c r="O161" s="26"/>
      <c r="P161" s="27"/>
      <c r="Q161" s="25"/>
      <c r="R161" s="25"/>
      <c r="S161" s="26"/>
      <c r="T161" s="26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6"/>
    </row>
    <row r="162" customFormat="false" ht="15" hidden="false" customHeight="false" outlineLevel="0" collapsed="false">
      <c r="B162" s="25"/>
      <c r="C162" s="25"/>
      <c r="D162" s="25"/>
      <c r="E162" s="25"/>
      <c r="F162" s="25"/>
      <c r="G162" s="25"/>
      <c r="H162" s="25"/>
      <c r="I162" s="26"/>
      <c r="J162" s="26"/>
      <c r="K162" s="25"/>
      <c r="L162" s="25"/>
      <c r="M162" s="25"/>
      <c r="N162" s="26"/>
      <c r="O162" s="26"/>
      <c r="P162" s="27"/>
      <c r="Q162" s="25"/>
      <c r="R162" s="25"/>
      <c r="S162" s="26"/>
      <c r="T162" s="26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6"/>
    </row>
    <row r="163" customFormat="false" ht="15" hidden="false" customHeight="false" outlineLevel="0" collapsed="false">
      <c r="B163" s="25"/>
      <c r="C163" s="25"/>
      <c r="D163" s="25"/>
      <c r="E163" s="25"/>
      <c r="F163" s="25"/>
      <c r="G163" s="25"/>
      <c r="H163" s="25"/>
      <c r="I163" s="26"/>
      <c r="J163" s="26"/>
      <c r="K163" s="25"/>
      <c r="L163" s="25"/>
      <c r="M163" s="25"/>
      <c r="N163" s="26"/>
      <c r="O163" s="26"/>
      <c r="P163" s="27"/>
      <c r="Q163" s="25"/>
      <c r="R163" s="25"/>
      <c r="S163" s="26"/>
      <c r="T163" s="26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6"/>
    </row>
    <row r="164" customFormat="false" ht="15" hidden="false" customHeight="false" outlineLevel="0" collapsed="false">
      <c r="B164" s="25"/>
      <c r="C164" s="25"/>
      <c r="D164" s="25"/>
      <c r="E164" s="25"/>
      <c r="F164" s="25"/>
      <c r="G164" s="25"/>
      <c r="H164" s="25"/>
      <c r="I164" s="26"/>
      <c r="J164" s="26"/>
      <c r="K164" s="25"/>
      <c r="L164" s="25"/>
      <c r="M164" s="25"/>
      <c r="N164" s="26"/>
      <c r="O164" s="26"/>
      <c r="P164" s="27"/>
      <c r="Q164" s="25"/>
      <c r="R164" s="25"/>
      <c r="S164" s="26"/>
      <c r="T164" s="26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6"/>
    </row>
    <row r="165" customFormat="false" ht="15" hidden="false" customHeight="false" outlineLevel="0" collapsed="false">
      <c r="B165" s="25"/>
      <c r="C165" s="25"/>
      <c r="D165" s="25"/>
      <c r="E165" s="25"/>
      <c r="F165" s="25"/>
      <c r="G165" s="25"/>
      <c r="H165" s="25"/>
      <c r="I165" s="26"/>
      <c r="J165" s="26"/>
      <c r="K165" s="25"/>
      <c r="L165" s="25"/>
      <c r="M165" s="25"/>
      <c r="N165" s="26"/>
      <c r="O165" s="26"/>
      <c r="P165" s="27"/>
      <c r="Q165" s="25"/>
      <c r="R165" s="25"/>
      <c r="S165" s="26"/>
      <c r="T165" s="26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6"/>
    </row>
    <row r="166" customFormat="false" ht="15" hidden="false" customHeight="false" outlineLevel="0" collapsed="false">
      <c r="B166" s="25"/>
      <c r="C166" s="25"/>
      <c r="D166" s="25"/>
      <c r="E166" s="25"/>
      <c r="F166" s="25"/>
      <c r="G166" s="25"/>
      <c r="H166" s="25"/>
      <c r="I166" s="26"/>
      <c r="J166" s="26"/>
      <c r="K166" s="25"/>
      <c r="L166" s="25"/>
      <c r="M166" s="25"/>
      <c r="N166" s="26"/>
      <c r="O166" s="26"/>
      <c r="P166" s="27"/>
      <c r="Q166" s="25"/>
      <c r="R166" s="25"/>
      <c r="S166" s="26"/>
      <c r="T166" s="26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6"/>
    </row>
    <row r="167" customFormat="false" ht="15" hidden="false" customHeight="false" outlineLevel="0" collapsed="false">
      <c r="B167" s="25"/>
      <c r="C167" s="25"/>
      <c r="D167" s="25"/>
      <c r="E167" s="25"/>
      <c r="F167" s="25"/>
      <c r="G167" s="25"/>
      <c r="H167" s="25"/>
      <c r="I167" s="26"/>
      <c r="J167" s="26"/>
      <c r="K167" s="25"/>
      <c r="L167" s="25"/>
      <c r="M167" s="25"/>
      <c r="N167" s="26"/>
      <c r="O167" s="26"/>
      <c r="P167" s="27"/>
      <c r="Q167" s="25"/>
      <c r="R167" s="25"/>
      <c r="S167" s="26"/>
      <c r="T167" s="26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6"/>
    </row>
    <row r="168" customFormat="false" ht="15" hidden="false" customHeight="false" outlineLevel="0" collapsed="false">
      <c r="B168" s="25"/>
      <c r="C168" s="25"/>
      <c r="D168" s="25"/>
      <c r="E168" s="25"/>
      <c r="F168" s="25"/>
      <c r="G168" s="25"/>
      <c r="H168" s="25"/>
      <c r="I168" s="26"/>
      <c r="J168" s="26"/>
      <c r="K168" s="25"/>
      <c r="L168" s="25"/>
      <c r="M168" s="25"/>
      <c r="N168" s="26"/>
      <c r="O168" s="26"/>
      <c r="P168" s="27"/>
      <c r="Q168" s="25"/>
      <c r="R168" s="25"/>
      <c r="S168" s="26"/>
      <c r="T168" s="26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6"/>
    </row>
    <row r="169" customFormat="false" ht="15" hidden="false" customHeight="false" outlineLevel="0" collapsed="false">
      <c r="B169" s="25"/>
      <c r="C169" s="25"/>
      <c r="D169" s="25"/>
      <c r="E169" s="25"/>
      <c r="F169" s="25"/>
      <c r="G169" s="25"/>
      <c r="H169" s="25"/>
      <c r="I169" s="26"/>
      <c r="J169" s="26"/>
      <c r="K169" s="25"/>
      <c r="L169" s="25"/>
      <c r="M169" s="25"/>
      <c r="N169" s="26"/>
      <c r="O169" s="26"/>
      <c r="P169" s="27"/>
      <c r="Q169" s="25"/>
      <c r="R169" s="25"/>
      <c r="S169" s="26"/>
      <c r="T169" s="26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6"/>
    </row>
    <row r="170" customFormat="false" ht="15" hidden="false" customHeight="false" outlineLevel="0" collapsed="false">
      <c r="B170" s="25"/>
      <c r="C170" s="25"/>
      <c r="D170" s="25"/>
      <c r="E170" s="25"/>
      <c r="F170" s="25"/>
      <c r="G170" s="25"/>
      <c r="H170" s="25"/>
      <c r="I170" s="26"/>
      <c r="J170" s="26"/>
      <c r="K170" s="25"/>
      <c r="L170" s="25"/>
      <c r="M170" s="25"/>
      <c r="N170" s="26"/>
      <c r="O170" s="26"/>
      <c r="P170" s="27"/>
      <c r="Q170" s="25"/>
      <c r="R170" s="25"/>
      <c r="S170" s="26"/>
      <c r="T170" s="26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6"/>
    </row>
    <row r="171" customFormat="false" ht="15" hidden="false" customHeight="false" outlineLevel="0" collapsed="false">
      <c r="B171" s="25"/>
      <c r="C171" s="25"/>
      <c r="D171" s="25"/>
      <c r="E171" s="25"/>
      <c r="F171" s="25"/>
      <c r="G171" s="25"/>
      <c r="H171" s="25"/>
      <c r="I171" s="26"/>
      <c r="J171" s="26"/>
      <c r="K171" s="25"/>
      <c r="L171" s="25"/>
      <c r="M171" s="25"/>
      <c r="N171" s="26"/>
      <c r="O171" s="26"/>
      <c r="P171" s="27"/>
      <c r="Q171" s="25"/>
      <c r="R171" s="25"/>
      <c r="S171" s="26"/>
      <c r="T171" s="26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6"/>
    </row>
    <row r="172" customFormat="false" ht="15" hidden="false" customHeight="false" outlineLevel="0" collapsed="false">
      <c r="B172" s="25"/>
      <c r="C172" s="25"/>
      <c r="D172" s="25"/>
      <c r="E172" s="25"/>
      <c r="F172" s="25"/>
      <c r="G172" s="25"/>
      <c r="H172" s="25"/>
      <c r="I172" s="26"/>
      <c r="J172" s="26"/>
      <c r="K172" s="25"/>
      <c r="L172" s="25"/>
      <c r="M172" s="25"/>
      <c r="N172" s="26"/>
      <c r="O172" s="26"/>
      <c r="P172" s="27"/>
      <c r="Q172" s="25"/>
      <c r="R172" s="25"/>
      <c r="S172" s="26"/>
      <c r="T172" s="2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6"/>
    </row>
    <row r="173" customFormat="false" ht="15" hidden="false" customHeight="false" outlineLevel="0" collapsed="false">
      <c r="B173" s="25"/>
      <c r="C173" s="25"/>
      <c r="D173" s="25"/>
      <c r="E173" s="25"/>
      <c r="F173" s="25"/>
      <c r="G173" s="25"/>
      <c r="H173" s="25"/>
      <c r="I173" s="26"/>
      <c r="J173" s="26"/>
      <c r="K173" s="25"/>
      <c r="L173" s="25"/>
      <c r="M173" s="25"/>
      <c r="N173" s="26"/>
      <c r="O173" s="26"/>
      <c r="P173" s="27"/>
      <c r="Q173" s="25"/>
      <c r="R173" s="25"/>
      <c r="S173" s="26"/>
      <c r="T173" s="26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6"/>
    </row>
    <row r="174" customFormat="false" ht="15" hidden="false" customHeight="false" outlineLevel="0" collapsed="false">
      <c r="B174" s="25"/>
      <c r="C174" s="25"/>
      <c r="D174" s="25"/>
      <c r="E174" s="25"/>
      <c r="F174" s="25"/>
      <c r="G174" s="25"/>
      <c r="H174" s="25"/>
      <c r="I174" s="26"/>
      <c r="J174" s="26"/>
      <c r="K174" s="25"/>
      <c r="L174" s="25"/>
      <c r="M174" s="25"/>
      <c r="N174" s="26"/>
      <c r="O174" s="26"/>
      <c r="P174" s="27"/>
      <c r="Q174" s="25"/>
      <c r="R174" s="25"/>
      <c r="S174" s="26"/>
      <c r="T174" s="26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6"/>
    </row>
    <row r="175" customFormat="false" ht="15" hidden="false" customHeight="false" outlineLevel="0" collapsed="false">
      <c r="B175" s="25"/>
      <c r="C175" s="25"/>
      <c r="D175" s="25"/>
      <c r="E175" s="25"/>
      <c r="F175" s="25"/>
      <c r="G175" s="25"/>
      <c r="H175" s="25"/>
      <c r="I175" s="26"/>
      <c r="J175" s="26"/>
      <c r="K175" s="25"/>
      <c r="L175" s="25"/>
      <c r="M175" s="25"/>
      <c r="N175" s="26"/>
      <c r="O175" s="26"/>
      <c r="P175" s="27"/>
      <c r="Q175" s="25"/>
      <c r="R175" s="25"/>
      <c r="S175" s="26"/>
      <c r="T175" s="26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6"/>
    </row>
    <row r="176" customFormat="false" ht="15" hidden="false" customHeight="false" outlineLevel="0" collapsed="false">
      <c r="B176" s="25"/>
      <c r="C176" s="25"/>
      <c r="D176" s="25"/>
      <c r="E176" s="25"/>
      <c r="F176" s="25"/>
      <c r="G176" s="25"/>
      <c r="H176" s="25"/>
      <c r="I176" s="26"/>
      <c r="J176" s="26"/>
      <c r="K176" s="25"/>
      <c r="L176" s="25"/>
      <c r="M176" s="25"/>
      <c r="N176" s="26"/>
      <c r="O176" s="26"/>
      <c r="P176" s="27"/>
      <c r="Q176" s="25"/>
      <c r="R176" s="25"/>
      <c r="S176" s="26"/>
      <c r="T176" s="26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6"/>
    </row>
    <row r="177" customFormat="false" ht="15" hidden="false" customHeight="false" outlineLevel="0" collapsed="false">
      <c r="B177" s="25"/>
      <c r="C177" s="25"/>
      <c r="D177" s="25"/>
      <c r="E177" s="25"/>
      <c r="F177" s="25"/>
      <c r="G177" s="25"/>
      <c r="H177" s="25"/>
      <c r="I177" s="26"/>
      <c r="J177" s="26"/>
      <c r="K177" s="25"/>
      <c r="L177" s="25"/>
      <c r="M177" s="25"/>
      <c r="N177" s="26"/>
      <c r="O177" s="26"/>
      <c r="P177" s="27"/>
      <c r="Q177" s="25"/>
      <c r="R177" s="25"/>
      <c r="S177" s="26"/>
      <c r="T177" s="26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6"/>
    </row>
    <row r="178" customFormat="false" ht="15" hidden="false" customHeight="false" outlineLevel="0" collapsed="false">
      <c r="B178" s="25"/>
      <c r="C178" s="25"/>
      <c r="D178" s="25"/>
      <c r="E178" s="25"/>
      <c r="F178" s="25"/>
      <c r="G178" s="25"/>
      <c r="H178" s="25"/>
      <c r="I178" s="26"/>
      <c r="J178" s="26"/>
      <c r="K178" s="25"/>
      <c r="L178" s="25"/>
      <c r="M178" s="25"/>
      <c r="N178" s="26"/>
      <c r="O178" s="26"/>
      <c r="P178" s="27"/>
      <c r="Q178" s="25"/>
      <c r="R178" s="25"/>
      <c r="S178" s="26"/>
      <c r="T178" s="26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6"/>
    </row>
    <row r="179" customFormat="false" ht="15" hidden="false" customHeight="false" outlineLevel="0" collapsed="false">
      <c r="B179" s="25"/>
      <c r="C179" s="25"/>
      <c r="D179" s="25"/>
      <c r="E179" s="25"/>
      <c r="F179" s="25"/>
      <c r="G179" s="25"/>
      <c r="H179" s="25"/>
      <c r="I179" s="26"/>
      <c r="J179" s="26"/>
      <c r="K179" s="25"/>
      <c r="L179" s="25"/>
      <c r="M179" s="25"/>
      <c r="N179" s="26"/>
      <c r="O179" s="26"/>
      <c r="P179" s="27"/>
      <c r="Q179" s="25"/>
      <c r="R179" s="25"/>
      <c r="S179" s="26"/>
      <c r="T179" s="26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6"/>
    </row>
    <row r="180" customFormat="false" ht="15" hidden="false" customHeight="false" outlineLevel="0" collapsed="false">
      <c r="B180" s="25"/>
      <c r="C180" s="25"/>
      <c r="D180" s="25"/>
      <c r="E180" s="25"/>
      <c r="F180" s="25"/>
      <c r="G180" s="25"/>
      <c r="H180" s="25"/>
      <c r="I180" s="26"/>
      <c r="J180" s="26"/>
      <c r="K180" s="25"/>
      <c r="L180" s="25"/>
      <c r="M180" s="25"/>
      <c r="N180" s="26"/>
      <c r="O180" s="26"/>
      <c r="P180" s="27"/>
      <c r="Q180" s="25"/>
      <c r="R180" s="25"/>
      <c r="S180" s="26"/>
      <c r="T180" s="26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6"/>
    </row>
    <row r="181" customFormat="false" ht="15" hidden="false" customHeight="false" outlineLevel="0" collapsed="false">
      <c r="B181" s="25"/>
      <c r="C181" s="25"/>
      <c r="D181" s="25"/>
      <c r="E181" s="25"/>
      <c r="F181" s="25"/>
      <c r="G181" s="25"/>
      <c r="H181" s="25"/>
      <c r="I181" s="26"/>
      <c r="J181" s="26"/>
      <c r="K181" s="25"/>
      <c r="L181" s="25"/>
      <c r="M181" s="25"/>
      <c r="N181" s="26"/>
      <c r="O181" s="26"/>
      <c r="P181" s="27"/>
      <c r="Q181" s="25"/>
      <c r="R181" s="25"/>
      <c r="S181" s="26"/>
      <c r="T181" s="26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6"/>
    </row>
    <row r="182" customFormat="false" ht="15" hidden="false" customHeight="false" outlineLevel="0" collapsed="false">
      <c r="B182" s="25"/>
      <c r="C182" s="25"/>
      <c r="D182" s="25"/>
      <c r="E182" s="25"/>
      <c r="F182" s="25"/>
      <c r="G182" s="25"/>
      <c r="H182" s="25"/>
      <c r="I182" s="26"/>
      <c r="J182" s="26"/>
      <c r="K182" s="25"/>
      <c r="L182" s="25"/>
      <c r="M182" s="25"/>
      <c r="N182" s="26"/>
      <c r="O182" s="26"/>
      <c r="P182" s="27"/>
      <c r="Q182" s="25"/>
      <c r="R182" s="25"/>
      <c r="S182" s="26"/>
      <c r="T182" s="26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6"/>
    </row>
    <row r="183" customFormat="false" ht="15" hidden="false" customHeight="false" outlineLevel="0" collapsed="false">
      <c r="B183" s="25"/>
      <c r="C183" s="25"/>
      <c r="D183" s="25"/>
      <c r="E183" s="25"/>
      <c r="F183" s="25"/>
      <c r="G183" s="25"/>
      <c r="H183" s="25"/>
      <c r="I183" s="26"/>
      <c r="J183" s="26"/>
      <c r="K183" s="25"/>
      <c r="L183" s="25"/>
      <c r="M183" s="25"/>
      <c r="N183" s="26"/>
      <c r="O183" s="26"/>
      <c r="P183" s="27"/>
      <c r="Q183" s="25"/>
      <c r="R183" s="25"/>
      <c r="S183" s="26"/>
      <c r="T183" s="26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6"/>
    </row>
    <row r="184" customFormat="false" ht="15" hidden="false" customHeight="false" outlineLevel="0" collapsed="false">
      <c r="B184" s="25"/>
      <c r="C184" s="25"/>
      <c r="D184" s="25"/>
      <c r="E184" s="25"/>
      <c r="F184" s="25"/>
      <c r="G184" s="25"/>
      <c r="H184" s="25"/>
      <c r="I184" s="26"/>
      <c r="J184" s="26"/>
      <c r="K184" s="25"/>
      <c r="L184" s="25"/>
      <c r="M184" s="25"/>
      <c r="N184" s="26"/>
      <c r="O184" s="26"/>
      <c r="P184" s="27"/>
      <c r="Q184" s="25"/>
      <c r="R184" s="25"/>
      <c r="S184" s="26"/>
      <c r="T184" s="26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6"/>
    </row>
    <row r="185" customFormat="false" ht="15" hidden="false" customHeight="false" outlineLevel="0" collapsed="false">
      <c r="B185" s="25"/>
      <c r="C185" s="25"/>
      <c r="D185" s="25"/>
      <c r="E185" s="25"/>
      <c r="F185" s="25"/>
      <c r="G185" s="25"/>
      <c r="H185" s="25"/>
      <c r="I185" s="26"/>
      <c r="J185" s="26"/>
      <c r="K185" s="25"/>
      <c r="L185" s="25"/>
      <c r="M185" s="25"/>
      <c r="N185" s="26"/>
      <c r="O185" s="26"/>
      <c r="P185" s="27"/>
      <c r="Q185" s="25"/>
      <c r="R185" s="25"/>
      <c r="S185" s="26"/>
      <c r="T185" s="26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6"/>
    </row>
    <row r="186" customFormat="false" ht="15" hidden="false" customHeight="false" outlineLevel="0" collapsed="false">
      <c r="B186" s="25"/>
      <c r="C186" s="25"/>
      <c r="D186" s="25"/>
      <c r="E186" s="25"/>
      <c r="F186" s="25"/>
      <c r="G186" s="25"/>
      <c r="H186" s="25"/>
      <c r="I186" s="26"/>
      <c r="J186" s="26"/>
      <c r="K186" s="25"/>
      <c r="L186" s="25"/>
      <c r="M186" s="25"/>
      <c r="N186" s="26"/>
      <c r="O186" s="26"/>
      <c r="P186" s="27"/>
      <c r="Q186" s="25"/>
      <c r="R186" s="25"/>
      <c r="S186" s="26"/>
      <c r="T186" s="26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6"/>
    </row>
    <row r="187" customFormat="false" ht="15" hidden="false" customHeight="false" outlineLevel="0" collapsed="false">
      <c r="B187" s="25"/>
      <c r="C187" s="25"/>
      <c r="D187" s="25"/>
      <c r="E187" s="25"/>
      <c r="F187" s="25"/>
      <c r="G187" s="25"/>
      <c r="H187" s="25"/>
      <c r="I187" s="26"/>
      <c r="J187" s="26"/>
      <c r="K187" s="25"/>
      <c r="L187" s="25"/>
      <c r="M187" s="25"/>
      <c r="N187" s="26"/>
      <c r="O187" s="26"/>
      <c r="P187" s="27"/>
      <c r="Q187" s="25"/>
      <c r="R187" s="25"/>
      <c r="S187" s="26"/>
      <c r="T187" s="26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6"/>
    </row>
    <row r="188" customFormat="false" ht="15" hidden="false" customHeight="false" outlineLevel="0" collapsed="false">
      <c r="B188" s="25"/>
      <c r="C188" s="25"/>
      <c r="D188" s="25"/>
      <c r="E188" s="25"/>
      <c r="F188" s="25"/>
      <c r="G188" s="25"/>
      <c r="H188" s="25"/>
      <c r="I188" s="26"/>
      <c r="J188" s="26"/>
      <c r="K188" s="25"/>
      <c r="L188" s="25"/>
      <c r="M188" s="25"/>
      <c r="N188" s="26"/>
      <c r="O188" s="26"/>
      <c r="P188" s="27"/>
      <c r="Q188" s="25"/>
      <c r="R188" s="25"/>
      <c r="S188" s="26"/>
      <c r="T188" s="26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6"/>
    </row>
    <row r="189" customFormat="false" ht="15" hidden="false" customHeight="false" outlineLevel="0" collapsed="false">
      <c r="B189" s="25"/>
      <c r="C189" s="25"/>
      <c r="D189" s="25"/>
      <c r="E189" s="25"/>
      <c r="F189" s="25"/>
      <c r="G189" s="25"/>
      <c r="H189" s="25"/>
      <c r="I189" s="26"/>
      <c r="J189" s="26"/>
      <c r="K189" s="25"/>
      <c r="L189" s="25"/>
      <c r="M189" s="25"/>
      <c r="N189" s="26"/>
      <c r="O189" s="26"/>
      <c r="P189" s="27"/>
      <c r="Q189" s="25"/>
      <c r="R189" s="25"/>
      <c r="S189" s="26"/>
      <c r="T189" s="26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6"/>
    </row>
    <row r="190" customFormat="false" ht="15" hidden="false" customHeight="false" outlineLevel="0" collapsed="false">
      <c r="B190" s="25"/>
      <c r="C190" s="25"/>
      <c r="D190" s="25"/>
      <c r="E190" s="25"/>
      <c r="F190" s="25"/>
      <c r="G190" s="25"/>
      <c r="H190" s="25"/>
      <c r="I190" s="26"/>
      <c r="J190" s="26"/>
      <c r="K190" s="25"/>
      <c r="L190" s="25"/>
      <c r="M190" s="25"/>
      <c r="N190" s="26"/>
      <c r="O190" s="26"/>
      <c r="P190" s="27"/>
      <c r="Q190" s="25"/>
      <c r="R190" s="25"/>
      <c r="S190" s="26"/>
      <c r="T190" s="26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6"/>
    </row>
    <row r="191" customFormat="false" ht="15" hidden="false" customHeight="false" outlineLevel="0" collapsed="false">
      <c r="B191" s="25"/>
      <c r="C191" s="25"/>
      <c r="D191" s="25"/>
      <c r="E191" s="25"/>
      <c r="F191" s="25"/>
      <c r="G191" s="25"/>
      <c r="H191" s="25"/>
      <c r="I191" s="26"/>
      <c r="J191" s="26"/>
      <c r="K191" s="25"/>
      <c r="L191" s="25"/>
      <c r="M191" s="25"/>
      <c r="N191" s="26"/>
      <c r="O191" s="26"/>
      <c r="P191" s="27"/>
      <c r="Q191" s="25"/>
      <c r="R191" s="25"/>
      <c r="S191" s="26"/>
      <c r="T191" s="26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6"/>
    </row>
    <row r="192" customFormat="false" ht="15" hidden="false" customHeight="false" outlineLevel="0" collapsed="false">
      <c r="B192" s="25"/>
      <c r="C192" s="25"/>
      <c r="D192" s="25"/>
      <c r="E192" s="25"/>
      <c r="F192" s="25"/>
      <c r="G192" s="25"/>
      <c r="H192" s="25"/>
      <c r="I192" s="26"/>
      <c r="J192" s="26"/>
      <c r="K192" s="25"/>
      <c r="L192" s="25"/>
      <c r="M192" s="25"/>
      <c r="N192" s="26"/>
      <c r="O192" s="26"/>
      <c r="P192" s="27"/>
      <c r="Q192" s="25"/>
      <c r="R192" s="25"/>
      <c r="S192" s="26"/>
      <c r="T192" s="26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6"/>
    </row>
    <row r="193" customFormat="false" ht="15" hidden="false" customHeight="false" outlineLevel="0" collapsed="false">
      <c r="B193" s="25"/>
      <c r="C193" s="25"/>
      <c r="D193" s="25"/>
      <c r="E193" s="25"/>
      <c r="F193" s="25"/>
      <c r="G193" s="25"/>
      <c r="H193" s="25"/>
      <c r="I193" s="26"/>
      <c r="J193" s="26"/>
      <c r="K193" s="25"/>
      <c r="L193" s="25"/>
      <c r="M193" s="25"/>
      <c r="N193" s="26"/>
      <c r="O193" s="26"/>
      <c r="P193" s="27"/>
      <c r="Q193" s="25"/>
      <c r="R193" s="25"/>
      <c r="S193" s="26"/>
      <c r="T193" s="26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6"/>
    </row>
    <row r="194" customFormat="false" ht="15" hidden="false" customHeight="false" outlineLevel="0" collapsed="false">
      <c r="B194" s="25"/>
      <c r="C194" s="25"/>
      <c r="D194" s="25"/>
      <c r="E194" s="25"/>
      <c r="F194" s="25"/>
      <c r="G194" s="25"/>
      <c r="H194" s="25"/>
      <c r="I194" s="26"/>
      <c r="J194" s="26"/>
      <c r="K194" s="25"/>
      <c r="L194" s="25"/>
      <c r="M194" s="25"/>
      <c r="N194" s="26"/>
      <c r="O194" s="26"/>
      <c r="P194" s="27"/>
      <c r="Q194" s="25"/>
      <c r="R194" s="25"/>
      <c r="S194" s="26"/>
      <c r="T194" s="26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6"/>
    </row>
    <row r="195" customFormat="false" ht="15" hidden="false" customHeight="false" outlineLevel="0" collapsed="false">
      <c r="B195" s="25"/>
      <c r="C195" s="25"/>
      <c r="D195" s="25"/>
      <c r="E195" s="25"/>
      <c r="F195" s="25"/>
      <c r="G195" s="25"/>
      <c r="H195" s="25"/>
      <c r="I195" s="26"/>
      <c r="J195" s="26"/>
      <c r="K195" s="25"/>
      <c r="L195" s="25"/>
      <c r="M195" s="25"/>
      <c r="N195" s="26"/>
      <c r="O195" s="26"/>
      <c r="P195" s="27"/>
      <c r="Q195" s="25"/>
      <c r="R195" s="25"/>
      <c r="S195" s="26"/>
      <c r="T195" s="26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6"/>
    </row>
    <row r="196" customFormat="false" ht="15" hidden="false" customHeight="false" outlineLevel="0" collapsed="false">
      <c r="B196" s="25"/>
      <c r="C196" s="25"/>
      <c r="D196" s="25"/>
      <c r="E196" s="25"/>
      <c r="F196" s="25"/>
      <c r="G196" s="25"/>
      <c r="H196" s="25"/>
      <c r="I196" s="26"/>
      <c r="J196" s="26"/>
      <c r="K196" s="25"/>
      <c r="L196" s="25"/>
      <c r="M196" s="25"/>
      <c r="N196" s="26"/>
      <c r="O196" s="26"/>
      <c r="P196" s="27"/>
      <c r="Q196" s="25"/>
      <c r="R196" s="25"/>
      <c r="S196" s="26"/>
      <c r="T196" s="26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6"/>
    </row>
    <row r="197" customFormat="false" ht="15" hidden="false" customHeight="false" outlineLevel="0" collapsed="false">
      <c r="B197" s="25"/>
      <c r="C197" s="25"/>
      <c r="D197" s="25"/>
      <c r="E197" s="25"/>
      <c r="F197" s="25"/>
      <c r="G197" s="25"/>
      <c r="H197" s="25"/>
      <c r="I197" s="26"/>
      <c r="J197" s="26"/>
      <c r="K197" s="25"/>
      <c r="L197" s="25"/>
      <c r="M197" s="25"/>
      <c r="N197" s="26"/>
      <c r="O197" s="26"/>
      <c r="P197" s="27"/>
      <c r="Q197" s="25"/>
      <c r="R197" s="25"/>
      <c r="S197" s="26"/>
      <c r="T197" s="26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6"/>
    </row>
    <row r="198" customFormat="false" ht="15" hidden="false" customHeight="false" outlineLevel="0" collapsed="false">
      <c r="B198" s="25"/>
      <c r="C198" s="25"/>
      <c r="D198" s="25"/>
      <c r="E198" s="25"/>
      <c r="F198" s="25"/>
      <c r="G198" s="25"/>
      <c r="H198" s="25"/>
      <c r="I198" s="26"/>
      <c r="J198" s="26"/>
      <c r="K198" s="25"/>
      <c r="L198" s="25"/>
      <c r="M198" s="25"/>
      <c r="N198" s="26"/>
      <c r="O198" s="26"/>
      <c r="P198" s="27"/>
      <c r="Q198" s="25"/>
      <c r="R198" s="25"/>
      <c r="S198" s="26"/>
      <c r="T198" s="26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6"/>
    </row>
    <row r="199" customFormat="false" ht="15" hidden="false" customHeight="false" outlineLevel="0" collapsed="false">
      <c r="B199" s="25"/>
      <c r="C199" s="25"/>
      <c r="D199" s="25"/>
      <c r="E199" s="25"/>
      <c r="F199" s="25"/>
      <c r="G199" s="25"/>
      <c r="H199" s="25"/>
      <c r="I199" s="26"/>
      <c r="J199" s="26"/>
      <c r="K199" s="25"/>
      <c r="L199" s="25"/>
      <c r="M199" s="25"/>
      <c r="N199" s="26"/>
      <c r="O199" s="26"/>
      <c r="P199" s="27"/>
      <c r="Q199" s="25"/>
      <c r="R199" s="25"/>
      <c r="S199" s="26"/>
      <c r="T199" s="26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6"/>
    </row>
    <row r="200" customFormat="false" ht="15" hidden="false" customHeight="true" outlineLevel="0" collapsed="false">
      <c r="C200" s="25"/>
    </row>
    <row r="201" customFormat="false" ht="15" hidden="false" customHeight="true" outlineLevel="0" collapsed="false">
      <c r="C201" s="25"/>
    </row>
    <row r="202" customFormat="false" ht="15" hidden="false" customHeight="true" outlineLevel="0" collapsed="false">
      <c r="C202" s="25"/>
    </row>
  </sheetData>
  <autoFilter ref="A1:AJ140">
    <sortState ref="A2:AJ140">
      <sortCondition ref="A2:A140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3.4765625" defaultRowHeight="12.8" customHeight="false" zeroHeight="false" outlineLevelRow="0" outlineLevelCol="0"/>
  <sheetData>
    <row r="1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554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2026-05-29T14:18:23Z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