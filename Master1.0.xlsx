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ge\Documents\GitHub\Sculpt\"/>
    </mc:Choice>
  </mc:AlternateContent>
  <xr:revisionPtr revIDLastSave="0" documentId="13_ncr:1_{EE86A141-4EF2-4A0A-9ECD-3D047A2A229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3" sheetId="1" r:id="rId1"/>
  </sheets>
  <definedNames>
    <definedName name="_xlnm._FilterDatabase" localSheetId="0" hidden="1">Sheet3!$A$1:$AH$139</definedName>
    <definedName name="Break">#REF!</definedName>
    <definedName name="start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B124" i="1" l="1"/>
  <c r="Z124" i="1" s="1"/>
  <c r="AA124" i="1" s="1"/>
  <c r="AE124" i="1"/>
  <c r="AC124" i="1" s="1"/>
  <c r="AD124" i="1" s="1"/>
  <c r="AH124" i="1"/>
  <c r="AF124" i="1" s="1"/>
  <c r="AG124" i="1" s="1"/>
  <c r="AB106" i="1"/>
  <c r="Z106" i="1" s="1"/>
  <c r="AA106" i="1" s="1"/>
  <c r="AE106" i="1"/>
  <c r="AC106" i="1" s="1"/>
  <c r="AD106" i="1" s="1"/>
  <c r="AH106" i="1"/>
  <c r="AF106" i="1" s="1"/>
  <c r="AG106" i="1" s="1"/>
  <c r="AB3" i="1"/>
  <c r="Z3" i="1" s="1"/>
  <c r="AA3" i="1" s="1"/>
  <c r="AE3" i="1"/>
  <c r="AC3" i="1" s="1"/>
  <c r="AD3" i="1" s="1"/>
  <c r="AH3" i="1"/>
  <c r="AF3" i="1" s="1"/>
  <c r="AG3" i="1" s="1"/>
  <c r="AB4" i="1"/>
  <c r="Z4" i="1" s="1"/>
  <c r="AA4" i="1" s="1"/>
  <c r="AE4" i="1"/>
  <c r="AC4" i="1" s="1"/>
  <c r="AD4" i="1" s="1"/>
  <c r="AH4" i="1"/>
  <c r="AF4" i="1" s="1"/>
  <c r="AG4" i="1" s="1"/>
  <c r="AB5" i="1"/>
  <c r="Z5" i="1" s="1"/>
  <c r="AA5" i="1" s="1"/>
  <c r="AE5" i="1"/>
  <c r="AC5" i="1" s="1"/>
  <c r="AD5" i="1" s="1"/>
  <c r="AH5" i="1"/>
  <c r="AF5" i="1" s="1"/>
  <c r="AG5" i="1" s="1"/>
  <c r="AB6" i="1"/>
  <c r="Z6" i="1" s="1"/>
  <c r="AA6" i="1" s="1"/>
  <c r="AE6" i="1"/>
  <c r="AC6" i="1" s="1"/>
  <c r="AD6" i="1" s="1"/>
  <c r="AH6" i="1"/>
  <c r="AF6" i="1" s="1"/>
  <c r="AG6" i="1" s="1"/>
  <c r="AB7" i="1"/>
  <c r="Z7" i="1" s="1"/>
  <c r="AA7" i="1" s="1"/>
  <c r="AE7" i="1"/>
  <c r="AC7" i="1" s="1"/>
  <c r="AD7" i="1" s="1"/>
  <c r="AH7" i="1"/>
  <c r="AF7" i="1" s="1"/>
  <c r="AG7" i="1" s="1"/>
  <c r="AB8" i="1"/>
  <c r="Z8" i="1" s="1"/>
  <c r="AA8" i="1" s="1"/>
  <c r="AE8" i="1"/>
  <c r="AC8" i="1" s="1"/>
  <c r="AD8" i="1" s="1"/>
  <c r="AH8" i="1"/>
  <c r="AF8" i="1" s="1"/>
  <c r="AG8" i="1" s="1"/>
  <c r="AB9" i="1"/>
  <c r="Z9" i="1" s="1"/>
  <c r="AA9" i="1" s="1"/>
  <c r="AE9" i="1"/>
  <c r="AC9" i="1" s="1"/>
  <c r="AD9" i="1" s="1"/>
  <c r="AH9" i="1"/>
  <c r="AF9" i="1" s="1"/>
  <c r="AG9" i="1" s="1"/>
  <c r="AB10" i="1"/>
  <c r="Z10" i="1" s="1"/>
  <c r="AA10" i="1" s="1"/>
  <c r="AE10" i="1"/>
  <c r="AC10" i="1" s="1"/>
  <c r="AD10" i="1" s="1"/>
  <c r="AH10" i="1"/>
  <c r="AF10" i="1" s="1"/>
  <c r="AG10" i="1" s="1"/>
  <c r="AB11" i="1"/>
  <c r="Z11" i="1" s="1"/>
  <c r="AA11" i="1" s="1"/>
  <c r="AE11" i="1"/>
  <c r="AC11" i="1" s="1"/>
  <c r="AD11" i="1" s="1"/>
  <c r="AH11" i="1"/>
  <c r="AF11" i="1" s="1"/>
  <c r="AG11" i="1" s="1"/>
  <c r="AB12" i="1"/>
  <c r="Z12" i="1" s="1"/>
  <c r="AA12" i="1" s="1"/>
  <c r="AE12" i="1"/>
  <c r="AC12" i="1" s="1"/>
  <c r="AD12" i="1" s="1"/>
  <c r="AH12" i="1"/>
  <c r="AF12" i="1" s="1"/>
  <c r="AG12" i="1" s="1"/>
  <c r="AB13" i="1"/>
  <c r="Z13" i="1" s="1"/>
  <c r="AA13" i="1" s="1"/>
  <c r="AE13" i="1"/>
  <c r="AC13" i="1" s="1"/>
  <c r="AD13" i="1" s="1"/>
  <c r="AH13" i="1"/>
  <c r="AF13" i="1" s="1"/>
  <c r="AG13" i="1" s="1"/>
  <c r="AB14" i="1"/>
  <c r="Z14" i="1" s="1"/>
  <c r="AA14" i="1" s="1"/>
  <c r="AE14" i="1"/>
  <c r="AC14" i="1" s="1"/>
  <c r="AD14" i="1" s="1"/>
  <c r="AH14" i="1"/>
  <c r="AF14" i="1" s="1"/>
  <c r="AG14" i="1" s="1"/>
  <c r="AB15" i="1"/>
  <c r="Z15" i="1" s="1"/>
  <c r="AA15" i="1" s="1"/>
  <c r="AE15" i="1"/>
  <c r="AC15" i="1" s="1"/>
  <c r="AD15" i="1" s="1"/>
  <c r="AH15" i="1"/>
  <c r="AF15" i="1" s="1"/>
  <c r="AG15" i="1" s="1"/>
  <c r="AB16" i="1"/>
  <c r="Z16" i="1" s="1"/>
  <c r="AA16" i="1" s="1"/>
  <c r="AE16" i="1"/>
  <c r="AC16" i="1" s="1"/>
  <c r="AD16" i="1" s="1"/>
  <c r="AH16" i="1"/>
  <c r="AF16" i="1" s="1"/>
  <c r="AG16" i="1" s="1"/>
  <c r="AB17" i="1"/>
  <c r="Z17" i="1" s="1"/>
  <c r="AA17" i="1" s="1"/>
  <c r="AE17" i="1"/>
  <c r="AC17" i="1" s="1"/>
  <c r="AD17" i="1" s="1"/>
  <c r="AH17" i="1"/>
  <c r="AF17" i="1" s="1"/>
  <c r="AG17" i="1" s="1"/>
  <c r="AB18" i="1"/>
  <c r="Z18" i="1" s="1"/>
  <c r="AA18" i="1" s="1"/>
  <c r="AE18" i="1"/>
  <c r="AC18" i="1" s="1"/>
  <c r="AD18" i="1" s="1"/>
  <c r="AH18" i="1"/>
  <c r="AF18" i="1" s="1"/>
  <c r="AG18" i="1" s="1"/>
  <c r="AB19" i="1"/>
  <c r="Z19" i="1" s="1"/>
  <c r="AA19" i="1" s="1"/>
  <c r="AE19" i="1"/>
  <c r="AC19" i="1" s="1"/>
  <c r="AD19" i="1" s="1"/>
  <c r="AH19" i="1"/>
  <c r="AF19" i="1" s="1"/>
  <c r="AG19" i="1" s="1"/>
  <c r="AB20" i="1"/>
  <c r="Z20" i="1" s="1"/>
  <c r="AA20" i="1" s="1"/>
  <c r="AE20" i="1"/>
  <c r="AC20" i="1" s="1"/>
  <c r="AD20" i="1" s="1"/>
  <c r="AH20" i="1"/>
  <c r="AF20" i="1" s="1"/>
  <c r="AG20" i="1" s="1"/>
  <c r="AB21" i="1"/>
  <c r="Z21" i="1" s="1"/>
  <c r="AA21" i="1" s="1"/>
  <c r="AE21" i="1"/>
  <c r="AC21" i="1" s="1"/>
  <c r="AD21" i="1" s="1"/>
  <c r="AH21" i="1"/>
  <c r="AF21" i="1" s="1"/>
  <c r="AG21" i="1" s="1"/>
  <c r="AB22" i="1"/>
  <c r="Z22" i="1" s="1"/>
  <c r="AA22" i="1" s="1"/>
  <c r="AE22" i="1"/>
  <c r="AC22" i="1" s="1"/>
  <c r="AD22" i="1" s="1"/>
  <c r="AH22" i="1"/>
  <c r="AF22" i="1" s="1"/>
  <c r="AG22" i="1" s="1"/>
  <c r="AB23" i="1"/>
  <c r="Z23" i="1" s="1"/>
  <c r="AA23" i="1" s="1"/>
  <c r="AE23" i="1"/>
  <c r="AC23" i="1" s="1"/>
  <c r="AD23" i="1" s="1"/>
  <c r="AH23" i="1"/>
  <c r="AF23" i="1" s="1"/>
  <c r="AG23" i="1" s="1"/>
  <c r="AB24" i="1"/>
  <c r="Z24" i="1" s="1"/>
  <c r="AA24" i="1" s="1"/>
  <c r="AE24" i="1"/>
  <c r="AC24" i="1" s="1"/>
  <c r="AD24" i="1" s="1"/>
  <c r="AH24" i="1"/>
  <c r="AF24" i="1" s="1"/>
  <c r="AG24" i="1" s="1"/>
  <c r="AB25" i="1"/>
  <c r="Z25" i="1" s="1"/>
  <c r="AA25" i="1" s="1"/>
  <c r="AE25" i="1"/>
  <c r="AC25" i="1" s="1"/>
  <c r="AD25" i="1" s="1"/>
  <c r="AH25" i="1"/>
  <c r="AF25" i="1" s="1"/>
  <c r="AG25" i="1" s="1"/>
  <c r="AB26" i="1"/>
  <c r="Z26" i="1" s="1"/>
  <c r="AA26" i="1" s="1"/>
  <c r="AE26" i="1"/>
  <c r="AC26" i="1" s="1"/>
  <c r="AD26" i="1" s="1"/>
  <c r="AH26" i="1"/>
  <c r="AF26" i="1" s="1"/>
  <c r="AG26" i="1" s="1"/>
  <c r="AB27" i="1"/>
  <c r="Z27" i="1" s="1"/>
  <c r="AA27" i="1" s="1"/>
  <c r="AE27" i="1"/>
  <c r="AC27" i="1" s="1"/>
  <c r="AD27" i="1" s="1"/>
  <c r="AH27" i="1"/>
  <c r="AF27" i="1" s="1"/>
  <c r="AG27" i="1" s="1"/>
  <c r="AB28" i="1"/>
  <c r="Z28" i="1" s="1"/>
  <c r="AA28" i="1" s="1"/>
  <c r="AE28" i="1"/>
  <c r="AC28" i="1" s="1"/>
  <c r="AD28" i="1" s="1"/>
  <c r="AH28" i="1"/>
  <c r="AF28" i="1" s="1"/>
  <c r="AG28" i="1" s="1"/>
  <c r="AB29" i="1"/>
  <c r="Z29" i="1" s="1"/>
  <c r="AA29" i="1" s="1"/>
  <c r="AE29" i="1"/>
  <c r="AC29" i="1" s="1"/>
  <c r="AD29" i="1" s="1"/>
  <c r="AH29" i="1"/>
  <c r="AF29" i="1" s="1"/>
  <c r="AG29" i="1" s="1"/>
  <c r="AB30" i="1"/>
  <c r="Z30" i="1" s="1"/>
  <c r="AA30" i="1" s="1"/>
  <c r="AE30" i="1"/>
  <c r="AC30" i="1" s="1"/>
  <c r="AD30" i="1" s="1"/>
  <c r="AH30" i="1"/>
  <c r="AF30" i="1" s="1"/>
  <c r="AG30" i="1" s="1"/>
  <c r="AB31" i="1"/>
  <c r="Z31" i="1" s="1"/>
  <c r="AA31" i="1" s="1"/>
  <c r="AE31" i="1"/>
  <c r="AC31" i="1" s="1"/>
  <c r="AD31" i="1" s="1"/>
  <c r="AH31" i="1"/>
  <c r="AF31" i="1" s="1"/>
  <c r="AG31" i="1" s="1"/>
  <c r="AB32" i="1"/>
  <c r="Z32" i="1" s="1"/>
  <c r="AA32" i="1" s="1"/>
  <c r="AE32" i="1"/>
  <c r="AC32" i="1" s="1"/>
  <c r="AD32" i="1" s="1"/>
  <c r="AH32" i="1"/>
  <c r="AF32" i="1" s="1"/>
  <c r="AG32" i="1" s="1"/>
  <c r="AB33" i="1"/>
  <c r="Z33" i="1" s="1"/>
  <c r="AA33" i="1" s="1"/>
  <c r="AE33" i="1"/>
  <c r="AC33" i="1" s="1"/>
  <c r="AD33" i="1" s="1"/>
  <c r="AH33" i="1"/>
  <c r="AF33" i="1" s="1"/>
  <c r="AG33" i="1" s="1"/>
  <c r="AB34" i="1"/>
  <c r="Z34" i="1" s="1"/>
  <c r="AA34" i="1" s="1"/>
  <c r="AE34" i="1"/>
  <c r="AC34" i="1" s="1"/>
  <c r="AD34" i="1" s="1"/>
  <c r="AH34" i="1"/>
  <c r="AF34" i="1" s="1"/>
  <c r="AG34" i="1" s="1"/>
  <c r="AB35" i="1"/>
  <c r="Z35" i="1" s="1"/>
  <c r="AA35" i="1" s="1"/>
  <c r="AE35" i="1"/>
  <c r="AC35" i="1" s="1"/>
  <c r="AD35" i="1" s="1"/>
  <c r="AH35" i="1"/>
  <c r="AF35" i="1" s="1"/>
  <c r="AG35" i="1" s="1"/>
  <c r="AB36" i="1"/>
  <c r="Z36" i="1" s="1"/>
  <c r="AA36" i="1" s="1"/>
  <c r="AE36" i="1"/>
  <c r="AC36" i="1" s="1"/>
  <c r="AD36" i="1" s="1"/>
  <c r="AH36" i="1"/>
  <c r="AF36" i="1" s="1"/>
  <c r="AG36" i="1" s="1"/>
  <c r="AB37" i="1"/>
  <c r="Z37" i="1" s="1"/>
  <c r="AA37" i="1" s="1"/>
  <c r="AC37" i="1"/>
  <c r="AD37" i="1" s="1"/>
  <c r="AE37" i="1"/>
  <c r="AH37" i="1"/>
  <c r="AF37" i="1" s="1"/>
  <c r="AG37" i="1" s="1"/>
  <c r="AB38" i="1"/>
  <c r="Z38" i="1" s="1"/>
  <c r="AA38" i="1" s="1"/>
  <c r="AE38" i="1"/>
  <c r="AC38" i="1" s="1"/>
  <c r="AD38" i="1" s="1"/>
  <c r="AH38" i="1"/>
  <c r="AF38" i="1" s="1"/>
  <c r="AG38" i="1" s="1"/>
  <c r="AB39" i="1"/>
  <c r="Z39" i="1" s="1"/>
  <c r="AA39" i="1" s="1"/>
  <c r="AE39" i="1"/>
  <c r="AC39" i="1" s="1"/>
  <c r="AD39" i="1" s="1"/>
  <c r="AH39" i="1"/>
  <c r="AF39" i="1" s="1"/>
  <c r="AG39" i="1" s="1"/>
  <c r="AB40" i="1"/>
  <c r="Z40" i="1" s="1"/>
  <c r="AA40" i="1" s="1"/>
  <c r="AE40" i="1"/>
  <c r="AC40" i="1" s="1"/>
  <c r="AD40" i="1" s="1"/>
  <c r="AH40" i="1"/>
  <c r="AF40" i="1" s="1"/>
  <c r="AG40" i="1" s="1"/>
  <c r="AB41" i="1"/>
  <c r="Z41" i="1" s="1"/>
  <c r="AA41" i="1" s="1"/>
  <c r="AE41" i="1"/>
  <c r="AC41" i="1" s="1"/>
  <c r="AD41" i="1" s="1"/>
  <c r="AH41" i="1"/>
  <c r="AF41" i="1" s="1"/>
  <c r="AG41" i="1" s="1"/>
  <c r="AB42" i="1"/>
  <c r="Z42" i="1" s="1"/>
  <c r="AA42" i="1" s="1"/>
  <c r="AE42" i="1"/>
  <c r="AC42" i="1" s="1"/>
  <c r="AD42" i="1" s="1"/>
  <c r="AH42" i="1"/>
  <c r="AF42" i="1" s="1"/>
  <c r="AG42" i="1" s="1"/>
  <c r="AB43" i="1"/>
  <c r="Z43" i="1" s="1"/>
  <c r="AA43" i="1" s="1"/>
  <c r="AE43" i="1"/>
  <c r="AC43" i="1" s="1"/>
  <c r="AD43" i="1" s="1"/>
  <c r="AH43" i="1"/>
  <c r="AF43" i="1" s="1"/>
  <c r="AG43" i="1" s="1"/>
  <c r="Z44" i="1"/>
  <c r="AA44" i="1" s="1"/>
  <c r="AB44" i="1"/>
  <c r="AE44" i="1"/>
  <c r="AC44" i="1" s="1"/>
  <c r="AD44" i="1" s="1"/>
  <c r="AH44" i="1"/>
  <c r="AF44" i="1" s="1"/>
  <c r="AG44" i="1" s="1"/>
  <c r="AB45" i="1"/>
  <c r="Z45" i="1" s="1"/>
  <c r="AA45" i="1" s="1"/>
  <c r="AE45" i="1"/>
  <c r="AC45" i="1" s="1"/>
  <c r="AD45" i="1" s="1"/>
  <c r="AH45" i="1"/>
  <c r="AF45" i="1" s="1"/>
  <c r="AG45" i="1" s="1"/>
  <c r="AB46" i="1"/>
  <c r="Z46" i="1" s="1"/>
  <c r="AA46" i="1" s="1"/>
  <c r="AE46" i="1"/>
  <c r="AC46" i="1" s="1"/>
  <c r="AD46" i="1" s="1"/>
  <c r="AH46" i="1"/>
  <c r="AF46" i="1" s="1"/>
  <c r="AG46" i="1" s="1"/>
  <c r="AB47" i="1"/>
  <c r="Z47" i="1" s="1"/>
  <c r="AA47" i="1" s="1"/>
  <c r="AE47" i="1"/>
  <c r="AC47" i="1" s="1"/>
  <c r="AD47" i="1" s="1"/>
  <c r="AH47" i="1"/>
  <c r="AF47" i="1" s="1"/>
  <c r="AG47" i="1" s="1"/>
  <c r="AB48" i="1"/>
  <c r="Z48" i="1" s="1"/>
  <c r="AA48" i="1" s="1"/>
  <c r="AE48" i="1"/>
  <c r="AC48" i="1" s="1"/>
  <c r="AD48" i="1" s="1"/>
  <c r="AH48" i="1"/>
  <c r="AF48" i="1" s="1"/>
  <c r="AG48" i="1" s="1"/>
  <c r="AB49" i="1"/>
  <c r="Z49" i="1" s="1"/>
  <c r="AA49" i="1" s="1"/>
  <c r="AE49" i="1"/>
  <c r="AC49" i="1" s="1"/>
  <c r="AD49" i="1" s="1"/>
  <c r="AH49" i="1"/>
  <c r="AF49" i="1" s="1"/>
  <c r="AG49" i="1" s="1"/>
  <c r="AB50" i="1"/>
  <c r="Z50" i="1" s="1"/>
  <c r="AA50" i="1" s="1"/>
  <c r="AD50" i="1"/>
  <c r="AE50" i="1"/>
  <c r="AC50" i="1" s="1"/>
  <c r="AH50" i="1"/>
  <c r="AF50" i="1" s="1"/>
  <c r="AG50" i="1" s="1"/>
  <c r="AB51" i="1"/>
  <c r="Z51" i="1" s="1"/>
  <c r="AA51" i="1" s="1"/>
  <c r="AE51" i="1"/>
  <c r="AC51" i="1" s="1"/>
  <c r="AD51" i="1" s="1"/>
  <c r="AH51" i="1"/>
  <c r="AF51" i="1" s="1"/>
  <c r="AG51" i="1" s="1"/>
  <c r="AB52" i="1"/>
  <c r="Z52" i="1" s="1"/>
  <c r="AA52" i="1" s="1"/>
  <c r="AE52" i="1"/>
  <c r="AC52" i="1" s="1"/>
  <c r="AD52" i="1" s="1"/>
  <c r="AH52" i="1"/>
  <c r="AF52" i="1" s="1"/>
  <c r="AG52" i="1" s="1"/>
  <c r="AB53" i="1"/>
  <c r="Z53" i="1" s="1"/>
  <c r="AA53" i="1" s="1"/>
  <c r="AE53" i="1"/>
  <c r="AC53" i="1" s="1"/>
  <c r="AD53" i="1" s="1"/>
  <c r="AH53" i="1"/>
  <c r="AF53" i="1" s="1"/>
  <c r="AG53" i="1" s="1"/>
  <c r="AB54" i="1"/>
  <c r="Z54" i="1" s="1"/>
  <c r="AA54" i="1" s="1"/>
  <c r="AC54" i="1"/>
  <c r="AD54" i="1" s="1"/>
  <c r="AE54" i="1"/>
  <c r="AF54" i="1"/>
  <c r="AG54" i="1" s="1"/>
  <c r="AH54" i="1"/>
  <c r="AB55" i="1"/>
  <c r="Z55" i="1" s="1"/>
  <c r="AA55" i="1" s="1"/>
  <c r="AE55" i="1"/>
  <c r="AC55" i="1" s="1"/>
  <c r="AD55" i="1" s="1"/>
  <c r="AH55" i="1"/>
  <c r="AF55" i="1" s="1"/>
  <c r="AG55" i="1" s="1"/>
  <c r="AB56" i="1"/>
  <c r="Z56" i="1" s="1"/>
  <c r="AA56" i="1" s="1"/>
  <c r="AE56" i="1"/>
  <c r="AC56" i="1" s="1"/>
  <c r="AD56" i="1" s="1"/>
  <c r="AH56" i="1"/>
  <c r="AF56" i="1" s="1"/>
  <c r="AG56" i="1" s="1"/>
  <c r="AB57" i="1"/>
  <c r="Z57" i="1" s="1"/>
  <c r="AA57" i="1" s="1"/>
  <c r="AE57" i="1"/>
  <c r="AC57" i="1" s="1"/>
  <c r="AD57" i="1" s="1"/>
  <c r="AH57" i="1"/>
  <c r="AF57" i="1" s="1"/>
  <c r="AG57" i="1" s="1"/>
  <c r="AB58" i="1"/>
  <c r="Z58" i="1" s="1"/>
  <c r="AA58" i="1" s="1"/>
  <c r="AE58" i="1"/>
  <c r="AC58" i="1" s="1"/>
  <c r="AD58" i="1" s="1"/>
  <c r="AH58" i="1"/>
  <c r="AF58" i="1" s="1"/>
  <c r="AG58" i="1" s="1"/>
  <c r="AB59" i="1"/>
  <c r="Z59" i="1" s="1"/>
  <c r="AA59" i="1" s="1"/>
  <c r="AE59" i="1"/>
  <c r="AC59" i="1" s="1"/>
  <c r="AD59" i="1" s="1"/>
  <c r="AH59" i="1"/>
  <c r="AF59" i="1" s="1"/>
  <c r="AG59" i="1" s="1"/>
  <c r="AB60" i="1"/>
  <c r="Z60" i="1" s="1"/>
  <c r="AA60" i="1" s="1"/>
  <c r="AE60" i="1"/>
  <c r="AC60" i="1" s="1"/>
  <c r="AD60" i="1" s="1"/>
  <c r="AH60" i="1"/>
  <c r="AF60" i="1" s="1"/>
  <c r="AG60" i="1" s="1"/>
  <c r="Z61" i="1"/>
  <c r="AA61" i="1" s="1"/>
  <c r="AB61" i="1"/>
  <c r="AC61" i="1"/>
  <c r="AD61" i="1" s="1"/>
  <c r="AE61" i="1"/>
  <c r="AH61" i="1"/>
  <c r="AF61" i="1" s="1"/>
  <c r="AG61" i="1" s="1"/>
  <c r="AB62" i="1"/>
  <c r="Z62" i="1" s="1"/>
  <c r="AA62" i="1" s="1"/>
  <c r="AE62" i="1"/>
  <c r="AC62" i="1" s="1"/>
  <c r="AD62" i="1" s="1"/>
  <c r="AH62" i="1"/>
  <c r="AF62" i="1" s="1"/>
  <c r="AG62" i="1" s="1"/>
  <c r="AB63" i="1"/>
  <c r="Z63" i="1" s="1"/>
  <c r="AA63" i="1" s="1"/>
  <c r="AE63" i="1"/>
  <c r="AC63" i="1" s="1"/>
  <c r="AD63" i="1" s="1"/>
  <c r="AF63" i="1"/>
  <c r="AG63" i="1" s="1"/>
  <c r="AH63" i="1"/>
  <c r="Z64" i="1"/>
  <c r="AA64" i="1" s="1"/>
  <c r="AB64" i="1"/>
  <c r="AE64" i="1"/>
  <c r="AC64" i="1" s="1"/>
  <c r="AD64" i="1" s="1"/>
  <c r="AH64" i="1"/>
  <c r="AF64" i="1" s="1"/>
  <c r="AG64" i="1" s="1"/>
  <c r="AB65" i="1"/>
  <c r="Z65" i="1" s="1"/>
  <c r="AA65" i="1" s="1"/>
  <c r="AE65" i="1"/>
  <c r="AC65" i="1" s="1"/>
  <c r="AD65" i="1" s="1"/>
  <c r="AH65" i="1"/>
  <c r="AF65" i="1" s="1"/>
  <c r="AG65" i="1" s="1"/>
  <c r="AB66" i="1"/>
  <c r="Z66" i="1" s="1"/>
  <c r="AA66" i="1" s="1"/>
  <c r="AE66" i="1"/>
  <c r="AC66" i="1" s="1"/>
  <c r="AD66" i="1" s="1"/>
  <c r="AH66" i="1"/>
  <c r="AF66" i="1" s="1"/>
  <c r="AG66" i="1" s="1"/>
  <c r="AB67" i="1"/>
  <c r="Z67" i="1" s="1"/>
  <c r="AA67" i="1" s="1"/>
  <c r="AE67" i="1"/>
  <c r="AC67" i="1" s="1"/>
  <c r="AD67" i="1" s="1"/>
  <c r="AH67" i="1"/>
  <c r="AF67" i="1" s="1"/>
  <c r="AG67" i="1" s="1"/>
  <c r="AB68" i="1"/>
  <c r="Z68" i="1" s="1"/>
  <c r="AA68" i="1" s="1"/>
  <c r="AE68" i="1"/>
  <c r="AC68" i="1" s="1"/>
  <c r="AD68" i="1" s="1"/>
  <c r="AH68" i="1"/>
  <c r="AF68" i="1" s="1"/>
  <c r="AG68" i="1" s="1"/>
  <c r="AB69" i="1"/>
  <c r="Z69" i="1" s="1"/>
  <c r="AA69" i="1" s="1"/>
  <c r="AE69" i="1"/>
  <c r="AC69" i="1" s="1"/>
  <c r="AD69" i="1" s="1"/>
  <c r="AH69" i="1"/>
  <c r="AF69" i="1" s="1"/>
  <c r="AG69" i="1" s="1"/>
  <c r="AB70" i="1"/>
  <c r="Z70" i="1" s="1"/>
  <c r="AA70" i="1" s="1"/>
  <c r="AE70" i="1"/>
  <c r="AC70" i="1" s="1"/>
  <c r="AD70" i="1" s="1"/>
  <c r="AH70" i="1"/>
  <c r="AF70" i="1" s="1"/>
  <c r="AG70" i="1" s="1"/>
  <c r="AB71" i="1"/>
  <c r="Z71" i="1" s="1"/>
  <c r="AA71" i="1" s="1"/>
  <c r="AE71" i="1"/>
  <c r="AC71" i="1" s="1"/>
  <c r="AD71" i="1" s="1"/>
  <c r="AH71" i="1"/>
  <c r="AF71" i="1" s="1"/>
  <c r="AG71" i="1" s="1"/>
  <c r="AB72" i="1"/>
  <c r="Z72" i="1" s="1"/>
  <c r="AA72" i="1" s="1"/>
  <c r="AE72" i="1"/>
  <c r="AC72" i="1" s="1"/>
  <c r="AD72" i="1" s="1"/>
  <c r="AH72" i="1"/>
  <c r="AF72" i="1" s="1"/>
  <c r="AG72" i="1" s="1"/>
  <c r="AB73" i="1"/>
  <c r="Z73" i="1" s="1"/>
  <c r="AA73" i="1" s="1"/>
  <c r="AE73" i="1"/>
  <c r="AC73" i="1" s="1"/>
  <c r="AD73" i="1" s="1"/>
  <c r="AH73" i="1"/>
  <c r="AF73" i="1" s="1"/>
  <c r="AG73" i="1" s="1"/>
  <c r="AB74" i="1"/>
  <c r="Z74" i="1" s="1"/>
  <c r="AA74" i="1" s="1"/>
  <c r="AC74" i="1"/>
  <c r="AD74" i="1" s="1"/>
  <c r="AE74" i="1"/>
  <c r="AH74" i="1"/>
  <c r="AF74" i="1" s="1"/>
  <c r="AG74" i="1" s="1"/>
  <c r="AB75" i="1"/>
  <c r="Z75" i="1" s="1"/>
  <c r="AA75" i="1" s="1"/>
  <c r="AE75" i="1"/>
  <c r="AC75" i="1" s="1"/>
  <c r="AD75" i="1" s="1"/>
  <c r="AH75" i="1"/>
  <c r="AF75" i="1" s="1"/>
  <c r="AG75" i="1" s="1"/>
  <c r="AB76" i="1"/>
  <c r="Z76" i="1" s="1"/>
  <c r="AA76" i="1" s="1"/>
  <c r="AE76" i="1"/>
  <c r="AC76" i="1" s="1"/>
  <c r="AD76" i="1" s="1"/>
  <c r="AH76" i="1"/>
  <c r="AF76" i="1" s="1"/>
  <c r="AG76" i="1" s="1"/>
  <c r="AB77" i="1"/>
  <c r="Z77" i="1" s="1"/>
  <c r="AA77" i="1" s="1"/>
  <c r="AC77" i="1"/>
  <c r="AD77" i="1" s="1"/>
  <c r="AE77" i="1"/>
  <c r="AH77" i="1"/>
  <c r="AF77" i="1" s="1"/>
  <c r="AG77" i="1" s="1"/>
  <c r="AB78" i="1"/>
  <c r="Z78" i="1" s="1"/>
  <c r="AA78" i="1" s="1"/>
  <c r="AE78" i="1"/>
  <c r="AC78" i="1" s="1"/>
  <c r="AD78" i="1" s="1"/>
  <c r="AH78" i="1"/>
  <c r="AF78" i="1" s="1"/>
  <c r="AG78" i="1" s="1"/>
  <c r="AB79" i="1"/>
  <c r="Z79" i="1" s="1"/>
  <c r="AA79" i="1" s="1"/>
  <c r="AE79" i="1"/>
  <c r="AC79" i="1" s="1"/>
  <c r="AD79" i="1" s="1"/>
  <c r="AH79" i="1"/>
  <c r="AF79" i="1" s="1"/>
  <c r="AG79" i="1" s="1"/>
  <c r="AB80" i="1"/>
  <c r="Z80" i="1" s="1"/>
  <c r="AA80" i="1" s="1"/>
  <c r="AE80" i="1"/>
  <c r="AC80" i="1" s="1"/>
  <c r="AD80" i="1" s="1"/>
  <c r="AG80" i="1"/>
  <c r="AH80" i="1"/>
  <c r="AF80" i="1" s="1"/>
  <c r="AB81" i="1"/>
  <c r="Z81" i="1" s="1"/>
  <c r="AA81" i="1" s="1"/>
  <c r="AE81" i="1"/>
  <c r="AC81" i="1" s="1"/>
  <c r="AD81" i="1" s="1"/>
  <c r="AH81" i="1"/>
  <c r="AF81" i="1" s="1"/>
  <c r="AG81" i="1" s="1"/>
  <c r="AB82" i="1"/>
  <c r="Z82" i="1" s="1"/>
  <c r="AA82" i="1" s="1"/>
  <c r="AE82" i="1"/>
  <c r="AC82" i="1" s="1"/>
  <c r="AD82" i="1" s="1"/>
  <c r="AH82" i="1"/>
  <c r="AF82" i="1" s="1"/>
  <c r="AG82" i="1" s="1"/>
  <c r="AB83" i="1"/>
  <c r="Z83" i="1" s="1"/>
  <c r="AA83" i="1" s="1"/>
  <c r="AE83" i="1"/>
  <c r="AC83" i="1" s="1"/>
  <c r="AD83" i="1" s="1"/>
  <c r="AH83" i="1"/>
  <c r="AF83" i="1" s="1"/>
  <c r="AG83" i="1" s="1"/>
  <c r="AB84" i="1"/>
  <c r="Z84" i="1" s="1"/>
  <c r="AA84" i="1" s="1"/>
  <c r="AE84" i="1"/>
  <c r="AC84" i="1" s="1"/>
  <c r="AD84" i="1" s="1"/>
  <c r="AH84" i="1"/>
  <c r="AF84" i="1" s="1"/>
  <c r="AG84" i="1" s="1"/>
  <c r="AB85" i="1"/>
  <c r="Z85" i="1" s="1"/>
  <c r="AA85" i="1" s="1"/>
  <c r="AE85" i="1"/>
  <c r="AC85" i="1" s="1"/>
  <c r="AD85" i="1" s="1"/>
  <c r="AF85" i="1"/>
  <c r="AG85" i="1" s="1"/>
  <c r="AH85" i="1"/>
  <c r="AB86" i="1"/>
  <c r="Z86" i="1" s="1"/>
  <c r="AA86" i="1" s="1"/>
  <c r="AE86" i="1"/>
  <c r="AC86" i="1" s="1"/>
  <c r="AD86" i="1" s="1"/>
  <c r="AF86" i="1"/>
  <c r="AG86" i="1" s="1"/>
  <c r="AH86" i="1"/>
  <c r="Z87" i="1"/>
  <c r="AA87" i="1" s="1"/>
  <c r="AB87" i="1"/>
  <c r="AE87" i="1"/>
  <c r="AC87" i="1" s="1"/>
  <c r="AD87" i="1" s="1"/>
  <c r="AH87" i="1"/>
  <c r="AF87" i="1" s="1"/>
  <c r="AG87" i="1" s="1"/>
  <c r="AB88" i="1"/>
  <c r="Z88" i="1" s="1"/>
  <c r="AA88" i="1" s="1"/>
  <c r="AC88" i="1"/>
  <c r="AD88" i="1" s="1"/>
  <c r="AE88" i="1"/>
  <c r="AH88" i="1"/>
  <c r="AF88" i="1" s="1"/>
  <c r="AG88" i="1" s="1"/>
  <c r="AB89" i="1"/>
  <c r="Z89" i="1" s="1"/>
  <c r="AA89" i="1" s="1"/>
  <c r="AC89" i="1"/>
  <c r="AD89" i="1" s="1"/>
  <c r="AE89" i="1"/>
  <c r="AH89" i="1"/>
  <c r="AF89" i="1" s="1"/>
  <c r="AG89" i="1" s="1"/>
  <c r="AB90" i="1"/>
  <c r="Z90" i="1" s="1"/>
  <c r="AA90" i="1" s="1"/>
  <c r="AE90" i="1"/>
  <c r="AC90" i="1" s="1"/>
  <c r="AD90" i="1" s="1"/>
  <c r="AH90" i="1"/>
  <c r="AF90" i="1" s="1"/>
  <c r="AG90" i="1" s="1"/>
  <c r="AB91" i="1"/>
  <c r="Z91" i="1" s="1"/>
  <c r="AA91" i="1" s="1"/>
  <c r="AE91" i="1"/>
  <c r="AC91" i="1" s="1"/>
  <c r="AD91" i="1" s="1"/>
  <c r="AH91" i="1"/>
  <c r="AF91" i="1" s="1"/>
  <c r="AG91" i="1" s="1"/>
  <c r="AB92" i="1"/>
  <c r="Z92" i="1" s="1"/>
  <c r="AA92" i="1" s="1"/>
  <c r="AC92" i="1"/>
  <c r="AD92" i="1" s="1"/>
  <c r="AE92" i="1"/>
  <c r="AH92" i="1"/>
  <c r="AF92" i="1" s="1"/>
  <c r="AG92" i="1" s="1"/>
  <c r="AB93" i="1"/>
  <c r="Z93" i="1" s="1"/>
  <c r="AA93" i="1" s="1"/>
  <c r="AE93" i="1"/>
  <c r="AC93" i="1" s="1"/>
  <c r="AD93" i="1" s="1"/>
  <c r="AH93" i="1"/>
  <c r="AF93" i="1" s="1"/>
  <c r="AG93" i="1" s="1"/>
  <c r="AB94" i="1"/>
  <c r="Z94" i="1" s="1"/>
  <c r="AA94" i="1" s="1"/>
  <c r="AE94" i="1"/>
  <c r="AC94" i="1" s="1"/>
  <c r="AD94" i="1" s="1"/>
  <c r="AH94" i="1"/>
  <c r="AF94" i="1" s="1"/>
  <c r="AG94" i="1" s="1"/>
  <c r="AB95" i="1"/>
  <c r="Z95" i="1" s="1"/>
  <c r="AA95" i="1" s="1"/>
  <c r="AE95" i="1"/>
  <c r="AC95" i="1" s="1"/>
  <c r="AD95" i="1" s="1"/>
  <c r="AG95" i="1"/>
  <c r="AH95" i="1"/>
  <c r="AF95" i="1" s="1"/>
  <c r="Z96" i="1"/>
  <c r="AA96" i="1" s="1"/>
  <c r="AB96" i="1"/>
  <c r="AE96" i="1"/>
  <c r="AC96" i="1" s="1"/>
  <c r="AD96" i="1" s="1"/>
  <c r="AH96" i="1"/>
  <c r="AF96" i="1" s="1"/>
  <c r="AG96" i="1" s="1"/>
  <c r="AB97" i="1"/>
  <c r="Z97" i="1" s="1"/>
  <c r="AA97" i="1" s="1"/>
  <c r="AE97" i="1"/>
  <c r="AC97" i="1" s="1"/>
  <c r="AD97" i="1" s="1"/>
  <c r="AH97" i="1"/>
  <c r="AF97" i="1" s="1"/>
  <c r="AG97" i="1" s="1"/>
  <c r="AB98" i="1"/>
  <c r="Z98" i="1" s="1"/>
  <c r="AA98" i="1" s="1"/>
  <c r="AE98" i="1"/>
  <c r="AC98" i="1" s="1"/>
  <c r="AD98" i="1" s="1"/>
  <c r="AF98" i="1"/>
  <c r="AG98" i="1" s="1"/>
  <c r="AH98" i="1"/>
  <c r="AB99" i="1"/>
  <c r="Z99" i="1" s="1"/>
  <c r="AA99" i="1" s="1"/>
  <c r="AE99" i="1"/>
  <c r="AC99" i="1" s="1"/>
  <c r="AD99" i="1" s="1"/>
  <c r="AH99" i="1"/>
  <c r="AF99" i="1" s="1"/>
  <c r="AG99" i="1" s="1"/>
  <c r="Z100" i="1"/>
  <c r="AA100" i="1" s="1"/>
  <c r="AB100" i="1"/>
  <c r="AE100" i="1"/>
  <c r="AC100" i="1" s="1"/>
  <c r="AD100" i="1" s="1"/>
  <c r="AH100" i="1"/>
  <c r="AF100" i="1" s="1"/>
  <c r="AG100" i="1" s="1"/>
  <c r="AB101" i="1"/>
  <c r="Z101" i="1" s="1"/>
  <c r="AA101" i="1" s="1"/>
  <c r="AE101" i="1"/>
  <c r="AC101" i="1" s="1"/>
  <c r="AD101" i="1" s="1"/>
  <c r="AH101" i="1"/>
  <c r="AF101" i="1" s="1"/>
  <c r="AG101" i="1" s="1"/>
  <c r="AB102" i="1"/>
  <c r="Z102" i="1" s="1"/>
  <c r="AA102" i="1" s="1"/>
  <c r="AE102" i="1"/>
  <c r="AC102" i="1" s="1"/>
  <c r="AD102" i="1" s="1"/>
  <c r="AF102" i="1"/>
  <c r="AG102" i="1" s="1"/>
  <c r="AH102" i="1"/>
  <c r="Z103" i="1"/>
  <c r="AA103" i="1" s="1"/>
  <c r="AB103" i="1"/>
  <c r="AE103" i="1"/>
  <c r="AC103" i="1" s="1"/>
  <c r="AD103" i="1" s="1"/>
  <c r="AH103" i="1"/>
  <c r="AF103" i="1" s="1"/>
  <c r="AG103" i="1" s="1"/>
  <c r="AB104" i="1"/>
  <c r="Z104" i="1" s="1"/>
  <c r="AA104" i="1" s="1"/>
  <c r="AE104" i="1"/>
  <c r="AC104" i="1" s="1"/>
  <c r="AD104" i="1" s="1"/>
  <c r="AH104" i="1"/>
  <c r="AF104" i="1" s="1"/>
  <c r="AG104" i="1" s="1"/>
  <c r="AB105" i="1"/>
  <c r="Z105" i="1" s="1"/>
  <c r="AA105" i="1" s="1"/>
  <c r="AC105" i="1"/>
  <c r="AD105" i="1" s="1"/>
  <c r="AE105" i="1"/>
  <c r="AH105" i="1"/>
  <c r="AF105" i="1" s="1"/>
  <c r="AG105" i="1" s="1"/>
  <c r="AB107" i="1"/>
  <c r="Z107" i="1" s="1"/>
  <c r="AA107" i="1" s="1"/>
  <c r="AE107" i="1"/>
  <c r="AC107" i="1" s="1"/>
  <c r="AD107" i="1" s="1"/>
  <c r="AH107" i="1"/>
  <c r="AF107" i="1" s="1"/>
  <c r="AG107" i="1" s="1"/>
  <c r="AB108" i="1"/>
  <c r="Z108" i="1" s="1"/>
  <c r="AA108" i="1" s="1"/>
  <c r="AE108" i="1"/>
  <c r="AC108" i="1" s="1"/>
  <c r="AD108" i="1" s="1"/>
  <c r="AH108" i="1"/>
  <c r="AF108" i="1" s="1"/>
  <c r="AG108" i="1" s="1"/>
  <c r="AB109" i="1"/>
  <c r="Z109" i="1" s="1"/>
  <c r="AA109" i="1" s="1"/>
  <c r="AE109" i="1"/>
  <c r="AC109" i="1" s="1"/>
  <c r="AD109" i="1" s="1"/>
  <c r="AH109" i="1"/>
  <c r="AF109" i="1" s="1"/>
  <c r="AG109" i="1" s="1"/>
  <c r="AB110" i="1"/>
  <c r="Z110" i="1" s="1"/>
  <c r="AA110" i="1" s="1"/>
  <c r="AE110" i="1"/>
  <c r="AC110" i="1" s="1"/>
  <c r="AD110" i="1" s="1"/>
  <c r="AF110" i="1"/>
  <c r="AG110" i="1" s="1"/>
  <c r="AH110" i="1"/>
  <c r="AB111" i="1"/>
  <c r="Z111" i="1" s="1"/>
  <c r="AA111" i="1" s="1"/>
  <c r="AE111" i="1"/>
  <c r="AC111" i="1" s="1"/>
  <c r="AD111" i="1" s="1"/>
  <c r="AH111" i="1"/>
  <c r="AF111" i="1" s="1"/>
  <c r="AG111" i="1" s="1"/>
  <c r="AB112" i="1"/>
  <c r="Z112" i="1" s="1"/>
  <c r="AA112" i="1" s="1"/>
  <c r="AE112" i="1"/>
  <c r="AC112" i="1" s="1"/>
  <c r="AD112" i="1" s="1"/>
  <c r="AH112" i="1"/>
  <c r="AF112" i="1" s="1"/>
  <c r="AG112" i="1" s="1"/>
  <c r="AB113" i="1"/>
  <c r="Z113" i="1" s="1"/>
  <c r="AA113" i="1" s="1"/>
  <c r="AE113" i="1"/>
  <c r="AC113" i="1" s="1"/>
  <c r="AD113" i="1" s="1"/>
  <c r="AH113" i="1"/>
  <c r="AF113" i="1" s="1"/>
  <c r="AG113" i="1" s="1"/>
  <c r="AB114" i="1"/>
  <c r="Z114" i="1" s="1"/>
  <c r="AA114" i="1" s="1"/>
  <c r="AE114" i="1"/>
  <c r="AC114" i="1" s="1"/>
  <c r="AD114" i="1" s="1"/>
  <c r="AH114" i="1"/>
  <c r="AF114" i="1" s="1"/>
  <c r="AG114" i="1" s="1"/>
  <c r="AB115" i="1"/>
  <c r="Z115" i="1" s="1"/>
  <c r="AA115" i="1" s="1"/>
  <c r="AE115" i="1"/>
  <c r="AC115" i="1" s="1"/>
  <c r="AD115" i="1" s="1"/>
  <c r="AH115" i="1"/>
  <c r="AF115" i="1" s="1"/>
  <c r="AG115" i="1" s="1"/>
  <c r="AB116" i="1"/>
  <c r="Z116" i="1" s="1"/>
  <c r="AA116" i="1" s="1"/>
  <c r="AE116" i="1"/>
  <c r="AC116" i="1" s="1"/>
  <c r="AD116" i="1" s="1"/>
  <c r="AH116" i="1"/>
  <c r="AF116" i="1" s="1"/>
  <c r="AG116" i="1" s="1"/>
  <c r="AB117" i="1"/>
  <c r="Z117" i="1" s="1"/>
  <c r="AA117" i="1" s="1"/>
  <c r="AE117" i="1"/>
  <c r="AC117" i="1" s="1"/>
  <c r="AD117" i="1" s="1"/>
  <c r="AH117" i="1"/>
  <c r="AF117" i="1" s="1"/>
  <c r="AG117" i="1" s="1"/>
  <c r="AB118" i="1"/>
  <c r="Z118" i="1" s="1"/>
  <c r="AA118" i="1" s="1"/>
  <c r="AE118" i="1"/>
  <c r="AC118" i="1" s="1"/>
  <c r="AD118" i="1" s="1"/>
  <c r="AH118" i="1"/>
  <c r="AF118" i="1" s="1"/>
  <c r="AG118" i="1" s="1"/>
  <c r="AB119" i="1"/>
  <c r="Z119" i="1" s="1"/>
  <c r="AA119" i="1" s="1"/>
  <c r="AE119" i="1"/>
  <c r="AC119" i="1" s="1"/>
  <c r="AD119" i="1" s="1"/>
  <c r="AH119" i="1"/>
  <c r="AF119" i="1" s="1"/>
  <c r="AG119" i="1" s="1"/>
  <c r="AB120" i="1"/>
  <c r="Z120" i="1" s="1"/>
  <c r="AA120" i="1" s="1"/>
  <c r="AE120" i="1"/>
  <c r="AC120" i="1" s="1"/>
  <c r="AD120" i="1" s="1"/>
  <c r="AH120" i="1"/>
  <c r="AF120" i="1" s="1"/>
  <c r="AG120" i="1" s="1"/>
  <c r="AB121" i="1"/>
  <c r="Z121" i="1" s="1"/>
  <c r="AA121" i="1" s="1"/>
  <c r="AE121" i="1"/>
  <c r="AC121" i="1" s="1"/>
  <c r="AD121" i="1" s="1"/>
  <c r="AH121" i="1"/>
  <c r="AF121" i="1" s="1"/>
  <c r="AG121" i="1" s="1"/>
  <c r="AB122" i="1"/>
  <c r="Z122" i="1" s="1"/>
  <c r="AA122" i="1" s="1"/>
  <c r="AE122" i="1"/>
  <c r="AC122" i="1" s="1"/>
  <c r="AD122" i="1" s="1"/>
  <c r="AH122" i="1"/>
  <c r="AF122" i="1" s="1"/>
  <c r="AG122" i="1" s="1"/>
  <c r="AB123" i="1"/>
  <c r="Z123" i="1" s="1"/>
  <c r="AA123" i="1" s="1"/>
  <c r="AC123" i="1"/>
  <c r="AD123" i="1" s="1"/>
  <c r="AE123" i="1"/>
  <c r="AF123" i="1"/>
  <c r="AG123" i="1" s="1"/>
  <c r="AH123" i="1"/>
  <c r="AB2" i="1"/>
  <c r="Z2" i="1" s="1"/>
  <c r="AA2" i="1" s="1"/>
  <c r="AE2" i="1"/>
  <c r="AC2" i="1" s="1"/>
  <c r="AD2" i="1" s="1"/>
  <c r="AH2" i="1"/>
  <c r="AF2" i="1" s="1"/>
  <c r="AG2" i="1" s="1"/>
</calcChain>
</file>

<file path=xl/sharedStrings.xml><?xml version="1.0" encoding="utf-8"?>
<sst xmlns="http://schemas.openxmlformats.org/spreadsheetml/2006/main" count="1008" uniqueCount="598">
  <si>
    <t>Change state</t>
  </si>
  <si>
    <t>Name</t>
  </si>
  <si>
    <t>Type</t>
  </si>
  <si>
    <t>Charges</t>
  </si>
  <si>
    <t>Column1</t>
  </si>
  <si>
    <t>Effect 1 Y</t>
  </si>
  <si>
    <t>Effect 1 Type</t>
  </si>
  <si>
    <t>Effect 1 Title</t>
  </si>
  <si>
    <t>Effect 1</t>
  </si>
  <si>
    <t>.</t>
  </si>
  <si>
    <t>Effect 2 Y</t>
  </si>
  <si>
    <t>Effect 2 Type</t>
  </si>
  <si>
    <t>Effect 2 Title</t>
  </si>
  <si>
    <t>Effect 2</t>
  </si>
  <si>
    <t>.2</t>
  </si>
  <si>
    <t>Effect 3 Y</t>
  </si>
  <si>
    <t>Effect 3 Type</t>
  </si>
  <si>
    <t>Effect 3 Title</t>
  </si>
  <si>
    <t>Effect 3</t>
  </si>
  <si>
    <t>.3</t>
  </si>
  <si>
    <t>Ypos</t>
  </si>
  <si>
    <t>Linewidth</t>
  </si>
  <si>
    <t>Ability Offset</t>
  </si>
  <si>
    <t>Border Offset</t>
  </si>
  <si>
    <t>Title Offset</t>
  </si>
  <si>
    <t>E1TY</t>
  </si>
  <si>
    <t>E1BY</t>
  </si>
  <si>
    <t>E1Y</t>
  </si>
  <si>
    <t>E2TY</t>
  </si>
  <si>
    <t>E2BY</t>
  </si>
  <si>
    <t>E2Y</t>
  </si>
  <si>
    <t>E3TY</t>
  </si>
  <si>
    <t>E3BY</t>
  </si>
  <si>
    <t>E3Y</t>
  </si>
  <si>
    <t>Ancient One</t>
  </si>
  <si>
    <t>Form</t>
  </si>
  <si>
    <t>Passive</t>
  </si>
  <si>
    <t>&lt;b&gt;&lt;i&gt;Clear Mind&lt;/i&gt;&lt;/b&gt;</t>
  </si>
  <si>
    <t>At the start of your turn, flip an impression face up</t>
  </si>
  <si>
    <t>Active</t>
  </si>
  <si>
    <t>&lt;b&gt;&lt;i&gt;Thief of thought&lt;/i&gt;&lt;/b&gt;</t>
  </si>
  <si>
    <t>&lt;b&gt;&lt;i&gt;Abandon Soul&lt;/i&gt;&lt;/b&gt;</t>
  </si>
  <si>
    <t>Beast</t>
  </si>
  <si>
    <t>&lt;b&gt;&lt;i&gt;Reckless&lt;/i&gt;&lt;/b&gt;</t>
  </si>
  <si>
    <t>&lt;b&gt;Increase damage taken by 1.&lt;/b&gt;
&lt;br /&gt;+1 Movement Speed.</t>
  </si>
  <si>
    <t>&lt;b&gt;&lt;i&gt;Relentless&lt;/i&gt;&lt;/b&gt;</t>
  </si>
  <si>
    <t>&lt;b&gt;&lt;i&gt;Victorious&lt;/i&gt;&lt;/b&gt;</t>
  </si>
  <si>
    <t>Carcinous</t>
  </si>
  <si>
    <t>Shape = Hex2wide</t>
  </si>
  <si>
    <t>&lt;b&gt;&lt;i&gt;Many Legs&lt;/i&gt;&lt;/b&gt;</t>
  </si>
  <si>
    <t>+1 Movement Speed.</t>
  </si>
  <si>
    <t>&lt;b&gt;&lt;i&gt;Sideways Scuttle&lt;/i&gt;&lt;/b&gt;</t>
  </si>
  <si>
    <t>&lt;b&gt;&lt;i&gt;Cracked Shell&lt;/i&gt;&lt;/b&gt;</t>
  </si>
  <si>
    <t>Reduce all damage to your back hex by 3.</t>
  </si>
  <si>
    <t>&lt;span style="color:#e74c3c"&gt;&lt;b&gt;Flesh&lt;/b&gt;&lt;/span&gt;</t>
  </si>
  <si>
    <t>Crystalline</t>
  </si>
  <si>
    <t>chargeBigchargeBig</t>
  </si>
  <si>
    <t>&lt;b&gt;Labyrinth:&lt;/b&gt; chargeT or weirdT</t>
  </si>
  <si>
    <t>Make a 2 tile wall Hex2wide of Crystal. It can not be climbed and is &lt;b&gt;destructible.&lt;/b&gt; Then gain up to two tempct.</t>
  </si>
  <si>
    <t>&lt;b&gt;&lt;i&gt;Budding Growth&lt;/i&gt;&lt;/b&gt;</t>
  </si>
  <si>
    <t>Whenever you spend chargeT on any card, refresh 1 spent token.</t>
  </si>
  <si>
    <t>&lt;span style="color:#3366cc"&gt;&lt;b&gt;Weird&lt;/b&gt;&lt;/span&gt;</t>
  </si>
  <si>
    <t>Fungal</t>
  </si>
  <si>
    <t>&lt;b&gt;&lt;i&gt;Pulpy&lt;/i&gt;&lt;/b&gt;</t>
  </si>
  <si>
    <t>&lt;b&gt;&lt;i&gt;Toxic&lt;/i&gt;&lt;/b&gt;</t>
  </si>
  <si>
    <t>&lt;span style="color:#27ae60"&gt;&lt;b&gt;Jazz&lt;/b&gt;&lt;/span&gt;</t>
  </si>
  <si>
    <t>Giant</t>
  </si>
  <si>
    <t>Shape = Hex1b</t>
  </si>
  <si>
    <t>&lt;b&gt;&lt;i&gt;Behemoth&lt;/i&gt;&lt;/b&gt;</t>
  </si>
  <si>
    <t>You can't be be forced to move against your will.</t>
  </si>
  <si>
    <t>&lt;b&gt;&lt;i&gt;Massive Limbs&lt;/i&gt;&lt;/b&gt;</t>
  </si>
  <si>
    <t>Attacks that cost more than 2 AP cost 1 less and have &lt;b&gt;Reach&lt;/b&gt;.</t>
  </si>
  <si>
    <t>&lt;b&gt;&lt;i&gt;Hefty&lt;/i&gt;&lt;/b&gt;</t>
  </si>
  <si>
    <t>After emergence, gain +1 Heft.</t>
  </si>
  <si>
    <t>Glowing Kintsugi</t>
  </si>
  <si>
    <t>&lt;b&gt;&lt;i&gt;Warm Glow&lt;/i&gt;&lt;/b&gt;</t>
  </si>
  <si>
    <t>At the start of your turn, gain 
&lt;br /&gt;tempct tempct. Temporary composure can stack from any source up to 5.</t>
  </si>
  <si>
    <t>Do one of the following:
&lt;br /&gt;&lt;b&gt;Scamper:&lt;/b&gt; Move 1 tile.
&lt;br /&gt;&lt;b&gt;Focus:&lt;/b&gt; Increase your attack roll by 1. Once per attack.
&lt;br /&gt;&lt;b&gt;Calm:&lt;/b&gt; Restore comptcompt.</t>
  </si>
  <si>
    <t>Hag</t>
  </si>
  <si>
    <t>&lt;b&gt;&lt;i&gt;Decrepit&lt;/i&gt;&lt;/b&gt;</t>
  </si>
  <si>
    <t>&lt;b&gt;Increase damage taken by 1.&lt;/b&gt;
&lt;br /&gt;- 1 Movement Speed.</t>
  </si>
  <si>
    <t>&lt;b&gt;&lt;i&gt;Twisted&lt;/i&gt;&lt;/b&gt;</t>
  </si>
  <si>
    <t>For every status effect you are afflicted with, reduce damage taken from all sources by 1.</t>
  </si>
  <si>
    <t>&lt;b&gt;&lt;i&gt;Wretched&lt;/i&gt;&lt;/b&gt;</t>
  </si>
  <si>
    <t>You may clear a status effect (except &lt;b&gt;Exhausted&lt;/b&gt;) to refresh a token of your choice.</t>
  </si>
  <si>
    <t>Hollow</t>
  </si>
  <si>
    <t>&lt;b&gt;&lt;i&gt;Odd structure&lt;/i&gt;&lt;/b&gt;</t>
  </si>
  <si>
    <t>Your composure is equal to &lt;b&gt;twice&lt;/b&gt; your &lt;span style="color:#3366cc"&gt;&lt;strong&gt;Weird&lt;/strong&gt;&lt;/span&gt;.</t>
  </si>
  <si>
    <t>&lt;b&gt;&lt;i&gt;Fragile&lt;/i&gt;&lt;/b&gt;</t>
  </si>
  <si>
    <t>If you take a wound during combat, you &lt;b&gt;die.&lt;/b&gt;</t>
  </si>
  <si>
    <t>Human</t>
  </si>
  <si>
    <t>&lt;b&gt;&lt;i&gt;Two Legs&lt;/i&gt;&lt;/b&gt;</t>
  </si>
  <si>
    <t>&lt;b&gt;&lt;i&gt;Two Arms&lt;/i&gt;&lt;/b&gt;</t>
  </si>
  <si>
    <t>Terrain interactions cost 1 less AP.</t>
  </si>
  <si>
    <t>&lt;b&gt;Plot Armour:&lt;/b&gt; chargeT</t>
  </si>
  <si>
    <t>Prevent all damage from a source that would otherwise kill you.</t>
  </si>
  <si>
    <t>Hungry Clay</t>
  </si>
  <si>
    <t>&lt;b&gt;&lt;i&gt;Consuming&lt;/i&gt;&lt;/b&gt;</t>
  </si>
  <si>
    <t>Your attacks have the Crit option:
&lt;br /&gt;&lt;b&gt;Absorb:&lt;/b&gt; Heal a wound of the same stat you wounded.</t>
  </si>
  <si>
    <t>&lt;b&gt;&lt;i&gt;Regenerative&lt;/i&gt;&lt;/b&gt;</t>
  </si>
  <si>
    <t>When you take a wound, replenish a spent token of the same stat.</t>
  </si>
  <si>
    <t>Lanky</t>
  </si>
  <si>
    <t>&lt;b&gt;&lt;i&gt;Long Limbed&lt;/i&gt;&lt;/b&gt;</t>
  </si>
  <si>
    <t>You have +1 range on all melee attacks and terrain interactions.</t>
  </si>
  <si>
    <t>&lt;b&gt;&lt;i&gt;Sweeper&lt;/i&gt;&lt;/b&gt;</t>
  </si>
  <si>
    <t>Your melee attacks target all possible targets in range, roll once for the attack.</t>
  </si>
  <si>
    <t>&lt;b&gt;&lt;i&gt;Butter Cutter&lt;/i&gt;&lt;/b&gt;</t>
  </si>
  <si>
    <t>When you hit two or more creatures with a single attack, replenish a spent token.</t>
  </si>
  <si>
    <t>Liquid Lightning</t>
  </si>
  <si>
    <t>chargeBig</t>
  </si>
  <si>
    <t>&lt;b&gt;Dampen:&lt;/b&gt; chargeT</t>
  </si>
  <si>
    <t>Reduce damage taken by 3 until the start of your next turn.</t>
  </si>
  <si>
    <t>&lt;b&gt;Beam:&lt;/b&gt; chargeT or weirdTweirdT</t>
  </si>
  <si>
    <t>Teleport to any hex inside a starting zone.</t>
  </si>
  <si>
    <t>&lt;b&gt;&lt;i&gt;Recharge&lt;/i&gt;&lt;/b&gt;</t>
  </si>
  <si>
    <t>Your attacks have the Crit option:
&lt;br /&gt;&lt;b&gt;Extract energy:&lt;/b&gt; Refresh 1 chargeT.</t>
  </si>
  <si>
    <t>Mechanical</t>
  </si>
  <si>
    <t>&lt;b&gt;&lt;i&gt;Modal&lt;/b&gt;&lt;/i&gt;</t>
  </si>
  <si>
    <t>Mob of the Deep Ones</t>
  </si>
  <si>
    <t>hex1big   hex1big   hex1big</t>
  </si>
  <si>
    <t>&lt;b&gt;&lt;i&gt;Very Fast&lt;/i&gt;&lt;/b&gt;</t>
  </si>
  <si>
    <t>+2 Movement Speed.</t>
  </si>
  <si>
    <t>&lt;b&gt;&lt;i&gt;Multitudinous&lt;/i&gt;&lt;/b&gt;</t>
  </si>
  <si>
    <t>You have 3 bodies, each 1 hex1a in size. You may distribute movement between them when moving. All bodies attack when you make a melee attack.</t>
  </si>
  <si>
    <t>&lt;b&gt;&lt;i&gt;Shared Mind&lt;/i&gt;&lt;/b&gt;</t>
  </si>
  <si>
    <t xml:space="preserve">Damage taken by any of your bodies is taken in full. </t>
  </si>
  <si>
    <t>Ooze</t>
  </si>
  <si>
    <t>&lt;b&gt;&lt;i&gt;Easy as Walking&lt;/i&gt;&lt;/b&gt;</t>
  </si>
  <si>
    <t>Climbing does not cost you jazzT.</t>
  </si>
  <si>
    <t>&lt;b&gt;Secretions:&lt;/b&gt; weirdT</t>
  </si>
  <si>
    <t>When you next take the move action, you leave a trail of goo in all hexes moved out of. Moving through this goo takes 2 hexes of movement per hex.</t>
  </si>
  <si>
    <t>&lt;b&gt;&lt;i&gt;Moving is Optional&lt;/i&gt;&lt;/b&gt;</t>
  </si>
  <si>
    <t>At the end of your turn, if you did not move, gain up to 4 tempct.</t>
  </si>
  <si>
    <t>Overlord</t>
  </si>
  <si>
    <t>Reaction</t>
  </si>
  <si>
    <t>&lt;b&gt;Coerce:&lt;/b&gt; &lt;b&gt;Exhaust&lt;/b&gt; or WeirdT</t>
  </si>
  <si>
    <t>Give an ally 1 AP.</t>
  </si>
  <si>
    <t>&lt;b&gt;Command:&lt;/b&gt; 1 AP or WeirdT</t>
  </si>
  <si>
    <t>Target creature moves one tile under your control.</t>
  </si>
  <si>
    <t>&lt;b&gt;&lt;i&gt;Consume&lt;/i&gt;&lt;/b&gt;</t>
  </si>
  <si>
    <t>Whenever you land a killing blow (including death by command), restore all wounds to one stat of your choice.</t>
  </si>
  <si>
    <t>Phantom</t>
  </si>
  <si>
    <t>&lt;b&gt;&lt;i&gt;Ghostly&lt;/i&gt;&lt;/b&gt;</t>
  </si>
  <si>
    <t>Whenever you spend a weirdT, for your next move that turn you may pass through solid objects freely and ignore terrain penalties. You may not stop inside terrain.</t>
  </si>
  <si>
    <t>Reduce the composure of a being you have moved through this turn by 3 (minimum 1).</t>
  </si>
  <si>
    <t>Serpentine</t>
  </si>
  <si>
    <t>&lt;b&gt;&lt;i&gt;Just a Tail&lt;/i&gt;&lt;/b&gt;</t>
  </si>
  <si>
    <t>While you have at most 1 limb equipped, you refresh 1 WeirdT at the start of each of your turns.</t>
  </si>
  <si>
    <t>&lt;b&gt;&lt;i&gt;Fast&lt;/i&gt;&lt;/b&gt;</t>
  </si>
  <si>
    <t>Your move speed is increased by 1.</t>
  </si>
  <si>
    <t>Siltwood Sapling</t>
  </si>
  <si>
    <t>&lt;b&gt;Heart Bulb:&lt;/b&gt; 1 AP</t>
  </si>
  <si>
    <t>&lt;p style="font-size:12px;"&gt;Once per game, you may place a heart bulb on an adjacent hex. This is your weak point and can be damaged normally. It has your impressions but not your limbs. &lt;b&gt;Your body takes 4 less damage from all sources&lt;/b&gt; after you have placed the heart bulb. Both your heart and body can be inflicted with status effects. Status effects apply to both beings.</t>
  </si>
  <si>
    <t>&lt;b&gt;Transplant:&lt;/b&gt; 1 AP + (weirdT or chargeT)</t>
  </si>
  <si>
    <t>Swap the location of your body and the heart bulb.</t>
  </si>
  <si>
    <t>Stone Plated</t>
  </si>
  <si>
    <t>&lt;b&gt;&lt;i&gt;Stone Flesh&lt;/i&gt;&lt;/b&gt;</t>
  </si>
  <si>
    <t>Reduce damage taken by 1.
&lt;br /&gt;-2 Movement Speed.</t>
  </si>
  <si>
    <t>&lt;b&gt;&lt;i&gt;Impervious Plates&lt;/i&gt;&lt;/b&gt;</t>
  </si>
  <si>
    <t>Reduce damage from non-adjacent beings to 0.</t>
  </si>
  <si>
    <t>Unstable</t>
  </si>
  <si>
    <t>&lt;b&gt;&lt;i&gt;Radioactive&lt;/i&gt;&lt;/b&gt;</t>
  </si>
  <si>
    <t>Whenever you spend weirdt, adjacent beings take 2 damage.</t>
  </si>
  <si>
    <t xml:space="preserve">&lt;b&gt;&lt;i&gt;Decay&lt;/b&gt;&lt;/i&gt; </t>
  </si>
  <si>
    <t>At the end of each of your turns, take 2 damage and refresh 1 weirdT.</t>
  </si>
  <si>
    <t>Volcanic</t>
  </si>
  <si>
    <t>&lt;b&gt;&lt;i&gt;Furnace&lt;/i&gt;&lt;/b&gt;</t>
  </si>
  <si>
    <t>Reduce damage taken by 1.
&lt;br /&gt;-1 Movement Speed.</t>
  </si>
  <si>
    <t>&lt;b&gt;Breathe Fire:&lt;/b&gt; 3 AP + weirdT</t>
  </si>
  <si>
    <t>Emit an inferno of fire, all other beings within 3 hexes take 7 damage.
&lt;br /&gt;You and all adjacent beings suffer the &lt;b&gt;Burning&lt;/b&gt; status.</t>
  </si>
  <si>
    <t>Worm Nest</t>
  </si>
  <si>
    <t>chargebigx Players</t>
  </si>
  <si>
    <t>&lt;b&gt;&lt;i&gt;Writhe and Revel&lt;/i&gt;&lt;/b&gt;</t>
  </si>
  <si>
    <t>&lt;b&gt;Infect&lt;/b&gt;</t>
  </si>
  <si>
    <t>Your attacks have the Crit option &lt;b&gt;Infect:&lt;/b&gt; Spend one chargeT, target takes the chargeT and is infected.</t>
  </si>
  <si>
    <t>&lt;b&gt;Feast&lt;/b&gt;</t>
  </si>
  <si>
    <t>Remove an infected token from a being, and force them to use an ability on one of their cards without AP costs.</t>
  </si>
  <si>
    <t>Wreathed in Flame</t>
  </si>
  <si>
    <t>&lt;b&gt;&lt;i&gt;Enflamed&lt;/b&gt;&lt;/i&gt;</t>
  </si>
  <si>
    <t>&lt;b&gt;Fire&lt;/b&gt; and &lt;b&gt;Burning&lt;/b&gt; give you temporary composure instead of dealing damage.</t>
  </si>
  <si>
    <t>&lt;b&gt;&lt;i&gt;Flame Geysers&lt;/i&gt;&lt;/b&gt;</t>
  </si>
  <si>
    <t>At the start of each turn, gain the &lt;b&gt;Burning&lt;/b&gt; status effect.</t>
  </si>
  <si>
    <t>&lt;b&gt;&lt;i&gt;Through Fire&lt;/i&gt;&lt;/b&gt;</t>
  </si>
  <si>
    <t>Your attacks have the Crit option &lt;b&gt;Purification:&lt;/b&gt; Remove one of your status effects and inflict it.</t>
  </si>
  <si>
    <t>Writhing Mass</t>
  </si>
  <si>
    <t>&lt;b&gt;&lt;i&gt;Generative&lt;/b&gt;&lt;/i&gt;</t>
  </si>
  <si>
    <t>At the start of your turn, if you have less than 4 limbs equipped, draw and equip a limb.</t>
  </si>
  <si>
    <t>You may destroy an equipped limb to replenish a spent token.</t>
  </si>
  <si>
    <t>Adaptive</t>
  </si>
  <si>
    <t>Impression</t>
  </si>
  <si>
    <t>&lt;b&gt;Mimic:&lt;/b&gt; WeirdT + 1 AP</t>
  </si>
  <si>
    <t>Adaptive becomes a copy of any Limb or Impression in play, except it also retains the &lt;b&gt;Mimic&lt;/b&gt; ability. If it would be destroyed, so is Adaptive.</t>
  </si>
  <si>
    <t>Ambidextrous</t>
  </si>
  <si>
    <t>&lt;b&gt;&lt;i&gt;Creative Duellist&lt;/i&gt;&lt;/b&gt;</t>
  </si>
  <si>
    <t>You may use Crit options available to any of your limbs on all attacks.</t>
  </si>
  <si>
    <t>Assertive</t>
  </si>
  <si>
    <t>&lt;b&gt;&lt;i&gt;Charger&lt;/i&gt;&lt;/b&gt;</t>
  </si>
  <si>
    <t>When you make an attack, you may move 2 tiles before attacking.</t>
  </si>
  <si>
    <t>Balanced</t>
  </si>
  <si>
    <t>&lt;b&gt;&lt;i&gt;Passive&lt;/i&gt;&lt;/b&gt;</t>
  </si>
  <si>
    <t>At the start of your turn, if you have an equal number of unspent tokens in each stat, refresh two spent stat tokens.
&lt;br /&gt;
&lt;br /&gt;They must be different tokens.</t>
  </si>
  <si>
    <t>Blood Mage</t>
  </si>
  <si>
    <t>Once per turn you may suffer a wound to a stat of your choice to refresh 2 spent tokens in that stat.</t>
  </si>
  <si>
    <t>Confident</t>
  </si>
  <si>
    <t>While you are unwounded, gain 1 additional AP at the start of each turn.</t>
  </si>
  <si>
    <t>Coward</t>
  </si>
  <si>
    <t>&lt;b&gt;Flee:&lt;/b&gt; jazzT</t>
  </si>
  <si>
    <t>When an enemy moves into an adjacent tile, you may take a free move action immediately.</t>
  </si>
  <si>
    <t>Creative</t>
  </si>
  <si>
    <t>Dancer</t>
  </si>
  <si>
    <t>&lt;b&gt;&lt;i&gt; Flow State&lt;/b&gt;&lt;/i&gt;</t>
  </si>
  <si>
    <t>&lt;b&gt;&lt;i&gt;On the Move&lt;/b&gt;&lt;/i&gt;</t>
  </si>
  <si>
    <t>Whenever you gain temporary composure, you may move that many hexes.</t>
  </si>
  <si>
    <t>Disciplined</t>
  </si>
  <si>
    <t>Dormant</t>
  </si>
  <si>
    <t>The first time a being dies in combat, draw 4 impressions and equip 2 of them.</t>
  </si>
  <si>
    <t>Energetic</t>
  </si>
  <si>
    <t>chargemidchargemidchargemid</t>
  </si>
  <si>
    <t>&lt;b&gt;Burst:&lt;/b&gt; chargeT or weirdT</t>
  </si>
  <si>
    <t>Replenish a jazzt or flesht.</t>
  </si>
  <si>
    <t>Grandiose</t>
  </si>
  <si>
    <t>&lt;b&gt;Mold Earth:&lt;/b&gt; weirdTweirdT</t>
  </si>
  <si>
    <t>Create a large pillar Hex1b in target empty location.
&lt;br /&gt;&lt;br /&gt;Pillars can be climbed by spending 3 AP or jazzT. Beings take 8 damage if they fall off.</t>
  </si>
  <si>
    <t>&lt;b&gt;&lt;i&gt;World Sculptor&lt;/i&gt;&lt;/b&gt;</t>
  </si>
  <si>
    <t>Whenever you spend weirdt, create a small pillar Hex1a in target empty hex.</t>
  </si>
  <si>
    <t>Hardy</t>
  </si>
  <si>
    <t>You can't be affected by the &lt;b&gt;Targeted Strike&lt;/b&gt; Critical effect.</t>
  </si>
  <si>
    <t>Heroic</t>
  </si>
  <si>
    <t>I'm Normal</t>
  </si>
  <si>
    <t>&lt;b&gt;&lt;i&gt;Normality&lt;/i&gt;&lt;/b&gt;</t>
  </si>
  <si>
    <t>Replace your  &lt;span style="color:#3366cc"&gt;&lt;strong&gt;Weird&lt;/strong&gt;&lt;/span&gt; with &lt;span style="color:#d964d4"&gt;&lt;strong&gt;Normal&lt;/strong&gt;&lt;/span&gt;. You cannot spend weirdt any more.</t>
  </si>
  <si>
    <t>&lt;b&gt;What?:&lt;/b&gt; 1 &lt;span style="color:#d964d4"&gt;&lt;strong&gt;Normal&lt;/strong&gt;&lt;/span&gt;</t>
  </si>
  <si>
    <t>Ignore the effects of an ability with weirdt in its cost (even if no weirdT was spent).</t>
  </si>
  <si>
    <t>&lt;b&gt;Cup of Tea:&lt;/b&gt; 1 AP + 1 &lt;span style="color:#d964d4"&gt;&lt;strong&gt;Normal&lt;/strong&gt;&lt;/span&gt;</t>
  </si>
  <si>
    <t>Gain the &lt;b&gt;Well rested&lt;/b&gt; status effect.</t>
  </si>
  <si>
    <t>Liar</t>
  </si>
  <si>
    <t>chargeBIGchargeBIG</t>
  </si>
  <si>
    <t>&lt;b&gt;Change of Luck:&lt;/b&gt; chargeT</t>
  </si>
  <si>
    <t>After any die is rolled by target being, you may force it to be re-rolled after seeing the result.</t>
  </si>
  <si>
    <t>Loot Goblin</t>
  </si>
  <si>
    <t>&lt;b&gt;&lt;i&gt;Magic Touch&lt;/i&gt;&lt;/b&gt;</t>
  </si>
  <si>
    <t>Your attacks have the Crit option
&lt;br /&gt;&lt;b&gt;Imbue:&lt;/b&gt; Gain the &lt;b&gt;Imbued&lt;/b&gt; status effect.</t>
  </si>
  <si>
    <t>&lt;b&gt;&lt;i&gt;Treasure!&lt;/b&gt;&lt;/i&gt;</t>
  </si>
  <si>
    <t>During map creation, search the boons deck for any card. You may place this on the map in addition to your allotted terrain cards.</t>
  </si>
  <si>
    <t>Lucky</t>
  </si>
  <si>
    <t>Whenever a 12 is rolled by any being during the game, replenish 1 spent stat token of your choice.</t>
  </si>
  <si>
    <t>Malevolent</t>
  </si>
  <si>
    <t>&lt;b&gt;&lt;i&gt;Twisted Kindness&lt;/b&gt;&lt;/i&gt;</t>
  </si>
  <si>
    <t>Whenever you would give another creature temporary composure, you may deal that much damage instead.</t>
  </si>
  <si>
    <t>Whenever you inflict a status effect, you may set that creatures composure to 1.</t>
  </si>
  <si>
    <t>Melancholic</t>
  </si>
  <si>
    <t>&lt;b&gt;Apathy:&lt;/b&gt; WeirdT</t>
  </si>
  <si>
    <t>Put a counter on a limb of target being. The next time that limb deals damage, it deals 2 less. This doesn't stack.</t>
  </si>
  <si>
    <t>Musical</t>
  </si>
  <si>
    <t>&lt;b&gt;Rally Song:&lt;/b&gt; 2 AP or weirdT</t>
  </si>
  <si>
    <t>Negotiator</t>
  </si>
  <si>
    <t>&lt;b&gt;Pact:&lt;/b&gt; 1 AP + WeirdT</t>
  </si>
  <si>
    <t>Offer a deal to a player. If they accept they gain one temporary stat token.
&lt;br /&gt;If they then break the deal, they take 8 damage.
&lt;br /&gt;If they reject the deal, you gain the temporary stat token.</t>
  </si>
  <si>
    <t>Nimble</t>
  </si>
  <si>
    <t>&lt;b&gt;Dash:&lt;/b&gt; jazzt</t>
  </si>
  <si>
    <t>Take a move action. Take this action only once per turn.</t>
  </si>
  <si>
    <t>Obscene</t>
  </si>
  <si>
    <t>&lt;b&gt;Slander:&lt;/b&gt; 1 AP + WeirdT</t>
  </si>
  <si>
    <t>Mark a target, your attacks against marked target deal +1 damage.</t>
  </si>
  <si>
    <t>&lt;b&gt;&lt;i&gt;Vulgarity&lt;/i&gt;&lt;/b&gt;</t>
  </si>
  <si>
    <t>Whenever you spend a weirdt, all marked targets lose 1 composure, down to a minimum of 1.</t>
  </si>
  <si>
    <t>Pathetic</t>
  </si>
  <si>
    <t>When you take the &lt;b&gt;Cower&lt;/b&gt; reaction, you can reduce damage taken by 2 instead of 1.</t>
  </si>
  <si>
    <t>Patient</t>
  </si>
  <si>
    <t>&lt;b&gt;&lt;i&gt;Inhale&lt;/i&gt;&lt;/b&gt;</t>
  </si>
  <si>
    <t>At the end of your turn, for each unspent action point add charget to this card, up to max of your &lt;span style="color: #1563da;"&gt;Weird&lt;/span&gt;.</t>
  </si>
  <si>
    <t>&lt;b&gt;Exhale:&lt;/b&gt; Remove all charget</t>
  </si>
  <si>
    <t>Gain 1 AP for each charget removed. This turn inhale won't trigger.</t>
  </si>
  <si>
    <t>Protector</t>
  </si>
  <si>
    <t>&lt;b&gt;Good Clay:&lt;/b&gt; weirdtweirdt or 2 AP + weirdT</t>
  </si>
  <si>
    <t>You and up to 1 adjacent being restore 1 wound.</t>
  </si>
  <si>
    <t>&lt;b&gt;&lt;i&gt;Aura of Earth&lt;/i&gt;&lt;/b&gt;</t>
  </si>
  <si>
    <t>Whenever you spend weirdt, you and up to 1 target ally gain up to 1 temporary composure.</t>
  </si>
  <si>
    <t>Relentless</t>
  </si>
  <si>
    <t>&lt;b&gt;&lt;i&gt;Relish in battle&lt;/i&gt;&lt;/b&gt;</t>
  </si>
  <si>
    <t>Whenever you Critically hit, restore 2 composure or gain up to 2 temporary composure.</t>
  </si>
  <si>
    <t>&lt;b&gt;Double Down:&lt;/b&gt; jazzTjazzT</t>
  </si>
  <si>
    <t>Re-roll an attack roll you have made.</t>
  </si>
  <si>
    <t>Restless</t>
  </si>
  <si>
    <t>When you take the &lt;b&gt;Reposition&lt;/b&gt; reaction you can move your speed instead of 1 hex.</t>
  </si>
  <si>
    <t>Sly</t>
  </si>
  <si>
    <t>&lt;b&gt;Billowing Dark:&lt;/b&gt; 1 AP + weirdT</t>
  </si>
  <si>
    <t>Create a 3 hex area of darkness Hex1b
&lt;br /&gt;This blocks line of sight. Melee attacks against beings inside darkness will only hit on a 7 or higher and miss otherwise, they only Crit on a 12.</t>
  </si>
  <si>
    <t>&lt;b&gt;&lt;i&gt;Creature of the Shadows&lt;/i&gt;&lt;/b&gt;</t>
  </si>
  <si>
    <t>Spiteful</t>
  </si>
  <si>
    <t>Your attacks deal bonus damage equal to the number of &lt;span style="color: #1563da;"&gt;Weird&lt;/span&gt; wounds you have.</t>
  </si>
  <si>
    <t>Stalwart</t>
  </si>
  <si>
    <t>&lt;b&gt;Protect:&lt;/b&gt; FleshT or WeirdT</t>
  </si>
  <si>
    <t>When target ally takes damage, reduce that damage by 2. Activate only once per instance of damage.</t>
  </si>
  <si>
    <t>Stoic</t>
  </si>
  <si>
    <t>&lt;b&gt;Unfazed:&lt;/b&gt; WeirdT</t>
  </si>
  <si>
    <t>When you would take a status effect (except &lt;b&gt;Exhausted&lt;/b&gt;), ignore it instead.</t>
  </si>
  <si>
    <t>Strange</t>
  </si>
  <si>
    <t>&lt;b&gt;Secret Technique:&lt;/b&gt; 1 AP or weirdT</t>
  </si>
  <si>
    <t>Add your &lt;span style="color: #1563da;"&gt;Weird&lt;/span&gt; to the range of your next melee attack this turn.</t>
  </si>
  <si>
    <t>&lt;b&gt;&lt;i&gt;Pressure Points&lt;/b&gt;&lt;/i&gt;</t>
  </si>
  <si>
    <t>Your attacks have the Crit option
&lt;br /&gt;&lt;b&gt;Puppeteer:&lt;/b&gt; Move the target 2 hexes in any direction.</t>
  </si>
  <si>
    <t>Strong Heartbeat</t>
  </si>
  <si>
    <t xml:space="preserve">Whenever you would heal or refresh a token, heal or refresh one more. </t>
  </si>
  <si>
    <t>Treacherous</t>
  </si>
  <si>
    <t>&lt;b&gt;Snigger:&lt;/b&gt; WeirdT or &lt;b&gt;Exhausted&lt;/b&gt;</t>
  </si>
  <si>
    <t>When you see a being take damage from a source other than you, you may increase that damage by 2. This does not stack.</t>
  </si>
  <si>
    <t>&lt;b&gt;&lt;i&gt;Minion&lt;/b&gt;&lt;/i&gt;</t>
  </si>
  <si>
    <t>The boss does not consider you a target unless you are the last alive or you have dealt damage to it.</t>
  </si>
  <si>
    <t>Trickster</t>
  </si>
  <si>
    <t>&lt;b&gt;Switcheroo:&lt;/b&gt; &lt;b&gt;Exhaust&lt;/b&gt; + weirdT</t>
  </si>
  <si>
    <t>After taking damage, you may activate this to swap places with any being.</t>
  </si>
  <si>
    <t>Tinkerer</t>
  </si>
  <si>
    <t>&lt;b&gt;Wreath:&lt;/b&gt; 1 AP + weirdT</t>
  </si>
  <si>
    <t>Wreath target limb in shards. The next time this limb hits with an attack, that attack deals +2 damage</t>
  </si>
  <si>
    <t>&lt;b&gt;&lt;i&gt;Enchanting&lt;/i&gt;&lt;/b&gt;</t>
  </si>
  <si>
    <t>Whenever you spend Weirdt, wreath one of your own limbs.</t>
  </si>
  <si>
    <t>Determined</t>
  </si>
  <si>
    <t>Wilful</t>
  </si>
  <si>
    <t>&lt;b&gt;Overexert:&lt;/b&gt; Gain &lt;b&gt;Exhausted&lt;/b&gt;</t>
  </si>
  <si>
    <t>Gain the &lt;b&gt;Well Rested&lt;/b&gt; status effect.</t>
  </si>
  <si>
    <t>Baleful Eye</t>
  </si>
  <si>
    <t>Limb</t>
  </si>
  <si>
    <t>&lt;b&gt;Rancor:&lt;/b&gt; 1 AP + weirdTJazzT</t>
  </si>
  <si>
    <t>Mark a target as your hated target. You can only have one target at a time.</t>
  </si>
  <si>
    <t>Attack</t>
  </si>
  <si>
    <t>&lt;b&gt;Scorn:&lt;/b&gt; 2 AP</t>
  </si>
  <si>
    <t>&lt;b&gt;Damage = 4, Ranged&lt;/b&gt;
&lt;br /&gt;This attack can only target your hated target.</t>
  </si>
  <si>
    <t>Crit</t>
  </si>
  <si>
    <t>&lt;center&gt;Critical Options&lt;/center&gt;</t>
  </si>
  <si>
    <t>&lt;b&gt;Omen:&lt;/b&gt; inflict the &lt;b&gt;Cursed&lt;/b&gt; status effect.</t>
  </si>
  <si>
    <t>Bladed Fingers</t>
  </si>
  <si>
    <t>&lt;b&gt;1000 Cuts:&lt;/b&gt; 2 AP</t>
  </si>
  <si>
    <t>&lt;b&gt;Damage = 3, Close&lt;/b&gt;</t>
  </si>
  <si>
    <t>&lt;b&gt;Flurry:&lt;/b&gt; Your next attack costs 1 less AP.
&lt;br /&gt;&lt;b&gt;Strike:&lt;/b&gt; +1 Damage.</t>
  </si>
  <si>
    <t>Chalk Vein</t>
  </si>
  <si>
    <t>&lt;b&gt;Create Sigil:&lt;/b&gt; 1 AP</t>
  </si>
  <si>
    <t>Draw a sigil on an adjacent tile. You may have a maximum of 3 sigils. Other players may spend 3 AP to destroy an adjacent sigil</t>
  </si>
  <si>
    <t>&lt;b&gt;Siphon:&lt;/b&gt; 2 AP + weirdT</t>
  </si>
  <si>
    <t>Cicada Wings</t>
  </si>
  <si>
    <t>&lt;b&gt;Fly:&lt;/b&gt; 2 AP or weirdT</t>
  </si>
  <si>
    <t>Make a move action with + 1 speed, ignore terrain during this move (within reason).</t>
  </si>
  <si>
    <t>&lt;b&gt;Chirp Tune:&lt;/b&gt; 3 AP</t>
  </si>
  <si>
    <t>You and any number of target allies each gain up to 3 temporary composure.</t>
  </si>
  <si>
    <t>Clay Exuder</t>
  </si>
  <si>
    <t>&lt;b&gt;Coat in Clay:&lt;/b&gt; 1 AP + weirdT</t>
  </si>
  <si>
    <t>&lt;b&gt;&lt;i&gt;Spreading Clay&lt;/i&gt;&lt;/b&gt;</t>
  </si>
  <si>
    <t>Clayling</t>
  </si>
  <si>
    <t>&lt;b&gt;Flail:&lt;/b&gt; Automatic</t>
  </si>
  <si>
    <t>&lt;b&gt;Damage = 4, Close&lt;/b&gt;</t>
  </si>
  <si>
    <t>&lt;b&gt;&lt;i&gt;Autonomous Limb&lt;/i&gt;&lt;/b&gt;</t>
  </si>
  <si>
    <t>At the end of your turn, this limb uses &lt;b&gt;Flail&lt;/b&gt; for free, it will target you if there are no other targets available.</t>
  </si>
  <si>
    <t>Cloven Hoof</t>
  </si>
  <si>
    <t>&lt;b&gt;Back-kick:&lt;/b&gt; 2 AP</t>
  </si>
  <si>
    <t>&lt;b&gt;Dash:&lt;/b&gt; Take a move action.
&lt;br /&gt;&lt;b&gt;Mighty Shove:&lt;/b&gt; Push the target 2 hexes.</t>
  </si>
  <si>
    <t>Crackling Geode</t>
  </si>
  <si>
    <t>&lt;b&gt;Shock:&lt;/b&gt; 2 AP</t>
  </si>
  <si>
    <t>&lt;b&gt;&lt;i&gt;Sparks&lt;/i&gt;&lt;/b&gt;</t>
  </si>
  <si>
    <t>Crystal of the Deep</t>
  </si>
  <si>
    <t>&lt;b&gt;Embed:&lt;/b&gt; weirdTweirdT or chargeT</t>
  </si>
  <si>
    <t>Place a 1 hex crystal on an adjacent hex. The crystal breaks if it takes damage.</t>
  </si>
  <si>
    <t>&lt;b&gt;&lt;i&gt;Radiance&lt;/b&gt;&lt;/i&gt;</t>
  </si>
  <si>
    <t>At the end of your turn, if there is at least one crystal on the map, choose one of the following status effects to gain:
&lt;br /&gt;&lt;b&gt;Monstrous, Well Rested, Imbued&lt;/b&gt;.</t>
  </si>
  <si>
    <t>Dolem Piston</t>
  </si>
  <si>
    <t>&lt;b&gt;Damage = 5, Close&lt;/b&gt;</t>
  </si>
  <si>
    <t>&lt;b&gt;Drive-Power:&lt;/b&gt; weirdt</t>
  </si>
  <si>
    <t>Add +1 damage and +1 range to attacks this turn. Use only once each turn.</t>
  </si>
  <si>
    <t>Doomtouch</t>
  </si>
  <si>
    <t>&lt;b&gt;Thwack:&lt;/b&gt; 1 AP</t>
  </si>
  <si>
    <t>&lt;b&gt;Damage = 1, Close&lt;/b&gt;</t>
  </si>
  <si>
    <t>&lt;b&gt;Smear:&lt;/b&gt; 2 AP + weirdTweirdT</t>
  </si>
  <si>
    <t>Inflict the &lt;b&gt;Cursed&lt;/b&gt; status effect on a target in Melee.</t>
  </si>
  <si>
    <t>&lt;b&gt;Omen:&lt;/b&gt; Inflict the &lt;b&gt;Cursed&lt;/b&gt; status effect.</t>
  </si>
  <si>
    <t>Enflamed Lash</t>
  </si>
  <si>
    <t>&lt;b&gt;Flay:&lt;/b&gt; 2 AP</t>
  </si>
  <si>
    <t>&lt;b&gt;Damage = 3, Reach&lt;/b&gt;</t>
  </si>
  <si>
    <t>&lt;b&gt;Burn:&lt;/b&gt; Inflict the &lt;b&gt;Burning&lt;/b&gt; status effect.
&lt;b&gt;Incinerate:&lt;/b&gt; Deal +2 damage if the target is burning.</t>
  </si>
  <si>
    <t>Engraved Slab</t>
  </si>
  <si>
    <t>&lt;b&gt;Read the Runes:&lt;/b weirdT</t>
  </si>
  <si>
    <t>&lt;B&gt;Slam:&lt;/b&gt; 4 AP</t>
  </si>
  <si>
    <t>&lt;b&gt;Damage = 8, Close&lt;/b&gt;</t>
  </si>
  <si>
    <t>Feet</t>
  </si>
  <si>
    <t>&lt;b&gt;&lt;i&gt;Sure Footed&lt;/i&gt;&lt;/b&gt;</t>
  </si>
  <si>
    <t>While you have the &lt;b&gt;Well Rested&lt;/b&gt; status effect, gain an additional +1 speed.</t>
  </si>
  <si>
    <t>Fungal Miasma</t>
  </si>
  <si>
    <t>Create a 1 hex cloud at target empty hex.</t>
  </si>
  <si>
    <t>&lt;b&gt;&lt;i&gt;Growing Cloud&lt;/i&gt;&lt;/b&gt;</t>
  </si>
  <si>
    <t>&lt;b&gt;&lt;i&gt;Toxic&lt;/b&gt;&lt;/i&gt;</t>
  </si>
  <si>
    <t>Whenever you spend weirdT, all beings inside a cloud take 4 damage. This damage cannot be reduced.</t>
  </si>
  <si>
    <t>chargebigchargebig</t>
  </si>
  <si>
    <t>&lt;b&gt;Eject:&lt;/b&gt; 1 AP + charget</t>
  </si>
  <si>
    <t>Recharge this item.</t>
  </si>
  <si>
    <t>Granite Fists</t>
  </si>
  <si>
    <t>&lt;b&gt;Crush:&lt;/b&gt; 4 AP or (2 AP + fleshTfleshT)</t>
  </si>
  <si>
    <t>&lt;b&gt;Concuss:&lt;/b&gt; Inflict the &lt;b&gt;Stunned&lt;/b&gt; status effect.</t>
  </si>
  <si>
    <t>Grasp of Mud</t>
  </si>
  <si>
    <t>&lt;b&gt;Bludgeon:&lt;/b&gt; 3 AP</t>
  </si>
  <si>
    <t>&lt;b&gt;Damage = 6, Close&lt;/b&gt;</t>
  </si>
  <si>
    <t>&lt;b&gt;Whelm:&lt;/b&gt; 1 AP + weirdT</t>
  </si>
  <si>
    <t>&lt;b&gt;Damage = 3, Close&lt;/b&gt;
&lt;br /&gt;Inflicts the &lt;b&gt;Entangled&lt;/b&gt; status effect on a hit.</t>
  </si>
  <si>
    <t>Hammer and Chisel</t>
  </si>
  <si>
    <t>&lt;b&gt;Vandalise:&lt;/b&gt; 2 AP</t>
  </si>
  <si>
    <t>Hands</t>
  </si>
  <si>
    <t>Handy</t>
  </si>
  <si>
    <t>Terrain interactions cost 1 AP less.</t>
  </si>
  <si>
    <t>Horns</t>
  </si>
  <si>
    <t>&lt;b&gt;Charge!:&lt;/b&gt; 2 AP</t>
  </si>
  <si>
    <t>&lt;b&gt; Shove:&lt;/b&gt;  1 AP + fleshT</t>
  </si>
  <si>
    <t>&lt;b&gt;Damage = 2, Close&lt;/b&gt;
&lt;br /&gt;On a hit, the target is pushed back hexes equal to your &lt;span style="color:#e74c3c"&gt;&lt;strong&gt;Flesh&lt;/strong&gt;&lt;/span&gt;.</t>
  </si>
  <si>
    <t>Hungering Hand</t>
  </si>
  <si>
    <t>&lt;b&gt;Bite:&lt;/b&gt; 2 AP</t>
  </si>
  <si>
    <t>&lt;b&gt;Phage:&lt;/b&gt; 2 AP</t>
  </si>
  <si>
    <t>&lt;b&gt;Damage = 7, Ranged&lt;/b&gt;
&lt;br /&gt;Throw this limb at your target as part of the attack, regardless of attack outcome, they now have Hungering Hand equipped .</t>
  </si>
  <si>
    <t>Lanceflower Bloom</t>
  </si>
  <si>
    <t>&lt;b&gt;Impale:&lt;/b&gt; 2 AP</t>
  </si>
  <si>
    <t>&lt;b&gt;Damage = 4, Reach&lt;/b&gt;</t>
  </si>
  <si>
    <t>&lt;b&gt;Bloom:&lt;/b&gt;  WeirdT</t>
  </si>
  <si>
    <t>Completely ignore damage from falling.</t>
  </si>
  <si>
    <t>Lithium Geode</t>
  </si>
  <si>
    <t>ChargeBIGchargebigchargebig</t>
  </si>
  <si>
    <t>&lt;b&gt;Splinter Trail:&lt;/b&gt; 1 AP + (chargeT or weirdT)</t>
  </si>
  <si>
    <t>For the rest of your turn, leave a conductive trail behind in any hex you move out of.</t>
  </si>
  <si>
    <t>&lt;b&gt;Electrify:&lt;/b&gt; 2 AP</t>
  </si>
  <si>
    <t>Locked Scream Mouth</t>
  </si>
  <si>
    <t>&lt;b&gt;Headbutt:&lt;/b&gt; 2 AP</t>
  </si>
  <si>
    <t>&lt;b&gt;&lt;i&gt;Release&lt;/i&gt;&lt;/b&gt;</t>
  </si>
  <si>
    <t>When you hit with this limb, you may spend flesht as though it were weirdt until the end of your turn.</t>
  </si>
  <si>
    <t>Mandibles</t>
  </si>
  <si>
    <t>&lt;b&gt;Gnaw:&lt;/b&gt; 1 AP</t>
  </si>
  <si>
    <t>&lt;b&gt;Damage = 1, Close&lt;/b&gt;
&lt;br /&gt;This attack always hits, do not roll.</t>
  </si>
  <si>
    <t>&lt;b&gt;&lt;i&gt;Snack&lt;/i&gt;&lt;/b&gt;</t>
  </si>
  <si>
    <t>Mantid Scythe</t>
  </si>
  <si>
    <t>&lt;b&gt;Nasty Stab:&lt;/b&gt; 3 AP</t>
  </si>
  <si>
    <t>Monolith of Pain</t>
  </si>
  <si>
    <t>&lt;b&gt;Salt the Wound:&lt;/b&gt; weirdT</t>
  </si>
  <si>
    <t>Whenever an adjacent creature takes a wound, you may activate this and inflict the &lt;b&gt;Stunned&lt;/b&gt; status effect on them.</t>
  </si>
  <si>
    <t>&lt;b&gt;&lt;i&gt;Fuelled by Pain&lt;/i&gt;&lt;/b&gt;</t>
  </si>
  <si>
    <t>Whenever you suffer a wound, gain the &lt;b&gt;Well Rested&lt;/b&gt; status effect.</t>
  </si>
  <si>
    <t>Moonstone</t>
  </si>
  <si>
    <t>&lt;b&gt;Crush:&lt;/b&gt; 3 AP</t>
  </si>
  <si>
    <t>&lt;b&gt;Reverberate:&lt;/b&gt; 1 AP or weirdT</t>
  </si>
  <si>
    <t>You and any number of target allies gain the &lt;b&gt;Monstrous&lt;/b&gt; status effect.</t>
  </si>
  <si>
    <t>Needle Mouthed</t>
  </si>
  <si>
    <t>&lt;b&gt;Nip:&lt;/b&gt; 2 AP</t>
  </si>
  <si>
    <t>&lt;b&gt;&lt;i&gt;Precise&lt;/b&gt;&lt;/i&gt;</t>
  </si>
  <si>
    <t>Wounds inflicted by this limb's attacks always target the stat of your choice.</t>
  </si>
  <si>
    <t>&lt;b&gt;Strike:&lt;/b&gt; +1 damage.</t>
  </si>
  <si>
    <t>Noxious Trunk</t>
  </si>
  <si>
    <t>&lt;b&gt;Corrosive Spit:&lt;/b&gt; 2 AP + weirdT</t>
  </si>
  <si>
    <t>Oversized Claw</t>
  </si>
  <si>
    <t>&lt;b&gt;Snap:&lt;/b&gt; 3 AP + &lt;b&gt;Exhaust&lt;/b&gt;</t>
  </si>
  <si>
    <t>&lt;b&gt;Damage = 7, Reach&lt;/b&gt;</t>
  </si>
  <si>
    <t>Painted Slab</t>
  </si>
  <si>
    <t>&lt;b&gt;Slam:&lt;/b&gt; 4 AP</t>
  </si>
  <si>
    <t>&lt;b&gt;Wall of Splendour:&lt;/b&gt; 1 AP</t>
  </si>
  <si>
    <t>Place the slab down on an adjacent hex. It extends straight on each side to become a three hex wall, if there is space. This wall blocks vision and is indestructible.</t>
  </si>
  <si>
    <t>&lt;b&gt;Reclaim:&lt;/b&gt; 3 AP or fleshtfleshtfleshT</t>
  </si>
  <si>
    <t>Pick up a deployed painted slab, any adjacent being can do this.</t>
  </si>
  <si>
    <t>Pincer Grips</t>
  </si>
  <si>
    <t>&lt;b&gt;Damage = &lt;span style="color:#e74c3c"&gt;Flesh&lt;/span&gt;, Close&lt;/b&gt;</t>
  </si>
  <si>
    <t>&lt;b&gt;Restrain:&lt;/b&gt; Inflict the &lt;b&gt;Entangled&lt;/b&gt; status effect.</t>
  </si>
  <si>
    <t>Projectile Spines</t>
  </si>
  <si>
    <t>&lt;b&gt;Volley:&lt;/b&gt; 2 AP</t>
  </si>
  <si>
    <t>Puffballs</t>
  </si>
  <si>
    <t>&lt;b&gt;Plant Puffball:&lt;/b&gt; 1 AP + (chargeT or  weirdT)</t>
  </si>
  <si>
    <t>Place a puffball on an adjacent hex.</t>
  </si>
  <si>
    <t>&lt;b&gt;Pop: Exhaust&lt;/b&gt;</t>
  </si>
  <si>
    <t>Burst one target puffball or all puffballs on the map. Adjacent beings take 5 damage and terrain is destroyed, including walls.</t>
  </si>
  <si>
    <t>Pulsing Heartstone</t>
  </si>
  <si>
    <t>Place a 1 hex sized heartstone on an adjacent hex. It will break if it takes damage.</t>
  </si>
  <si>
    <t>&lt;b&gt;&lt;i&gt;Living Rhythm&lt;/i&gt;&lt;/b&gt;</t>
  </si>
  <si>
    <t>At the end of your turn, if there is at least one crystal on the map, you gain up to 3 temporary composure at the end of your turn.</t>
  </si>
  <si>
    <t>Quartz Seed</t>
  </si>
  <si>
    <t>&lt;b&gt;Sprout Spire:&lt;/b&gt; 2 AP + (weirdt or charget)</t>
  </si>
  <si>
    <t>Place a &lt;b&gt;crystal spire&lt;/b&gt; on an adjacent hex, it has a two hex radius aura, blocks line of sight, and is &lt;b&gt;destructible&lt;/b&gt;.
&lt;br /&gt;Whiskey_Xplo</t>
  </si>
  <si>
    <t>Other beings that start their turn inside a &lt;b&gt;crystal spire&lt;/b&gt; aura or enter it take 3 damage.</t>
  </si>
  <si>
    <t>Shovelling Talons</t>
  </si>
  <si>
    <t>&lt;b&gt;Thump:&lt;/b&gt; 2 AP</t>
  </si>
  <si>
    <t>&lt;b&gt;Dig:&lt;/b&gt; 1 AP or fleshT</t>
  </si>
  <si>
    <t>Clear an adjacent hex of any terrain. This can cause beings to fall if they were on top of it.</t>
  </si>
  <si>
    <t>Sinuous Lash</t>
  </si>
  <si>
    <t>&lt;b&gt;Yoink:&lt;/b&gt; 1 AP</t>
  </si>
  <si>
    <t>&lt;b&gt;Damage = 0, Ranged&lt;/b&gt;
&lt;br /&gt;Pull the target to an adjacent hex on a hit</t>
  </si>
  <si>
    <t>&lt;b&gt;Entangle:&lt;/b&gt; Inflict the &lt;b&gt;Entangled&lt;/b&gt; status effect.</t>
  </si>
  <si>
    <t>Slime Spitter</t>
  </si>
  <si>
    <t>&lt;b&gt;Glob: 2 AP</t>
  </si>
  <si>
    <t>&lt;b&gt;Damage = 2, Ranged&lt;/b&gt;
&lt;br /&gt;Inflicts the &lt;b&gt;Entangled&lt;/b&gt; status effect on a hit.</t>
  </si>
  <si>
    <t>Sneak Spurs</t>
  </si>
  <si>
    <t>&lt;b&gt;Ping!:&lt;/b&gt; 1 AP</t>
  </si>
  <si>
    <t>Spore Coat</t>
  </si>
  <si>
    <t>Whenever you take damage, deal 1 damage to all adjacent beings. This damage can’t be reduced.</t>
  </si>
  <si>
    <t>&lt;b&gt;Sponge:&lt;/b&gt; fleshTfleshT, &lt;b&gt;Exhausted&lt;/b&gt;</t>
  </si>
  <si>
    <t>Restore your composure.</t>
  </si>
  <si>
    <t>Stalagmite</t>
  </si>
  <si>
    <t>&lt;b&gt;Prod:&lt;/b&gt; 2 AP</t>
  </si>
  <si>
    <t>&lt;b&gt;Damage = 4, Reach&lt;/b&gt;
&lt;br /&gt;This can only target non-adjacent beings.</t>
  </si>
  <si>
    <t>Steam Vent</t>
  </si>
  <si>
    <t>&lt;b&gt;Geyser:&lt;/b&gt; 2 AP</t>
  </si>
  <si>
    <t>&lt;b&gt;Damage = 2, Reach&lt;/b&gt;
&lt;br /&gt;On a hit, remove all &lt;b&gt;temporary composure&lt;/b&gt; from the target before dealing damage.</t>
  </si>
  <si>
    <t>Stone-Swivel Hinge</t>
  </si>
  <si>
    <t>&lt;b&gt;Smash:&lt;/b&gt; 3 AP + comptcompt</t>
  </si>
  <si>
    <t>&lt;b&gt;Exalt:&lt;/b&gt; Refresh your composure</t>
  </si>
  <si>
    <t>Swarm of Eyes</t>
  </si>
  <si>
    <t>&lt;b&gt;Squint:&lt;/b&gt; 2 AP or (weirdT + 1 AP)</t>
  </si>
  <si>
    <t>Thermal Funnel</t>
  </si>
  <si>
    <t>&lt;b&gt;Flameball:&lt;/b&gt; 3 AP</t>
  </si>
  <si>
    <t>&lt;b&gt;Damage = 5, Ranged&lt;/b&gt;
&lt;br /&gt;On a hit, inflict the &lt;b&gt;burning&lt;/b&gt; status effect.
&lt;br /&gt;On a miss, inflict the &lt;b&gt;burning&lt;/b&gt; status effect on you.</t>
  </si>
  <si>
    <t>Torsion Ribs</t>
  </si>
  <si>
    <t>&lt;b&gt;Winch:&lt;/b&gt; 1 AP</t>
  </si>
  <si>
    <t>&lt;b&gt;Release:&lt;/b&gt; 5 x chargeT</t>
  </si>
  <si>
    <t>Automatically activates upon reaching 5 charget.
&lt;br /&gt;Deal 8 damage to all beings in a straight line from you. No attack roll required.</t>
  </si>
  <si>
    <t>Twitching Talons</t>
  </si>
  <si>
    <t>&lt;b&gt;Scour:&lt;/b&gt; 2 AP</t>
  </si>
  <si>
    <t>&lt;b&gt;&lt;i&gt;Snatch&lt;/i&gt;&lt;/b&gt;</t>
  </si>
  <si>
    <t>Whenever a being leaves your attack range, you may spend jazzT to make an attack with any limb against them. If the attack would cost 3 or more AP, &lt;b&gt;Exhaust&lt;/b&gt;.</t>
  </si>
  <si>
    <t>Venomous Tail</t>
  </si>
  <si>
    <t>&lt;b&gt;Lance:&lt;/b&gt; 2 AP</t>
  </si>
  <si>
    <t>&lt;b&gt;Jab:&lt;/b&gt; jazzt</t>
  </si>
  <si>
    <t>Use the Lance attack on a being that has entered your attack range for the first time on their turn.</t>
  </si>
  <si>
    <t>&lt;b&gt;Venom: &lt;/b&gt;Inflict the &lt;b&gt;Stunned&lt;/b&gt; status effect.</t>
  </si>
  <si>
    <t>Willow Parasite</t>
  </si>
  <si>
    <t>&lt;b&gt;Lash Out:&lt;/b&gt; 2 AP</t>
  </si>
  <si>
    <t>&lt;b&gt;Summon Saplings:&lt;/b&gt; weirdtweirdT</t>
  </si>
  <si>
    <t>Withered Hand</t>
  </si>
  <si>
    <t>&lt;b&gt;Anhedonia:&lt;/b&gt; 3 AP</t>
  </si>
  <si>
    <t>&lt;b&gt;Damage = 5, Close&lt;/b&gt;
&lt;br /&gt;Inflict the &lt;b&gt;Exhausted&lt;/b&gt; status effect on a hit.</t>
  </si>
  <si>
    <t>If you have no impressions face up at the end of your turn, refresh a stat token and gain &lt;b&gt;Monstrous&lt;b&gt;.</t>
  </si>
  <si>
    <t>Turn one of your impressions face down to inflict the &lt;b&gt;Stunned&lt;/b&gt; status on a target.</t>
  </si>
  <si>
    <t>If you are &lt;b&gt;Monstrous&lt;/b&gt;, gain 1 extra AP at the start of your turn.</t>
  </si>
  <si>
    <t>Your attacks have the Crit option:
&lt;br /&gt;&lt;b&gt;Howl: &lt;/b&gt;Gain &lt;b&gt;Monstrous&lt;/b&gt;.</t>
  </si>
  <si>
    <t>Declare a permanent front hex and back hex for your character token. 
&lt;br /&gt;You may attack using either hex.
&lt;br /&gt;You move with your front hex. When you stop moving, place your back hex in any adjacent hex.</t>
  </si>
  <si>
    <t>Increase you maximum composure by 1.</t>
  </si>
  <si>
    <t>Whenever you would deal damage, you may instead set that beings composure to 1.</t>
  </si>
  <si>
    <t>&lt;b&gt;Light Beam:&lt;/b&gt;  tempct</t>
  </si>
  <si>
    <t>Insectile</t>
  </si>
  <si>
    <t>&lt;b&gt;&lt;i&gt;Exoskeleton&lt;/i&gt;&lt;/b&gt;</t>
  </si>
  <si>
    <t>&lt;b&gt;Leap: &lt;/b&gt;4 x charget</t>
  </si>
  <si>
    <t>Whenever you take a move action, gain a charget.&lt;/br&gt;Maximum of 4 charges.</t>
  </si>
  <si>
    <t>Leap to target hex and gain &lt;b&gt;Monstrous.&lt;/b&gt;&lt;/br&gt;Your next melee attack this turn hits all targets in range.</t>
  </si>
  <si>
    <t>Flight Mode: Gain +2 move speed and ignore terrain effects this turn.&lt;/br&gt;Destruction Mode: All attacks deal 2 extra damage this turn.&lt;/br&gt;Recharge Mode: Refresh a spent token or charget.&lt;/br&gt;Overdrive: Remove all counters from this and gain up to two tempct for each removed.</t>
  </si>
  <si>
    <t>At the start of your turn, put a counter on an empty mode, then gain up to tempcttempct and use that effect.</t>
  </si>
  <si>
    <t>&lt;b&gt;Modes&lt;/b&gt;</t>
  </si>
  <si>
    <t>&lt;b&gt;Chilling Presence:&lt;/b&gt; jazzT</t>
  </si>
  <si>
    <t>At the start of your turn, gain 1 temporary composure for each infected being, including you.</t>
  </si>
  <si>
    <t>&lt;b&gt;Regenerative:&lt;/b&gt; 1 AP</t>
  </si>
  <si>
    <t>At the start of your first turn, draw an impression and equip it over creative.
&lt;br /&gt;At the end of your each turn, you &lt;b&gt;may&lt;/b&gt; spend weirdt and discard that impression to draw and equip a new impression over creative.</t>
  </si>
  <si>
    <t>Your attacks have the Crit Option &lt;br /&gt;&lt;b&gt;Dash:&lt;/b&gt; Take a move action.</t>
  </si>
  <si>
    <t>Ignore damage from a source that wouldn't wound you.</t>
  </si>
  <si>
    <t>&lt;b&gt;Ignore Pain:&lt;/b&gt; FleshT</t>
  </si>
  <si>
    <t>When you take the &lt;b&gt;chill out&lt;/b&gt; action, also gain up to tempcttempct.</t>
  </si>
  <si>
    <t>Your attacks have the Crit option
&lt;br /&gt;&lt;b&gt;Rally:&lt;/b&gt; You and one ally gain up to tempcttempct</t>
  </si>
  <si>
    <t>&lt;b&gt;Bullying&lt;/b&gt;</t>
  </si>
  <si>
    <t>You and any number of target allies gain up to 3 tempct.</t>
  </si>
  <si>
    <t>You are unnaffected by darkness</t>
  </si>
  <si>
    <t>If there are 3 sigils, deal a random wound to all other creatures within the triangle of sigils (edges count). Heal a wound of your choice.</t>
  </si>
  <si>
    <t>Whenever you spend weirdt, gain up to tempcttempct.</t>
  </si>
  <si>
    <t>A target gains up to 4 tempct and the &lt;b&gt;Entangled&lt;/b&gt; status.</t>
  </si>
  <si>
    <t>Whenever you spend weirdt, deal 1 &lt;b&gt;true damage&lt;/b&gt; to any target. This damage cannot be reduced.</t>
  </si>
  <si>
    <t>&lt;b&gt;Damage = 1 &lt;b&gt;true damage&lt;/b&gt;, Reach&lt;/b&gt;
&lt;br /&gt;</t>
  </si>
  <si>
    <t>&lt;b&gt;Smash:&lt;/b&gt; 2 AP + 3 compt</t>
  </si>
  <si>
    <t>&lt;b&gt;Damage = 2, Reach&lt;/b&gt;</t>
  </si>
  <si>
    <t xml:space="preserve"> Has the &lt;b&gt;Brutal Strike:&lt;/b&gt; +2 damage crit option against targets that are already &lt;b&gt;Burning&lt;/b&gt;.</t>
  </si>
  <si>
    <t>&lt;b&gt;&lt;i&gt;Flame Devourer&lt;/b&gt;&lt;/i&gt;</t>
  </si>
  <si>
    <t>Inflict the &lt;b&gt;Entangled&lt;/b&gt; status effect on target being.</t>
  </si>
  <si>
    <t>You have + 1 speed and effects from terrain or abilities cannot reduce your speed.</t>
  </si>
  <si>
    <t>&lt;b&gt;&lt;i&gt;Fleet&lt;/b&gt;&lt;/i&gt;</t>
  </si>
  <si>
    <t>&lt;b&gt;Miasma:&lt;/b&gt; 2 AP + charget</t>
  </si>
  <si>
    <t>At the start of your turn, each cloud grows by one hex in all directions.</t>
  </si>
  <si>
    <t>&lt;b&gt;Damage = 2 &lt;b&gt;true damage&lt;/b&gt;, Ranged&lt;/b&gt;</t>
  </si>
  <si>
    <t>chargebigchargebigchargebig</t>
  </si>
  <si>
    <t>&lt;b&gt;Rummage:&lt;/b&gt; 2 AP + fleshT</t>
  </si>
  <si>
    <t>&lt;b&gt;&lt;i&gt;Ungrown&lt;/b&gt;&lt;/i&gt;</t>
  </si>
  <si>
    <t>This limb starts with no charges.</t>
  </si>
  <si>
    <t>Gemstone Shards</t>
  </si>
  <si>
    <t>&lt;b&gt;Damage = 4, Close&lt;/b&gt;
&lt;br /&gt;On a hit, you may destroy this card to destroy any equipped Limb or Impression from the target.</t>
  </si>
  <si>
    <t>&lt;b&gt;Damage = hexes moved, Close&lt;/b&gt;
&lt;br /&gt;Charge any number of hexes in a straight line as part of making the attack. Hits all marked hexes.
&lt;br /&gt; hornshexes</t>
  </si>
  <si>
    <t>Electrify an adjacent hex and all connected conductive hexes. All beings electrified take 3 &lt;b&gt;true damage.&lt;/b&gt;</t>
  </si>
  <si>
    <t>Damage = 3, Close&lt;/b&gt;</t>
  </si>
  <si>
    <t>&lt;b&gt;Slap:&lt;/b&gt; 2 AP or 1 AP + jazztjazzt</t>
  </si>
  <si>
    <t>Whenever you inflict a wound with Mandibles, refresh a spent token of the same type as the wound.</t>
  </si>
  <si>
    <t>&lt;b&gt;True Strike:&lt;/b&gt; Attack deals &lt;b&gt;true damage&lt;/b&gt;.</t>
  </si>
  <si>
    <t xml:space="preserve">&lt;b&gt;Damage = 4 true damage, Ranged&lt;/b&gt;
</t>
  </si>
  <si>
    <t>&lt;b&gt;Damage = 4, Ranged&lt;/b&gt;
&lt;br /&gt;You take &lt;b&gt;true damage&lt;/b&gt; when you use this attack, this damage cannot be reduced.</t>
  </si>
  <si>
    <t>Pustule</t>
  </si>
  <si>
    <t>ChargeBig</t>
  </si>
  <si>
    <t>&lt;b&gt;Burst:&lt;/b&gt; Destroy this card</t>
  </si>
  <si>
    <t>Deal 6 damage to all beings within 2 hexes, activate only after taking damage.</t>
  </si>
  <si>
    <t xml:space="preserve"> </t>
  </si>
  <si>
    <t>&lt;b&gt;Dash:&lt;/b&gt; Take a move action for free.
&lt;br /&gt;&lt;b&gt;Brutal Strike:&lt;/b&gt; +2 damage. Use this only once per attack</t>
  </si>
  <si>
    <t>&lt;b&gt;Strike:&lt;/b&gt; +1 damage.&lt;br/&gt;&lt;b&gt;Impale: &lt;/b&gt;Move to a hex adjacent to the target and deal + 2 damage. Use this only once per attack</t>
  </si>
  <si>
    <t>Damage = 2 &lt;b&gt;true damage&lt;/b&gt;, Ranged&lt;/b&gt;</t>
  </si>
  <si>
    <t>Add chargeT to this card. Activate up to twice each turn.</t>
  </si>
  <si>
    <t>Weird Stone</t>
  </si>
  <si>
    <t>&lt;b&gt;Embed:&lt;/b&gt; weirdtweirdt or charget</t>
  </si>
  <si>
    <t>Place a 1 hex crystal on an adjacent hex. Is blocks line of sight and is &lt;b&gt;destructible&lt;/b&gt;.</t>
  </si>
  <si>
    <t>&lt;b&gt;&lt;i&gt;Disruption&lt;/b&gt;&lt;/i&gt;</t>
  </si>
  <si>
    <t>While the crystal is in play, any being that spends weirdT takes 2 damage.</t>
  </si>
  <si>
    <t>Fill 3 target connected empty hexes with a willow tree which blocks movement and vision. Each hex is &lt;b&gt;destructible&lt;/b&gt;.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</si>
</sst>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sz val="11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B4C7DC"/>
        <bgColor rgb="FFB4C6E7"/>
      </patternFill>
    </fill>
    <fill>
      <patternFill patternType="solid">
        <fgColor rgb="FF808080"/>
        <bgColor rgb="FF969696"/>
      </patternFill>
    </fill>
    <fill>
      <patternFill patternType="solid">
        <fgColor rgb="FFEEEEEE"/>
        <bgColor rgb="FFFFFFFF"/>
      </patternFill>
    </fill>
    <fill>
      <patternFill patternType="solid">
        <fgColor rgb="FFFFFFA6"/>
        <bgColor rgb="FFFFE699"/>
      </patternFill>
    </fill>
    <fill>
      <patternFill patternType="solid">
        <fgColor rgb="FFFF0000"/>
        <bgColor rgb="FF993300"/>
      </patternFill>
    </fill>
    <fill>
      <patternFill patternType="solid">
        <fgColor theme="3" tint="0.49977111117893003"/>
        <bgColor rgb="FF3366FF"/>
      </patternFill>
    </fill>
    <fill>
      <patternFill patternType="solid">
        <fgColor theme="9" tint="0.39979247413556324"/>
        <bgColor rgb="FFC6E0B4"/>
      </patternFill>
    </fill>
    <fill>
      <patternFill patternType="solid">
        <fgColor rgb="FFFFA6A6"/>
        <bgColor rgb="FFF6B0DD"/>
      </patternFill>
    </fill>
    <fill>
      <patternFill patternType="solid">
        <fgColor theme="0"/>
        <bgColor rgb="FFEEEEEE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top" wrapText="1" readingOrder="1"/>
    </xf>
    <xf numFmtId="0" fontId="0" fillId="5" borderId="2" xfId="0" applyFill="1" applyBorder="1" applyAlignment="1">
      <alignment horizontal="left" vertical="top" wrapText="1" readingOrder="1"/>
    </xf>
    <xf numFmtId="0" fontId="0" fillId="0" borderId="2" xfId="0" applyBorder="1" applyAlignment="1">
      <alignment horizontal="left" vertical="top" wrapText="1" readingOrder="1"/>
    </xf>
    <xf numFmtId="0" fontId="0" fillId="3" borderId="2" xfId="0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6" borderId="2" xfId="0" applyFill="1" applyBorder="1" applyAlignment="1">
      <alignment horizontal="left" vertical="top" wrapText="1" readingOrder="1"/>
    </xf>
    <xf numFmtId="0" fontId="0" fillId="7" borderId="2" xfId="0" applyFill="1" applyBorder="1" applyAlignment="1">
      <alignment horizontal="left" vertical="top" wrapText="1" readingOrder="1"/>
    </xf>
    <xf numFmtId="0" fontId="0" fillId="8" borderId="2" xfId="0" applyFill="1" applyBorder="1" applyAlignment="1">
      <alignment horizontal="left" vertical="top" wrapText="1" readingOrder="1"/>
    </xf>
    <xf numFmtId="0" fontId="0" fillId="3" borderId="2" xfId="0" applyFill="1" applyBorder="1" applyAlignment="1">
      <alignment horizontal="left" vertical="top" wrapText="1" readingOrder="1"/>
    </xf>
    <xf numFmtId="0" fontId="0" fillId="3" borderId="3" xfId="0" applyFill="1" applyBorder="1" applyAlignment="1">
      <alignment horizontal="left" vertical="top" wrapText="1" readingOrder="1"/>
    </xf>
    <xf numFmtId="0" fontId="0" fillId="9" borderId="2" xfId="0" applyFill="1" applyBorder="1" applyAlignment="1">
      <alignment horizontal="left" vertical="top" wrapText="1" readingOrder="1"/>
    </xf>
    <xf numFmtId="0" fontId="0" fillId="9" borderId="2" xfId="0" applyFill="1" applyBorder="1" applyAlignment="1">
      <alignment horizontal="left" vertical="top" wrapText="1"/>
    </xf>
    <xf numFmtId="0" fontId="0" fillId="10" borderId="2" xfId="0" applyFill="1" applyBorder="1" applyAlignment="1">
      <alignment horizontal="left" vertical="top" wrapText="1" readingOrder="1"/>
    </xf>
    <xf numFmtId="0" fontId="0" fillId="0" borderId="0" xfId="0" applyAlignment="1">
      <alignment horizontal="left" vertical="top" wrapText="1" readingOrder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 readingOrder="1"/>
    </xf>
    <xf numFmtId="0" fontId="0" fillId="0" borderId="4" xfId="0" applyBorder="1" applyAlignment="1">
      <alignment horizontal="left" vertical="top" wrapText="1"/>
    </xf>
  </cellXfs>
  <cellStyles count="1">
    <cellStyle name="Normal" xfId="0" builtinId="0"/>
  </cellStyles>
  <dxfs count="15">
    <dxf>
      <fill>
        <patternFill>
          <bgColor rgb="FFB4C6E7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6B0DD"/>
        </patternFill>
      </fill>
    </dxf>
    <dxf>
      <fill>
        <patternFill>
          <bgColor rgb="FFB4C6E7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6B0DD"/>
        </patternFill>
      </fill>
    </dxf>
    <dxf>
      <fill>
        <patternFill>
          <bgColor rgb="FFB4C6E7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6B0D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EEEEEE"/>
      <rgbColor rgb="FFFFE699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A6"/>
      <rgbColor rgb="FF99CCFF"/>
      <rgbColor rgb="FFFFA6A6"/>
      <rgbColor rgb="FFF6B0DD"/>
      <rgbColor rgb="FFF8CBAD"/>
      <rgbColor rgb="FF3366FF"/>
      <rgbColor rgb="FF33CCCC"/>
      <rgbColor rgb="FF8ED973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8"/>
  <sheetViews>
    <sheetView tabSelected="1" zoomScaleNormal="100" workbookViewId="0">
      <pane xSplit="2" ySplit="1" topLeftCell="C96" activePane="bottomRight" state="frozen"/>
      <selection pane="topRight" activeCell="M1" sqref="M1"/>
      <selection pane="bottomLeft" activeCell="A21" sqref="A21"/>
      <selection pane="bottomRight" activeCell="N102" sqref="N102"/>
    </sheetView>
  </sheetViews>
  <sheetFormatPr defaultColWidth="8.5703125" defaultRowHeight="15" customHeight="1" x14ac:dyDescent="0.25"/>
  <cols>
    <col min="1" max="2" width="11" customWidth="1"/>
    <col min="3" max="3" width="10" customWidth="1"/>
    <col min="4" max="4" width="17.140625" customWidth="1"/>
    <col min="5" max="5" width="1.42578125" customWidth="1"/>
    <col min="6" max="6" width="4.28515625" customWidth="1"/>
    <col min="7" max="7" width="8.28515625" customWidth="1"/>
    <col min="8" max="8" width="33" customWidth="1"/>
    <col min="9" max="9" width="42.42578125" customWidth="1"/>
    <col min="10" max="10" width="1.42578125" customWidth="1"/>
    <col min="11" max="11" width="6.85546875" customWidth="1"/>
    <col min="12" max="12" width="14.85546875" customWidth="1"/>
    <col min="13" max="13" width="31.7109375" customWidth="1"/>
    <col min="14" max="14" width="37.85546875" style="1" customWidth="1"/>
    <col min="15" max="15" width="1.42578125" customWidth="1"/>
    <col min="16" max="16" width="6.5703125" customWidth="1"/>
    <col min="17" max="17" width="8.42578125" customWidth="1"/>
    <col min="18" max="18" width="25.5703125" customWidth="1"/>
    <col min="19" max="19" width="35.140625" customWidth="1"/>
    <col min="20" max="20" width="1.42578125" customWidth="1"/>
    <col min="21" max="21" width="10" customWidth="1"/>
    <col min="22" max="22" width="38" customWidth="1"/>
    <col min="25" max="32" width="10.5703125" customWidth="1"/>
  </cols>
  <sheetData>
    <row r="1" spans="1:34" ht="35.25" customHeight="1" x14ac:dyDescent="0.25">
      <c r="A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5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pans="1:34" ht="69.95" customHeight="1" x14ac:dyDescent="0.25">
      <c r="A2">
        <v>1</v>
      </c>
      <c r="B2" s="6" t="s">
        <v>34</v>
      </c>
      <c r="C2" s="7" t="s">
        <v>35</v>
      </c>
      <c r="D2" s="8"/>
      <c r="E2" s="9"/>
      <c r="F2" s="8">
        <v>1</v>
      </c>
      <c r="G2" s="10" t="s">
        <v>36</v>
      </c>
      <c r="H2" s="10" t="s">
        <v>37</v>
      </c>
      <c r="I2" s="10" t="s">
        <v>38</v>
      </c>
      <c r="J2" s="9"/>
      <c r="K2" s="8">
        <v>4</v>
      </c>
      <c r="L2" s="10" t="s">
        <v>39</v>
      </c>
      <c r="M2" s="10" t="s">
        <v>40</v>
      </c>
      <c r="N2" s="8" t="s">
        <v>527</v>
      </c>
      <c r="O2" s="11"/>
      <c r="P2" s="8">
        <v>8</v>
      </c>
      <c r="Q2" s="8" t="s">
        <v>36</v>
      </c>
      <c r="R2" s="10" t="s">
        <v>41</v>
      </c>
      <c r="S2" s="8" t="s">
        <v>526</v>
      </c>
      <c r="T2" s="9"/>
      <c r="U2" s="8">
        <v>26</v>
      </c>
      <c r="V2" s="8">
        <v>4.4000000000000004</v>
      </c>
      <c r="W2" s="8">
        <v>3</v>
      </c>
      <c r="X2" s="8">
        <v>-1.1000000000000001</v>
      </c>
      <c r="Y2" s="8">
        <v>-6</v>
      </c>
      <c r="Z2" s="8">
        <f t="shared" ref="Z2" si="0">AB2+Y$2</f>
        <v>20</v>
      </c>
      <c r="AA2" s="8">
        <f t="shared" ref="AA2" si="1">Z2+X$2</f>
        <v>18.899999999999999</v>
      </c>
      <c r="AB2" s="8">
        <f t="shared" ref="AB2" si="2">U$2+V$2*(F2-1)</f>
        <v>26</v>
      </c>
      <c r="AC2" s="8">
        <f t="shared" ref="AC2" si="3">AE2+Y$2</f>
        <v>36.200000000000003</v>
      </c>
      <c r="AD2" s="8">
        <f t="shared" ref="AD2" si="4">AC2+X$2</f>
        <v>35.1</v>
      </c>
      <c r="AE2" s="8">
        <f t="shared" ref="AE2" si="5">U$2+V$2*(K2-1)+W$2</f>
        <v>42.2</v>
      </c>
      <c r="AF2" s="8">
        <f t="shared" ref="AF2" si="6">AH2+Y$2</f>
        <v>56.800000000000004</v>
      </c>
      <c r="AG2" s="8">
        <f t="shared" ref="AG2" si="7">AF2+X$2</f>
        <v>55.7</v>
      </c>
      <c r="AH2" s="10">
        <f t="shared" ref="AH2" si="8">U$2+V$2*(P2-1)+2*W$2</f>
        <v>62.800000000000004</v>
      </c>
    </row>
    <row r="3" spans="1:34" ht="45" x14ac:dyDescent="0.25">
      <c r="B3" s="6" t="s">
        <v>42</v>
      </c>
      <c r="C3" s="7" t="s">
        <v>35</v>
      </c>
      <c r="D3" s="8"/>
      <c r="E3" s="9"/>
      <c r="F3" s="8">
        <v>1</v>
      </c>
      <c r="G3" s="10" t="s">
        <v>36</v>
      </c>
      <c r="H3" s="10" t="s">
        <v>43</v>
      </c>
      <c r="I3" s="10" t="s">
        <v>44</v>
      </c>
      <c r="J3" s="9"/>
      <c r="K3" s="8">
        <v>4</v>
      </c>
      <c r="L3" s="10" t="s">
        <v>36</v>
      </c>
      <c r="M3" s="10" t="s">
        <v>45</v>
      </c>
      <c r="N3" s="8" t="s">
        <v>528</v>
      </c>
      <c r="O3" s="11"/>
      <c r="P3" s="8">
        <v>7</v>
      </c>
      <c r="Q3" s="10" t="s">
        <v>36</v>
      </c>
      <c r="R3" s="10" t="s">
        <v>46</v>
      </c>
      <c r="S3" s="8" t="s">
        <v>529</v>
      </c>
      <c r="T3" s="9"/>
      <c r="U3" s="8"/>
      <c r="V3" s="8"/>
      <c r="W3" s="8"/>
      <c r="X3" s="8"/>
      <c r="Y3" s="8"/>
      <c r="Z3" s="8">
        <f t="shared" ref="Z3:Z66" si="9">AB3+Y$2</f>
        <v>20</v>
      </c>
      <c r="AA3" s="8">
        <f t="shared" ref="AA3:AA66" si="10">Z3+X$2</f>
        <v>18.899999999999999</v>
      </c>
      <c r="AB3" s="8">
        <f t="shared" ref="AB3:AB66" si="11">U$2+V$2*(F3-1)</f>
        <v>26</v>
      </c>
      <c r="AC3" s="8">
        <f t="shared" ref="AC3:AC66" si="12">AE3+Y$2</f>
        <v>36.200000000000003</v>
      </c>
      <c r="AD3" s="8">
        <f t="shared" ref="AD3:AD66" si="13">AC3+X$2</f>
        <v>35.1</v>
      </c>
      <c r="AE3" s="8">
        <f t="shared" ref="AE3:AE66" si="14">U$2+V$2*(K3-1)+W$2</f>
        <v>42.2</v>
      </c>
      <c r="AF3" s="8">
        <f t="shared" ref="AF3:AF66" si="15">AH3+Y$2</f>
        <v>52.400000000000006</v>
      </c>
      <c r="AG3" s="8">
        <f t="shared" ref="AG3:AG66" si="16">AF3+X$2</f>
        <v>51.300000000000004</v>
      </c>
      <c r="AH3" s="10">
        <f t="shared" ref="AH3:AH66" si="17">U$2+V$2*(P3-1)+2*W$2</f>
        <v>58.400000000000006</v>
      </c>
    </row>
    <row r="4" spans="1:34" ht="90" x14ac:dyDescent="0.25">
      <c r="B4" s="6" t="s">
        <v>47</v>
      </c>
      <c r="C4" s="7" t="s">
        <v>35</v>
      </c>
      <c r="D4" s="8" t="s">
        <v>48</v>
      </c>
      <c r="E4" s="9"/>
      <c r="F4" s="8">
        <v>1</v>
      </c>
      <c r="G4" s="10" t="s">
        <v>36</v>
      </c>
      <c r="H4" s="10" t="s">
        <v>49</v>
      </c>
      <c r="I4" s="10" t="s">
        <v>50</v>
      </c>
      <c r="J4" s="9"/>
      <c r="K4" s="8">
        <v>3</v>
      </c>
      <c r="L4" s="10" t="s">
        <v>36</v>
      </c>
      <c r="M4" s="10" t="s">
        <v>51</v>
      </c>
      <c r="N4" s="10" t="s">
        <v>530</v>
      </c>
      <c r="O4" s="11"/>
      <c r="P4" s="8">
        <v>10</v>
      </c>
      <c r="Q4" s="10" t="s">
        <v>36</v>
      </c>
      <c r="R4" s="10" t="s">
        <v>52</v>
      </c>
      <c r="S4" s="8" t="s">
        <v>53</v>
      </c>
      <c r="T4" s="9"/>
      <c r="U4" s="8"/>
      <c r="V4" s="12" t="s">
        <v>54</v>
      </c>
      <c r="W4" s="8"/>
      <c r="X4" s="8"/>
      <c r="Y4" s="8"/>
      <c r="Z4" s="8">
        <f t="shared" si="9"/>
        <v>20</v>
      </c>
      <c r="AA4" s="8">
        <f t="shared" si="10"/>
        <v>18.899999999999999</v>
      </c>
      <c r="AB4" s="8">
        <f t="shared" si="11"/>
        <v>26</v>
      </c>
      <c r="AC4" s="8">
        <f t="shared" si="12"/>
        <v>31.799999999999997</v>
      </c>
      <c r="AD4" s="8">
        <f t="shared" si="13"/>
        <v>30.699999999999996</v>
      </c>
      <c r="AE4" s="8">
        <f t="shared" si="14"/>
        <v>37.799999999999997</v>
      </c>
      <c r="AF4" s="8">
        <f t="shared" si="15"/>
        <v>65.599999999999994</v>
      </c>
      <c r="AG4" s="8">
        <f t="shared" si="16"/>
        <v>64.5</v>
      </c>
      <c r="AH4" s="10">
        <f t="shared" si="17"/>
        <v>71.599999999999994</v>
      </c>
    </row>
    <row r="5" spans="1:34" ht="45" x14ac:dyDescent="0.25">
      <c r="B5" s="6" t="s">
        <v>55</v>
      </c>
      <c r="C5" s="7" t="s">
        <v>35</v>
      </c>
      <c r="D5" s="8" t="s">
        <v>56</v>
      </c>
      <c r="E5" s="9"/>
      <c r="F5" s="8">
        <v>1</v>
      </c>
      <c r="G5" s="10" t="s">
        <v>39</v>
      </c>
      <c r="H5" s="10" t="s">
        <v>57</v>
      </c>
      <c r="I5" s="10" t="s">
        <v>58</v>
      </c>
      <c r="J5" s="9"/>
      <c r="K5" s="8">
        <v>5</v>
      </c>
      <c r="L5" s="10" t="s">
        <v>36</v>
      </c>
      <c r="M5" s="10" t="s">
        <v>59</v>
      </c>
      <c r="N5" s="8" t="s">
        <v>60</v>
      </c>
      <c r="O5" s="11"/>
      <c r="P5" s="8"/>
      <c r="Q5" s="10"/>
      <c r="R5" s="10"/>
      <c r="S5" s="8"/>
      <c r="T5" s="9"/>
      <c r="U5" s="8"/>
      <c r="V5" s="13" t="s">
        <v>61</v>
      </c>
      <c r="W5" s="8"/>
      <c r="X5" s="8"/>
      <c r="Y5" s="8"/>
      <c r="Z5" s="8">
        <f t="shared" si="9"/>
        <v>20</v>
      </c>
      <c r="AA5" s="8">
        <f t="shared" si="10"/>
        <v>18.899999999999999</v>
      </c>
      <c r="AB5" s="8">
        <f t="shared" si="11"/>
        <v>26</v>
      </c>
      <c r="AC5" s="8">
        <f t="shared" si="12"/>
        <v>40.6</v>
      </c>
      <c r="AD5" s="8">
        <f t="shared" si="13"/>
        <v>39.5</v>
      </c>
      <c r="AE5" s="8">
        <f t="shared" si="14"/>
        <v>46.6</v>
      </c>
      <c r="AF5" s="8">
        <f t="shared" si="15"/>
        <v>21.6</v>
      </c>
      <c r="AG5" s="8">
        <f t="shared" si="16"/>
        <v>20.5</v>
      </c>
      <c r="AH5" s="10">
        <f t="shared" si="17"/>
        <v>27.6</v>
      </c>
    </row>
    <row r="6" spans="1:34" ht="45" x14ac:dyDescent="0.25">
      <c r="B6" s="6" t="s">
        <v>62</v>
      </c>
      <c r="C6" s="7" t="s">
        <v>35</v>
      </c>
      <c r="D6" s="8"/>
      <c r="E6" s="9"/>
      <c r="F6" s="8">
        <v>1</v>
      </c>
      <c r="G6" s="10" t="s">
        <v>36</v>
      </c>
      <c r="H6" s="10" t="s">
        <v>63</v>
      </c>
      <c r="I6" s="10" t="s">
        <v>531</v>
      </c>
      <c r="J6" s="9"/>
      <c r="K6" s="8">
        <v>4</v>
      </c>
      <c r="L6" s="10" t="s">
        <v>36</v>
      </c>
      <c r="M6" s="10" t="s">
        <v>64</v>
      </c>
      <c r="N6" s="8" t="s">
        <v>532</v>
      </c>
      <c r="O6" s="11"/>
      <c r="P6" s="8"/>
      <c r="Q6" s="10"/>
      <c r="R6" s="10"/>
      <c r="S6" s="8"/>
      <c r="T6" s="9"/>
      <c r="U6" s="8"/>
      <c r="V6" s="14" t="s">
        <v>65</v>
      </c>
      <c r="W6" s="8"/>
      <c r="X6" s="8"/>
      <c r="Y6" s="8"/>
      <c r="Z6" s="8">
        <f t="shared" si="9"/>
        <v>20</v>
      </c>
      <c r="AA6" s="8">
        <f t="shared" si="10"/>
        <v>18.899999999999999</v>
      </c>
      <c r="AB6" s="8">
        <f t="shared" si="11"/>
        <v>26</v>
      </c>
      <c r="AC6" s="8">
        <f t="shared" si="12"/>
        <v>36.200000000000003</v>
      </c>
      <c r="AD6" s="8">
        <f t="shared" si="13"/>
        <v>35.1</v>
      </c>
      <c r="AE6" s="8">
        <f t="shared" si="14"/>
        <v>42.2</v>
      </c>
      <c r="AF6" s="8">
        <f t="shared" si="15"/>
        <v>21.6</v>
      </c>
      <c r="AG6" s="8">
        <f t="shared" si="16"/>
        <v>20.5</v>
      </c>
      <c r="AH6" s="10">
        <f t="shared" si="17"/>
        <v>27.6</v>
      </c>
    </row>
    <row r="7" spans="1:34" ht="30" x14ac:dyDescent="0.25">
      <c r="A7">
        <v>1</v>
      </c>
      <c r="B7" s="6" t="s">
        <v>66</v>
      </c>
      <c r="C7" s="7" t="s">
        <v>35</v>
      </c>
      <c r="D7" s="8" t="s">
        <v>67</v>
      </c>
      <c r="E7" s="9"/>
      <c r="F7" s="8">
        <v>1</v>
      </c>
      <c r="G7" s="10" t="s">
        <v>36</v>
      </c>
      <c r="H7" s="10" t="s">
        <v>68</v>
      </c>
      <c r="I7" s="10" t="s">
        <v>69</v>
      </c>
      <c r="J7" s="9"/>
      <c r="K7" s="8">
        <v>4</v>
      </c>
      <c r="L7" s="10" t="s">
        <v>36</v>
      </c>
      <c r="M7" s="10" t="s">
        <v>70</v>
      </c>
      <c r="N7" s="8" t="s">
        <v>71</v>
      </c>
      <c r="O7" s="11"/>
      <c r="P7" s="8">
        <v>7</v>
      </c>
      <c r="Q7" s="10" t="s">
        <v>36</v>
      </c>
      <c r="R7" s="10" t="s">
        <v>72</v>
      </c>
      <c r="S7" s="8" t="s">
        <v>73</v>
      </c>
      <c r="T7" s="9"/>
      <c r="U7" s="8"/>
      <c r="V7" s="14"/>
      <c r="W7" s="8"/>
      <c r="X7" s="8"/>
      <c r="Y7" s="8"/>
      <c r="Z7" s="8">
        <f t="shared" si="9"/>
        <v>20</v>
      </c>
      <c r="AA7" s="8">
        <f t="shared" si="10"/>
        <v>18.899999999999999</v>
      </c>
      <c r="AB7" s="8">
        <f t="shared" si="11"/>
        <v>26</v>
      </c>
      <c r="AC7" s="8">
        <f t="shared" si="12"/>
        <v>36.200000000000003</v>
      </c>
      <c r="AD7" s="8">
        <f t="shared" si="13"/>
        <v>35.1</v>
      </c>
      <c r="AE7" s="8">
        <f t="shared" si="14"/>
        <v>42.2</v>
      </c>
      <c r="AF7" s="8">
        <f t="shared" si="15"/>
        <v>52.400000000000006</v>
      </c>
      <c r="AG7" s="8">
        <f t="shared" si="16"/>
        <v>51.300000000000004</v>
      </c>
      <c r="AH7" s="10">
        <f t="shared" si="17"/>
        <v>58.400000000000006</v>
      </c>
    </row>
    <row r="8" spans="1:34" ht="90" x14ac:dyDescent="0.25">
      <c r="B8" s="6" t="s">
        <v>74</v>
      </c>
      <c r="C8" s="7" t="s">
        <v>35</v>
      </c>
      <c r="D8" s="8"/>
      <c r="E8" s="9"/>
      <c r="F8" s="8">
        <v>1</v>
      </c>
      <c r="G8" s="10" t="s">
        <v>36</v>
      </c>
      <c r="H8" s="10" t="s">
        <v>75</v>
      </c>
      <c r="I8" s="10" t="s">
        <v>76</v>
      </c>
      <c r="J8" s="9"/>
      <c r="K8" s="8">
        <v>5</v>
      </c>
      <c r="L8" s="10" t="s">
        <v>39</v>
      </c>
      <c r="M8" s="10" t="s">
        <v>533</v>
      </c>
      <c r="N8" s="8" t="s">
        <v>77</v>
      </c>
      <c r="O8" s="11"/>
      <c r="P8" s="8"/>
      <c r="Q8" s="10"/>
      <c r="R8" s="10"/>
      <c r="S8" s="8"/>
      <c r="T8" s="9"/>
      <c r="U8" s="8"/>
      <c r="V8" s="8"/>
      <c r="W8" s="8"/>
      <c r="X8" s="8"/>
      <c r="Y8" s="8"/>
      <c r="Z8" s="8">
        <f t="shared" si="9"/>
        <v>20</v>
      </c>
      <c r="AA8" s="8">
        <f t="shared" si="10"/>
        <v>18.899999999999999</v>
      </c>
      <c r="AB8" s="8">
        <f t="shared" si="11"/>
        <v>26</v>
      </c>
      <c r="AC8" s="8">
        <f t="shared" si="12"/>
        <v>40.6</v>
      </c>
      <c r="AD8" s="8">
        <f t="shared" si="13"/>
        <v>39.5</v>
      </c>
      <c r="AE8" s="8">
        <f t="shared" si="14"/>
        <v>46.6</v>
      </c>
      <c r="AF8" s="8">
        <f t="shared" si="15"/>
        <v>21.6</v>
      </c>
      <c r="AG8" s="8">
        <f t="shared" si="16"/>
        <v>20.5</v>
      </c>
      <c r="AH8" s="10">
        <f t="shared" si="17"/>
        <v>27.6</v>
      </c>
    </row>
    <row r="9" spans="1:34" ht="45" x14ac:dyDescent="0.25">
      <c r="B9" s="6" t="s">
        <v>78</v>
      </c>
      <c r="C9" s="7" t="s">
        <v>35</v>
      </c>
      <c r="D9" s="8"/>
      <c r="E9" s="9"/>
      <c r="F9" s="8">
        <v>1</v>
      </c>
      <c r="G9" s="10" t="s">
        <v>36</v>
      </c>
      <c r="H9" s="10" t="s">
        <v>79</v>
      </c>
      <c r="I9" s="10" t="s">
        <v>80</v>
      </c>
      <c r="J9" s="9"/>
      <c r="K9" s="8">
        <v>4</v>
      </c>
      <c r="L9" s="10" t="s">
        <v>36</v>
      </c>
      <c r="M9" s="10" t="s">
        <v>81</v>
      </c>
      <c r="N9" s="8" t="s">
        <v>82</v>
      </c>
      <c r="O9" s="11"/>
      <c r="P9" s="8">
        <v>8</v>
      </c>
      <c r="Q9" s="10" t="s">
        <v>36</v>
      </c>
      <c r="R9" s="10" t="s">
        <v>83</v>
      </c>
      <c r="S9" s="8" t="s">
        <v>84</v>
      </c>
      <c r="T9" s="9"/>
      <c r="U9" s="8"/>
      <c r="V9" s="8"/>
      <c r="W9" s="8"/>
      <c r="X9" s="8"/>
      <c r="Y9" s="8"/>
      <c r="Z9" s="8">
        <f t="shared" si="9"/>
        <v>20</v>
      </c>
      <c r="AA9" s="8">
        <f t="shared" si="10"/>
        <v>18.899999999999999</v>
      </c>
      <c r="AB9" s="8">
        <f t="shared" si="11"/>
        <v>26</v>
      </c>
      <c r="AC9" s="8">
        <f t="shared" si="12"/>
        <v>36.200000000000003</v>
      </c>
      <c r="AD9" s="8">
        <f t="shared" si="13"/>
        <v>35.1</v>
      </c>
      <c r="AE9" s="8">
        <f t="shared" si="14"/>
        <v>42.2</v>
      </c>
      <c r="AF9" s="8">
        <f t="shared" si="15"/>
        <v>56.800000000000004</v>
      </c>
      <c r="AG9" s="8">
        <f t="shared" si="16"/>
        <v>55.7</v>
      </c>
      <c r="AH9" s="10">
        <f t="shared" si="17"/>
        <v>62.800000000000004</v>
      </c>
    </row>
    <row r="10" spans="1:34" ht="60" x14ac:dyDescent="0.25">
      <c r="B10" s="6" t="s">
        <v>85</v>
      </c>
      <c r="C10" s="7" t="s">
        <v>35</v>
      </c>
      <c r="D10" s="8"/>
      <c r="E10" s="9"/>
      <c r="F10" s="8">
        <v>1</v>
      </c>
      <c r="G10" s="10" t="s">
        <v>36</v>
      </c>
      <c r="H10" s="10" t="s">
        <v>86</v>
      </c>
      <c r="I10" s="10" t="s">
        <v>87</v>
      </c>
      <c r="J10" s="9"/>
      <c r="K10" s="8">
        <v>4</v>
      </c>
      <c r="L10" s="10" t="s">
        <v>36</v>
      </c>
      <c r="M10" s="10" t="s">
        <v>88</v>
      </c>
      <c r="N10" s="8" t="s">
        <v>89</v>
      </c>
      <c r="O10" s="11"/>
      <c r="P10" s="8"/>
      <c r="Q10" s="10"/>
      <c r="R10" s="10"/>
      <c r="S10" s="8"/>
      <c r="T10" s="9"/>
      <c r="U10" s="8"/>
      <c r="V10" s="8"/>
      <c r="W10" s="8"/>
      <c r="X10" s="8"/>
      <c r="Y10" s="8"/>
      <c r="Z10" s="8">
        <f t="shared" si="9"/>
        <v>20</v>
      </c>
      <c r="AA10" s="8">
        <f t="shared" si="10"/>
        <v>18.899999999999999</v>
      </c>
      <c r="AB10" s="8">
        <f t="shared" si="11"/>
        <v>26</v>
      </c>
      <c r="AC10" s="8">
        <f t="shared" si="12"/>
        <v>36.200000000000003</v>
      </c>
      <c r="AD10" s="8">
        <f t="shared" si="13"/>
        <v>35.1</v>
      </c>
      <c r="AE10" s="8">
        <f t="shared" si="14"/>
        <v>42.2</v>
      </c>
      <c r="AF10" s="8">
        <f t="shared" si="15"/>
        <v>21.6</v>
      </c>
      <c r="AG10" s="8">
        <f t="shared" si="16"/>
        <v>20.5</v>
      </c>
      <c r="AH10" s="10">
        <f t="shared" si="17"/>
        <v>27.6</v>
      </c>
    </row>
    <row r="11" spans="1:34" ht="30" x14ac:dyDescent="0.25">
      <c r="A11">
        <v>1</v>
      </c>
      <c r="B11" s="6" t="s">
        <v>90</v>
      </c>
      <c r="C11" s="7" t="s">
        <v>35</v>
      </c>
      <c r="D11" s="8" t="s">
        <v>56</v>
      </c>
      <c r="E11" s="9"/>
      <c r="F11" s="8">
        <v>1</v>
      </c>
      <c r="G11" s="10" t="s">
        <v>36</v>
      </c>
      <c r="H11" s="10" t="s">
        <v>91</v>
      </c>
      <c r="I11" s="10" t="s">
        <v>50</v>
      </c>
      <c r="J11" s="9"/>
      <c r="K11" s="8">
        <v>3</v>
      </c>
      <c r="L11" s="10" t="s">
        <v>36</v>
      </c>
      <c r="M11" s="10" t="s">
        <v>92</v>
      </c>
      <c r="N11" s="8" t="s">
        <v>93</v>
      </c>
      <c r="O11" s="11"/>
      <c r="P11" s="8">
        <v>5</v>
      </c>
      <c r="Q11" s="10" t="s">
        <v>39</v>
      </c>
      <c r="R11" s="10" t="s">
        <v>94</v>
      </c>
      <c r="S11" s="8" t="s">
        <v>95</v>
      </c>
      <c r="T11" s="9"/>
      <c r="U11" s="8"/>
      <c r="V11" s="8"/>
      <c r="W11" s="8"/>
      <c r="X11" s="8"/>
      <c r="Y11" s="8"/>
      <c r="Z11" s="8">
        <f t="shared" si="9"/>
        <v>20</v>
      </c>
      <c r="AA11" s="8">
        <f t="shared" si="10"/>
        <v>18.899999999999999</v>
      </c>
      <c r="AB11" s="8">
        <f t="shared" si="11"/>
        <v>26</v>
      </c>
      <c r="AC11" s="8">
        <f t="shared" si="12"/>
        <v>31.799999999999997</v>
      </c>
      <c r="AD11" s="8">
        <f t="shared" si="13"/>
        <v>30.699999999999996</v>
      </c>
      <c r="AE11" s="8">
        <f t="shared" si="14"/>
        <v>37.799999999999997</v>
      </c>
      <c r="AF11" s="8">
        <f t="shared" si="15"/>
        <v>43.6</v>
      </c>
      <c r="AG11" s="8">
        <f t="shared" si="16"/>
        <v>42.5</v>
      </c>
      <c r="AH11" s="10">
        <f t="shared" si="17"/>
        <v>49.6</v>
      </c>
    </row>
    <row r="12" spans="1:34" ht="45" x14ac:dyDescent="0.25">
      <c r="B12" s="6" t="s">
        <v>96</v>
      </c>
      <c r="C12" s="7" t="s">
        <v>35</v>
      </c>
      <c r="D12" s="8"/>
      <c r="E12" s="9"/>
      <c r="F12" s="8">
        <v>1</v>
      </c>
      <c r="G12" s="10" t="s">
        <v>36</v>
      </c>
      <c r="H12" s="10" t="s">
        <v>97</v>
      </c>
      <c r="I12" s="10" t="s">
        <v>98</v>
      </c>
      <c r="J12" s="9"/>
      <c r="K12" s="8">
        <v>5</v>
      </c>
      <c r="L12" s="10" t="s">
        <v>36</v>
      </c>
      <c r="M12" s="10" t="s">
        <v>99</v>
      </c>
      <c r="N12" s="8" t="s">
        <v>100</v>
      </c>
      <c r="O12" s="11"/>
      <c r="P12" s="8"/>
      <c r="Q12" s="10"/>
      <c r="R12" s="10"/>
      <c r="S12" s="8"/>
      <c r="T12" s="9"/>
      <c r="U12" s="8"/>
      <c r="V12" s="8"/>
      <c r="W12" s="8"/>
      <c r="X12" s="8"/>
      <c r="Y12" s="8"/>
      <c r="Z12" s="8">
        <f t="shared" si="9"/>
        <v>20</v>
      </c>
      <c r="AA12" s="8">
        <f t="shared" si="10"/>
        <v>18.899999999999999</v>
      </c>
      <c r="AB12" s="8">
        <f t="shared" si="11"/>
        <v>26</v>
      </c>
      <c r="AC12" s="8">
        <f t="shared" si="12"/>
        <v>40.6</v>
      </c>
      <c r="AD12" s="8">
        <f t="shared" si="13"/>
        <v>39.5</v>
      </c>
      <c r="AE12" s="8">
        <f t="shared" si="14"/>
        <v>46.6</v>
      </c>
      <c r="AF12" s="8">
        <f t="shared" si="15"/>
        <v>21.6</v>
      </c>
      <c r="AG12" s="8">
        <f t="shared" si="16"/>
        <v>20.5</v>
      </c>
      <c r="AH12" s="10">
        <f t="shared" si="17"/>
        <v>27.6</v>
      </c>
    </row>
    <row r="13" spans="1:34" ht="45" x14ac:dyDescent="0.25">
      <c r="B13" s="6" t="s">
        <v>534</v>
      </c>
      <c r="C13" s="7" t="s">
        <v>35</v>
      </c>
      <c r="D13" s="8"/>
      <c r="E13" s="9"/>
      <c r="F13" s="8">
        <v>1</v>
      </c>
      <c r="G13" s="10" t="s">
        <v>36</v>
      </c>
      <c r="H13" s="10" t="s">
        <v>535</v>
      </c>
      <c r="I13" s="10" t="s">
        <v>537</v>
      </c>
      <c r="J13" s="9"/>
      <c r="K13" s="8">
        <v>5</v>
      </c>
      <c r="L13" s="10" t="s">
        <v>39</v>
      </c>
      <c r="M13" s="10" t="s">
        <v>536</v>
      </c>
      <c r="N13" s="8" t="s">
        <v>538</v>
      </c>
      <c r="O13" s="11"/>
      <c r="P13" s="8"/>
      <c r="Q13" s="10"/>
      <c r="R13" s="10"/>
      <c r="S13" s="8"/>
      <c r="T13" s="9"/>
      <c r="U13" s="8"/>
      <c r="V13" s="8"/>
      <c r="W13" s="8"/>
      <c r="X13" s="8"/>
      <c r="Y13" s="8"/>
      <c r="Z13" s="8">
        <f t="shared" si="9"/>
        <v>20</v>
      </c>
      <c r="AA13" s="8">
        <f t="shared" si="10"/>
        <v>18.899999999999999</v>
      </c>
      <c r="AB13" s="8">
        <f t="shared" si="11"/>
        <v>26</v>
      </c>
      <c r="AC13" s="8">
        <f t="shared" si="12"/>
        <v>40.6</v>
      </c>
      <c r="AD13" s="8">
        <f t="shared" si="13"/>
        <v>39.5</v>
      </c>
      <c r="AE13" s="8">
        <f t="shared" si="14"/>
        <v>46.6</v>
      </c>
      <c r="AF13" s="8">
        <f t="shared" si="15"/>
        <v>21.6</v>
      </c>
      <c r="AG13" s="8">
        <f t="shared" si="16"/>
        <v>20.5</v>
      </c>
      <c r="AH13" s="10">
        <f t="shared" si="17"/>
        <v>27.6</v>
      </c>
    </row>
    <row r="14" spans="1:34" ht="45" x14ac:dyDescent="0.25">
      <c r="B14" s="6" t="s">
        <v>101</v>
      </c>
      <c r="C14" s="7" t="s">
        <v>35</v>
      </c>
      <c r="D14" s="8"/>
      <c r="E14" s="9"/>
      <c r="F14" s="8">
        <v>1</v>
      </c>
      <c r="G14" s="10" t="s">
        <v>36</v>
      </c>
      <c r="H14" s="10" t="s">
        <v>102</v>
      </c>
      <c r="I14" s="10" t="s">
        <v>103</v>
      </c>
      <c r="J14" s="9"/>
      <c r="K14" s="8">
        <v>4</v>
      </c>
      <c r="L14" s="10" t="s">
        <v>36</v>
      </c>
      <c r="M14" s="10" t="s">
        <v>104</v>
      </c>
      <c r="N14" s="8" t="s">
        <v>105</v>
      </c>
      <c r="O14" s="11"/>
      <c r="P14" s="8">
        <v>8</v>
      </c>
      <c r="Q14" s="10" t="s">
        <v>36</v>
      </c>
      <c r="R14" s="10" t="s">
        <v>106</v>
      </c>
      <c r="S14" s="8" t="s">
        <v>107</v>
      </c>
      <c r="T14" s="9"/>
      <c r="U14" s="8"/>
      <c r="V14" s="8"/>
      <c r="W14" s="8"/>
      <c r="X14" s="8"/>
      <c r="Y14" s="8"/>
      <c r="Z14" s="8">
        <f t="shared" si="9"/>
        <v>20</v>
      </c>
      <c r="AA14" s="8">
        <f t="shared" si="10"/>
        <v>18.899999999999999</v>
      </c>
      <c r="AB14" s="8">
        <f t="shared" si="11"/>
        <v>26</v>
      </c>
      <c r="AC14" s="8">
        <f t="shared" si="12"/>
        <v>36.200000000000003</v>
      </c>
      <c r="AD14" s="8">
        <f t="shared" si="13"/>
        <v>35.1</v>
      </c>
      <c r="AE14" s="8">
        <f t="shared" si="14"/>
        <v>42.2</v>
      </c>
      <c r="AF14" s="8">
        <f t="shared" si="15"/>
        <v>56.800000000000004</v>
      </c>
      <c r="AG14" s="8">
        <f t="shared" si="16"/>
        <v>55.7</v>
      </c>
      <c r="AH14" s="10">
        <f t="shared" si="17"/>
        <v>62.800000000000004</v>
      </c>
    </row>
    <row r="15" spans="1:34" ht="45" x14ac:dyDescent="0.25">
      <c r="B15" s="6" t="s">
        <v>108</v>
      </c>
      <c r="C15" s="7" t="s">
        <v>35</v>
      </c>
      <c r="D15" s="8" t="s">
        <v>109</v>
      </c>
      <c r="E15" s="9"/>
      <c r="F15" s="8">
        <v>1</v>
      </c>
      <c r="G15" s="10" t="s">
        <v>39</v>
      </c>
      <c r="H15" s="10" t="s">
        <v>110</v>
      </c>
      <c r="I15" s="10" t="s">
        <v>111</v>
      </c>
      <c r="J15" s="9"/>
      <c r="K15" s="8">
        <v>4</v>
      </c>
      <c r="L15" s="10" t="s">
        <v>39</v>
      </c>
      <c r="M15" s="10" t="s">
        <v>112</v>
      </c>
      <c r="N15" s="8" t="s">
        <v>113</v>
      </c>
      <c r="O15" s="11"/>
      <c r="P15" s="8">
        <v>7</v>
      </c>
      <c r="Q15" s="10" t="s">
        <v>36</v>
      </c>
      <c r="R15" s="10" t="s">
        <v>114</v>
      </c>
      <c r="S15" s="8" t="s">
        <v>115</v>
      </c>
      <c r="T15" s="9"/>
      <c r="U15" s="8"/>
      <c r="V15" s="8"/>
      <c r="W15" s="8"/>
      <c r="X15" s="8"/>
      <c r="Y15" s="8"/>
      <c r="Z15" s="8">
        <f t="shared" si="9"/>
        <v>20</v>
      </c>
      <c r="AA15" s="8">
        <f t="shared" si="10"/>
        <v>18.899999999999999</v>
      </c>
      <c r="AB15" s="8">
        <f t="shared" si="11"/>
        <v>26</v>
      </c>
      <c r="AC15" s="8">
        <f t="shared" si="12"/>
        <v>36.200000000000003</v>
      </c>
      <c r="AD15" s="8">
        <f t="shared" si="13"/>
        <v>35.1</v>
      </c>
      <c r="AE15" s="8">
        <f t="shared" si="14"/>
        <v>42.2</v>
      </c>
      <c r="AF15" s="8">
        <f t="shared" si="15"/>
        <v>52.400000000000006</v>
      </c>
      <c r="AG15" s="8">
        <f t="shared" si="16"/>
        <v>51.300000000000004</v>
      </c>
      <c r="AH15" s="10">
        <f t="shared" si="17"/>
        <v>58.400000000000006</v>
      </c>
    </row>
    <row r="16" spans="1:34" ht="120" x14ac:dyDescent="0.25">
      <c r="B16" s="6" t="s">
        <v>116</v>
      </c>
      <c r="C16" s="7" t="s">
        <v>35</v>
      </c>
      <c r="D16" s="8"/>
      <c r="E16" s="9"/>
      <c r="F16" s="8">
        <v>1</v>
      </c>
      <c r="G16" s="10" t="s">
        <v>36</v>
      </c>
      <c r="H16" s="10" t="s">
        <v>117</v>
      </c>
      <c r="I16" s="10" t="s">
        <v>540</v>
      </c>
      <c r="J16" s="9"/>
      <c r="K16" s="8">
        <v>5</v>
      </c>
      <c r="L16" s="10" t="s">
        <v>36</v>
      </c>
      <c r="M16" s="23" t="s">
        <v>541</v>
      </c>
      <c r="N16" s="10" t="s">
        <v>539</v>
      </c>
      <c r="O16" s="11"/>
      <c r="P16" s="8"/>
      <c r="Q16" s="10"/>
      <c r="R16" s="10"/>
      <c r="S16" s="8"/>
      <c r="T16" s="9"/>
      <c r="U16" s="8"/>
      <c r="V16" s="8"/>
      <c r="W16" s="8"/>
      <c r="X16" s="8"/>
      <c r="Y16" s="8"/>
      <c r="Z16" s="8">
        <f t="shared" si="9"/>
        <v>20</v>
      </c>
      <c r="AA16" s="8">
        <f t="shared" si="10"/>
        <v>18.899999999999999</v>
      </c>
      <c r="AB16" s="8">
        <f t="shared" si="11"/>
        <v>26</v>
      </c>
      <c r="AC16" s="8">
        <f t="shared" si="12"/>
        <v>40.6</v>
      </c>
      <c r="AD16" s="8">
        <f t="shared" si="13"/>
        <v>39.5</v>
      </c>
      <c r="AE16" s="8">
        <f t="shared" si="14"/>
        <v>46.6</v>
      </c>
      <c r="AF16" s="8">
        <f t="shared" si="15"/>
        <v>21.6</v>
      </c>
      <c r="AG16" s="8">
        <f t="shared" si="16"/>
        <v>20.5</v>
      </c>
      <c r="AH16" s="10">
        <f t="shared" si="17"/>
        <v>27.6</v>
      </c>
    </row>
    <row r="17" spans="1:34" ht="60" x14ac:dyDescent="0.25">
      <c r="B17" s="6" t="s">
        <v>118</v>
      </c>
      <c r="C17" s="7" t="s">
        <v>35</v>
      </c>
      <c r="D17" s="8" t="s">
        <v>119</v>
      </c>
      <c r="E17" s="9"/>
      <c r="F17" s="8">
        <v>1</v>
      </c>
      <c r="G17" s="10" t="s">
        <v>36</v>
      </c>
      <c r="H17" s="10" t="s">
        <v>120</v>
      </c>
      <c r="I17" s="10" t="s">
        <v>121</v>
      </c>
      <c r="J17" s="9"/>
      <c r="K17" s="8">
        <v>3</v>
      </c>
      <c r="L17" s="10" t="s">
        <v>36</v>
      </c>
      <c r="M17" s="10" t="s">
        <v>122</v>
      </c>
      <c r="N17" s="8" t="s">
        <v>123</v>
      </c>
      <c r="O17" s="11"/>
      <c r="P17" s="8">
        <v>9</v>
      </c>
      <c r="Q17" s="10" t="s">
        <v>36</v>
      </c>
      <c r="R17" s="10" t="s">
        <v>124</v>
      </c>
      <c r="S17" s="8" t="s">
        <v>125</v>
      </c>
      <c r="T17" s="9"/>
      <c r="U17" s="8"/>
      <c r="V17" s="8"/>
      <c r="W17" s="8"/>
      <c r="X17" s="8"/>
      <c r="Y17" s="8"/>
      <c r="Z17" s="8">
        <f t="shared" si="9"/>
        <v>20</v>
      </c>
      <c r="AA17" s="8">
        <f t="shared" si="10"/>
        <v>18.899999999999999</v>
      </c>
      <c r="AB17" s="8">
        <f t="shared" si="11"/>
        <v>26</v>
      </c>
      <c r="AC17" s="8">
        <f t="shared" si="12"/>
        <v>31.799999999999997</v>
      </c>
      <c r="AD17" s="8">
        <f t="shared" si="13"/>
        <v>30.699999999999996</v>
      </c>
      <c r="AE17" s="8">
        <f t="shared" si="14"/>
        <v>37.799999999999997</v>
      </c>
      <c r="AF17" s="8">
        <f t="shared" si="15"/>
        <v>61.2</v>
      </c>
      <c r="AG17" s="8">
        <f t="shared" si="16"/>
        <v>60.1</v>
      </c>
      <c r="AH17" s="10">
        <f t="shared" si="17"/>
        <v>67.2</v>
      </c>
    </row>
    <row r="18" spans="1:34" ht="60" x14ac:dyDescent="0.25">
      <c r="A18">
        <v>1</v>
      </c>
      <c r="B18" s="6" t="s">
        <v>126</v>
      </c>
      <c r="C18" s="7" t="s">
        <v>35</v>
      </c>
      <c r="D18" s="8"/>
      <c r="E18" s="9"/>
      <c r="F18" s="8">
        <v>1</v>
      </c>
      <c r="G18" s="10" t="s">
        <v>36</v>
      </c>
      <c r="H18" s="10" t="s">
        <v>127</v>
      </c>
      <c r="I18" s="10" t="s">
        <v>128</v>
      </c>
      <c r="J18" s="9"/>
      <c r="K18" s="8">
        <v>3</v>
      </c>
      <c r="L18" s="10" t="s">
        <v>39</v>
      </c>
      <c r="M18" s="10" t="s">
        <v>129</v>
      </c>
      <c r="N18" s="8" t="s">
        <v>130</v>
      </c>
      <c r="O18" s="11"/>
      <c r="P18" s="8">
        <v>9</v>
      </c>
      <c r="Q18" s="10" t="s">
        <v>36</v>
      </c>
      <c r="R18" s="10" t="s">
        <v>131</v>
      </c>
      <c r="S18" s="8" t="s">
        <v>132</v>
      </c>
      <c r="T18" s="9"/>
      <c r="U18" s="8"/>
      <c r="V18" s="8"/>
      <c r="W18" s="8"/>
      <c r="X18" s="8"/>
      <c r="Y18" s="8"/>
      <c r="Z18" s="8">
        <f t="shared" si="9"/>
        <v>20</v>
      </c>
      <c r="AA18" s="8">
        <f t="shared" si="10"/>
        <v>18.899999999999999</v>
      </c>
      <c r="AB18" s="8">
        <f t="shared" si="11"/>
        <v>26</v>
      </c>
      <c r="AC18" s="8">
        <f t="shared" si="12"/>
        <v>31.799999999999997</v>
      </c>
      <c r="AD18" s="8">
        <f t="shared" si="13"/>
        <v>30.699999999999996</v>
      </c>
      <c r="AE18" s="8">
        <f t="shared" si="14"/>
        <v>37.799999999999997</v>
      </c>
      <c r="AF18" s="8">
        <f t="shared" si="15"/>
        <v>61.2</v>
      </c>
      <c r="AG18" s="8">
        <f t="shared" si="16"/>
        <v>60.1</v>
      </c>
      <c r="AH18" s="10">
        <f t="shared" si="17"/>
        <v>67.2</v>
      </c>
    </row>
    <row r="19" spans="1:34" ht="60" x14ac:dyDescent="0.25">
      <c r="B19" s="6" t="s">
        <v>133</v>
      </c>
      <c r="C19" s="7" t="s">
        <v>35</v>
      </c>
      <c r="D19" s="8"/>
      <c r="E19" s="9"/>
      <c r="F19" s="8">
        <v>1</v>
      </c>
      <c r="G19" s="10" t="s">
        <v>134</v>
      </c>
      <c r="H19" s="10" t="s">
        <v>135</v>
      </c>
      <c r="I19" s="10" t="s">
        <v>136</v>
      </c>
      <c r="J19" s="9"/>
      <c r="K19" s="8">
        <v>3</v>
      </c>
      <c r="L19" s="10" t="s">
        <v>39</v>
      </c>
      <c r="M19" s="10" t="s">
        <v>137</v>
      </c>
      <c r="N19" s="8" t="s">
        <v>138</v>
      </c>
      <c r="O19" s="11"/>
      <c r="P19" s="8">
        <v>6</v>
      </c>
      <c r="Q19" s="10" t="s">
        <v>36</v>
      </c>
      <c r="R19" s="10" t="s">
        <v>139</v>
      </c>
      <c r="S19" s="8" t="s">
        <v>140</v>
      </c>
      <c r="T19" s="9"/>
      <c r="U19" s="8"/>
      <c r="V19" s="8"/>
      <c r="W19" s="8"/>
      <c r="X19" s="8"/>
      <c r="Y19" s="8"/>
      <c r="Z19" s="8">
        <f t="shared" si="9"/>
        <v>20</v>
      </c>
      <c r="AA19" s="8">
        <f t="shared" si="10"/>
        <v>18.899999999999999</v>
      </c>
      <c r="AB19" s="8">
        <f t="shared" si="11"/>
        <v>26</v>
      </c>
      <c r="AC19" s="8">
        <f t="shared" si="12"/>
        <v>31.799999999999997</v>
      </c>
      <c r="AD19" s="8">
        <f t="shared" si="13"/>
        <v>30.699999999999996</v>
      </c>
      <c r="AE19" s="8">
        <f t="shared" si="14"/>
        <v>37.799999999999997</v>
      </c>
      <c r="AF19" s="8">
        <f t="shared" si="15"/>
        <v>48</v>
      </c>
      <c r="AG19" s="8">
        <f t="shared" si="16"/>
        <v>46.9</v>
      </c>
      <c r="AH19" s="10">
        <f t="shared" si="17"/>
        <v>54</v>
      </c>
    </row>
    <row r="20" spans="1:34" ht="60" x14ac:dyDescent="0.25">
      <c r="B20" s="6" t="s">
        <v>141</v>
      </c>
      <c r="C20" s="7" t="s">
        <v>35</v>
      </c>
      <c r="D20" s="8"/>
      <c r="E20" s="9"/>
      <c r="F20" s="8">
        <v>1</v>
      </c>
      <c r="G20" s="10" t="s">
        <v>36</v>
      </c>
      <c r="H20" s="10" t="s">
        <v>142</v>
      </c>
      <c r="I20" s="10" t="s">
        <v>143</v>
      </c>
      <c r="J20" s="9"/>
      <c r="K20" s="8">
        <v>7</v>
      </c>
      <c r="L20" s="10" t="s">
        <v>39</v>
      </c>
      <c r="M20" s="10" t="s">
        <v>542</v>
      </c>
      <c r="N20" s="8" t="s">
        <v>144</v>
      </c>
      <c r="O20" s="11"/>
      <c r="P20" s="8"/>
      <c r="Q20" s="10"/>
      <c r="R20" s="10"/>
      <c r="S20" s="8"/>
      <c r="T20" s="9"/>
      <c r="U20" s="8"/>
      <c r="V20" s="8"/>
      <c r="W20" s="8"/>
      <c r="X20" s="8"/>
      <c r="Y20" s="8"/>
      <c r="Z20" s="8">
        <f t="shared" si="9"/>
        <v>20</v>
      </c>
      <c r="AA20" s="8">
        <f t="shared" si="10"/>
        <v>18.899999999999999</v>
      </c>
      <c r="AB20" s="8">
        <f t="shared" si="11"/>
        <v>26</v>
      </c>
      <c r="AC20" s="8">
        <f t="shared" si="12"/>
        <v>49.400000000000006</v>
      </c>
      <c r="AD20" s="8">
        <f t="shared" si="13"/>
        <v>48.300000000000004</v>
      </c>
      <c r="AE20" s="8">
        <f t="shared" si="14"/>
        <v>55.400000000000006</v>
      </c>
      <c r="AF20" s="8">
        <f t="shared" si="15"/>
        <v>21.6</v>
      </c>
      <c r="AG20" s="8">
        <f t="shared" si="16"/>
        <v>20.5</v>
      </c>
      <c r="AH20" s="10">
        <f t="shared" si="17"/>
        <v>27.6</v>
      </c>
    </row>
    <row r="21" spans="1:34" ht="45" x14ac:dyDescent="0.25">
      <c r="B21" s="6" t="s">
        <v>145</v>
      </c>
      <c r="C21" s="7" t="s">
        <v>35</v>
      </c>
      <c r="D21" s="8"/>
      <c r="E21" s="9"/>
      <c r="F21" s="8">
        <v>1</v>
      </c>
      <c r="G21" s="10" t="s">
        <v>36</v>
      </c>
      <c r="H21" s="10" t="s">
        <v>146</v>
      </c>
      <c r="I21" s="10" t="s">
        <v>147</v>
      </c>
      <c r="J21" s="9"/>
      <c r="K21" s="8">
        <v>5</v>
      </c>
      <c r="L21" s="10" t="s">
        <v>36</v>
      </c>
      <c r="M21" s="10" t="s">
        <v>148</v>
      </c>
      <c r="N21" s="8" t="s">
        <v>149</v>
      </c>
      <c r="O21" s="11"/>
      <c r="P21" s="8"/>
      <c r="Q21" s="10"/>
      <c r="R21" s="10"/>
      <c r="S21" s="8"/>
      <c r="T21" s="9"/>
      <c r="U21" s="8"/>
      <c r="V21" s="8"/>
      <c r="W21" s="8"/>
      <c r="X21" s="8"/>
      <c r="Y21" s="8"/>
      <c r="Z21" s="8">
        <f t="shared" si="9"/>
        <v>20</v>
      </c>
      <c r="AA21" s="8">
        <f t="shared" si="10"/>
        <v>18.899999999999999</v>
      </c>
      <c r="AB21" s="8">
        <f t="shared" si="11"/>
        <v>26</v>
      </c>
      <c r="AC21" s="8">
        <f t="shared" si="12"/>
        <v>40.6</v>
      </c>
      <c r="AD21" s="8">
        <f t="shared" si="13"/>
        <v>39.5</v>
      </c>
      <c r="AE21" s="8">
        <f t="shared" si="14"/>
        <v>46.6</v>
      </c>
      <c r="AF21" s="8">
        <f t="shared" si="15"/>
        <v>21.6</v>
      </c>
      <c r="AG21" s="8">
        <f t="shared" si="16"/>
        <v>20.5</v>
      </c>
      <c r="AH21" s="10">
        <f t="shared" si="17"/>
        <v>27.6</v>
      </c>
    </row>
    <row r="22" spans="1:34" ht="135" x14ac:dyDescent="0.25">
      <c r="A22">
        <v>1</v>
      </c>
      <c r="B22" s="6" t="s">
        <v>150</v>
      </c>
      <c r="C22" s="7" t="s">
        <v>35</v>
      </c>
      <c r="D22" s="8" t="s">
        <v>56</v>
      </c>
      <c r="E22" s="9"/>
      <c r="F22" s="8">
        <v>1</v>
      </c>
      <c r="G22" s="8" t="s">
        <v>39</v>
      </c>
      <c r="H22" s="10" t="s">
        <v>151</v>
      </c>
      <c r="I22" s="10" t="s">
        <v>152</v>
      </c>
      <c r="J22" s="9"/>
      <c r="K22" s="8">
        <v>10.5</v>
      </c>
      <c r="L22" s="8" t="s">
        <v>39</v>
      </c>
      <c r="M22" s="10" t="s">
        <v>153</v>
      </c>
      <c r="N22" s="8" t="s">
        <v>154</v>
      </c>
      <c r="O22" s="11"/>
      <c r="P22" s="8"/>
      <c r="Q22" s="10"/>
      <c r="R22" s="10"/>
      <c r="S22" s="8"/>
      <c r="T22" s="9"/>
      <c r="U22" s="8">
        <v>2.96</v>
      </c>
      <c r="V22" s="8">
        <v>0.43</v>
      </c>
      <c r="W22" s="8">
        <v>0.3</v>
      </c>
      <c r="X22" s="8">
        <v>-0.11</v>
      </c>
      <c r="Y22" s="8">
        <v>-0.6</v>
      </c>
      <c r="Z22" s="8">
        <f t="shared" si="9"/>
        <v>20</v>
      </c>
      <c r="AA22" s="8">
        <f t="shared" si="10"/>
        <v>18.899999999999999</v>
      </c>
      <c r="AB22" s="8">
        <f t="shared" si="11"/>
        <v>26</v>
      </c>
      <c r="AC22" s="8">
        <f t="shared" si="12"/>
        <v>64.800000000000011</v>
      </c>
      <c r="AD22" s="8">
        <f t="shared" si="13"/>
        <v>63.70000000000001</v>
      </c>
      <c r="AE22" s="8">
        <f t="shared" si="14"/>
        <v>70.800000000000011</v>
      </c>
      <c r="AF22" s="8">
        <f t="shared" si="15"/>
        <v>21.6</v>
      </c>
      <c r="AG22" s="8">
        <f t="shared" si="16"/>
        <v>20.5</v>
      </c>
      <c r="AH22" s="10">
        <f t="shared" si="17"/>
        <v>27.6</v>
      </c>
    </row>
    <row r="23" spans="1:34" ht="30" x14ac:dyDescent="0.25">
      <c r="B23" s="6" t="s">
        <v>155</v>
      </c>
      <c r="C23" s="7" t="s">
        <v>35</v>
      </c>
      <c r="D23" s="8" t="s">
        <v>67</v>
      </c>
      <c r="E23" s="9"/>
      <c r="F23" s="8">
        <v>1</v>
      </c>
      <c r="G23" s="10" t="s">
        <v>36</v>
      </c>
      <c r="H23" s="10" t="s">
        <v>68</v>
      </c>
      <c r="I23" s="10" t="s">
        <v>69</v>
      </c>
      <c r="J23" s="9"/>
      <c r="K23" s="8">
        <v>4</v>
      </c>
      <c r="L23" s="10" t="s">
        <v>36</v>
      </c>
      <c r="M23" s="10" t="s">
        <v>156</v>
      </c>
      <c r="N23" s="10" t="s">
        <v>157</v>
      </c>
      <c r="O23" s="11"/>
      <c r="P23" s="8">
        <v>7</v>
      </c>
      <c r="Q23" s="10" t="s">
        <v>36</v>
      </c>
      <c r="R23" s="10" t="s">
        <v>158</v>
      </c>
      <c r="S23" s="8" t="s">
        <v>159</v>
      </c>
      <c r="T23" s="9"/>
      <c r="U23" s="8"/>
      <c r="V23" s="8"/>
      <c r="W23" s="8"/>
      <c r="X23" s="8"/>
      <c r="Y23" s="8"/>
      <c r="Z23" s="8">
        <f t="shared" si="9"/>
        <v>20</v>
      </c>
      <c r="AA23" s="8">
        <f t="shared" si="10"/>
        <v>18.899999999999999</v>
      </c>
      <c r="AB23" s="8">
        <f t="shared" si="11"/>
        <v>26</v>
      </c>
      <c r="AC23" s="8">
        <f t="shared" si="12"/>
        <v>36.200000000000003</v>
      </c>
      <c r="AD23" s="8">
        <f t="shared" si="13"/>
        <v>35.1</v>
      </c>
      <c r="AE23" s="8">
        <f t="shared" si="14"/>
        <v>42.2</v>
      </c>
      <c r="AF23" s="8">
        <f t="shared" si="15"/>
        <v>52.400000000000006</v>
      </c>
      <c r="AG23" s="8">
        <f t="shared" si="16"/>
        <v>51.300000000000004</v>
      </c>
      <c r="AH23" s="10">
        <f t="shared" si="17"/>
        <v>58.400000000000006</v>
      </c>
    </row>
    <row r="24" spans="1:34" ht="30" x14ac:dyDescent="0.25">
      <c r="B24" s="6" t="s">
        <v>160</v>
      </c>
      <c r="C24" s="7" t="s">
        <v>35</v>
      </c>
      <c r="D24" s="8"/>
      <c r="E24" s="15"/>
      <c r="F24" s="8">
        <v>1</v>
      </c>
      <c r="G24" s="8" t="s">
        <v>36</v>
      </c>
      <c r="H24" s="8" t="s">
        <v>161</v>
      </c>
      <c r="I24" s="8" t="s">
        <v>162</v>
      </c>
      <c r="J24" s="15"/>
      <c r="K24" s="8">
        <v>4</v>
      </c>
      <c r="L24" s="10" t="s">
        <v>36</v>
      </c>
      <c r="M24" s="10" t="s">
        <v>163</v>
      </c>
      <c r="N24" s="8" t="s">
        <v>164</v>
      </c>
      <c r="O24" s="16"/>
      <c r="P24" s="8"/>
      <c r="Q24" s="8"/>
      <c r="R24" s="8"/>
      <c r="S24" s="8"/>
      <c r="T24" s="15"/>
      <c r="U24" s="8"/>
      <c r="V24" s="8"/>
      <c r="W24" s="8"/>
      <c r="X24" s="8"/>
      <c r="Y24" s="8"/>
      <c r="Z24" s="8">
        <f t="shared" si="9"/>
        <v>20</v>
      </c>
      <c r="AA24" s="8">
        <f t="shared" si="10"/>
        <v>18.899999999999999</v>
      </c>
      <c r="AB24" s="8">
        <f t="shared" si="11"/>
        <v>26</v>
      </c>
      <c r="AC24" s="8">
        <f t="shared" si="12"/>
        <v>36.200000000000003</v>
      </c>
      <c r="AD24" s="8">
        <f t="shared" si="13"/>
        <v>35.1</v>
      </c>
      <c r="AE24" s="8">
        <f t="shared" si="14"/>
        <v>42.2</v>
      </c>
      <c r="AF24" s="8">
        <f t="shared" si="15"/>
        <v>21.6</v>
      </c>
      <c r="AG24" s="8">
        <f t="shared" si="16"/>
        <v>20.5</v>
      </c>
      <c r="AH24" s="10">
        <f t="shared" si="17"/>
        <v>27.6</v>
      </c>
    </row>
    <row r="25" spans="1:34" ht="60" x14ac:dyDescent="0.25">
      <c r="B25" s="6" t="s">
        <v>165</v>
      </c>
      <c r="C25" s="7" t="s">
        <v>35</v>
      </c>
      <c r="D25" s="8"/>
      <c r="E25" s="9"/>
      <c r="F25" s="8">
        <v>1</v>
      </c>
      <c r="G25" s="10" t="s">
        <v>36</v>
      </c>
      <c r="H25" s="10" t="s">
        <v>166</v>
      </c>
      <c r="I25" s="10" t="s">
        <v>167</v>
      </c>
      <c r="J25" s="9"/>
      <c r="K25" s="8">
        <v>4</v>
      </c>
      <c r="L25" s="8" t="s">
        <v>39</v>
      </c>
      <c r="M25" s="10" t="s">
        <v>168</v>
      </c>
      <c r="N25" s="10" t="s">
        <v>169</v>
      </c>
      <c r="O25" s="11"/>
      <c r="P25" s="10"/>
      <c r="Q25" s="10"/>
      <c r="R25" s="8"/>
      <c r="S25" s="8"/>
      <c r="T25" s="9"/>
      <c r="U25" s="8"/>
      <c r="V25" s="8"/>
      <c r="W25" s="8"/>
      <c r="X25" s="8"/>
      <c r="Y25" s="8"/>
      <c r="Z25" s="8">
        <f t="shared" si="9"/>
        <v>20</v>
      </c>
      <c r="AA25" s="8">
        <f t="shared" si="10"/>
        <v>18.899999999999999</v>
      </c>
      <c r="AB25" s="8">
        <f t="shared" si="11"/>
        <v>26</v>
      </c>
      <c r="AC25" s="8">
        <f t="shared" si="12"/>
        <v>36.200000000000003</v>
      </c>
      <c r="AD25" s="8">
        <f t="shared" si="13"/>
        <v>35.1</v>
      </c>
      <c r="AE25" s="8">
        <f t="shared" si="14"/>
        <v>42.2</v>
      </c>
      <c r="AF25" s="8">
        <f t="shared" si="15"/>
        <v>21.6</v>
      </c>
      <c r="AG25" s="8">
        <f t="shared" si="16"/>
        <v>20.5</v>
      </c>
      <c r="AH25" s="10">
        <f t="shared" si="17"/>
        <v>27.6</v>
      </c>
    </row>
    <row r="26" spans="1:34" ht="60" x14ac:dyDescent="0.25">
      <c r="B26" s="6" t="s">
        <v>170</v>
      </c>
      <c r="C26" s="7" t="s">
        <v>35</v>
      </c>
      <c r="D26" s="8" t="s">
        <v>171</v>
      </c>
      <c r="E26" s="9"/>
      <c r="F26" s="8">
        <v>1</v>
      </c>
      <c r="G26" s="8" t="s">
        <v>36</v>
      </c>
      <c r="H26" s="10" t="s">
        <v>172</v>
      </c>
      <c r="I26" s="8" t="s">
        <v>543</v>
      </c>
      <c r="J26" s="9"/>
      <c r="K26" s="8">
        <v>5</v>
      </c>
      <c r="L26" s="10" t="s">
        <v>36</v>
      </c>
      <c r="M26" s="10" t="s">
        <v>173</v>
      </c>
      <c r="N26" s="10" t="s">
        <v>174</v>
      </c>
      <c r="O26" s="11"/>
      <c r="P26" s="8">
        <v>9</v>
      </c>
      <c r="Q26" s="8" t="s">
        <v>134</v>
      </c>
      <c r="R26" s="10" t="s">
        <v>175</v>
      </c>
      <c r="S26" s="8" t="s">
        <v>176</v>
      </c>
      <c r="T26" s="9"/>
      <c r="U26" s="8"/>
      <c r="V26" s="8"/>
      <c r="W26" s="8"/>
      <c r="X26" s="8"/>
      <c r="Y26" s="8"/>
      <c r="Z26" s="8">
        <f t="shared" si="9"/>
        <v>20</v>
      </c>
      <c r="AA26" s="8">
        <f t="shared" si="10"/>
        <v>18.899999999999999</v>
      </c>
      <c r="AB26" s="8">
        <f t="shared" si="11"/>
        <v>26</v>
      </c>
      <c r="AC26" s="8">
        <f t="shared" si="12"/>
        <v>40.6</v>
      </c>
      <c r="AD26" s="8">
        <f t="shared" si="13"/>
        <v>39.5</v>
      </c>
      <c r="AE26" s="8">
        <f t="shared" si="14"/>
        <v>46.6</v>
      </c>
      <c r="AF26" s="8">
        <f t="shared" si="15"/>
        <v>61.2</v>
      </c>
      <c r="AG26" s="8">
        <f t="shared" si="16"/>
        <v>60.1</v>
      </c>
      <c r="AH26" s="10">
        <f t="shared" si="17"/>
        <v>67.2</v>
      </c>
    </row>
    <row r="27" spans="1:34" ht="45" x14ac:dyDescent="0.25">
      <c r="B27" s="6" t="s">
        <v>177</v>
      </c>
      <c r="C27" s="7" t="s">
        <v>35</v>
      </c>
      <c r="D27" s="8"/>
      <c r="E27" s="9"/>
      <c r="F27" s="8">
        <v>1</v>
      </c>
      <c r="G27" s="10" t="s">
        <v>36</v>
      </c>
      <c r="H27" s="10" t="s">
        <v>178</v>
      </c>
      <c r="I27" s="10" t="s">
        <v>179</v>
      </c>
      <c r="J27" s="9"/>
      <c r="K27" s="8">
        <v>5</v>
      </c>
      <c r="L27" s="10" t="s">
        <v>36</v>
      </c>
      <c r="M27" s="10" t="s">
        <v>180</v>
      </c>
      <c r="N27" s="8" t="s">
        <v>181</v>
      </c>
      <c r="O27" s="11"/>
      <c r="P27" s="8">
        <v>8</v>
      </c>
      <c r="Q27" s="10" t="s">
        <v>36</v>
      </c>
      <c r="R27" s="10" t="s">
        <v>182</v>
      </c>
      <c r="S27" s="8" t="s">
        <v>183</v>
      </c>
      <c r="T27" s="9"/>
      <c r="U27" s="8"/>
      <c r="V27" s="8"/>
      <c r="W27" s="8"/>
      <c r="X27" s="8"/>
      <c r="Y27" s="8"/>
      <c r="Z27" s="8">
        <f t="shared" si="9"/>
        <v>20</v>
      </c>
      <c r="AA27" s="8">
        <f t="shared" si="10"/>
        <v>18.899999999999999</v>
      </c>
      <c r="AB27" s="8">
        <f t="shared" si="11"/>
        <v>26</v>
      </c>
      <c r="AC27" s="8">
        <f t="shared" si="12"/>
        <v>40.6</v>
      </c>
      <c r="AD27" s="8">
        <f t="shared" si="13"/>
        <v>39.5</v>
      </c>
      <c r="AE27" s="8">
        <f t="shared" si="14"/>
        <v>46.6</v>
      </c>
      <c r="AF27" s="8">
        <f t="shared" si="15"/>
        <v>56.800000000000004</v>
      </c>
      <c r="AG27" s="8">
        <f t="shared" si="16"/>
        <v>55.7</v>
      </c>
      <c r="AH27" s="10">
        <f t="shared" si="17"/>
        <v>62.800000000000004</v>
      </c>
    </row>
    <row r="28" spans="1:34" ht="30" x14ac:dyDescent="0.25">
      <c r="B28" s="6" t="s">
        <v>184</v>
      </c>
      <c r="C28" s="7" t="s">
        <v>35</v>
      </c>
      <c r="D28" s="8"/>
      <c r="E28" s="9"/>
      <c r="F28" s="8">
        <v>1</v>
      </c>
      <c r="G28" s="10" t="s">
        <v>36</v>
      </c>
      <c r="H28" s="10" t="s">
        <v>185</v>
      </c>
      <c r="I28" s="10" t="s">
        <v>186</v>
      </c>
      <c r="J28" s="9"/>
      <c r="K28" s="8">
        <v>5</v>
      </c>
      <c r="L28" s="8" t="s">
        <v>39</v>
      </c>
      <c r="M28" s="10" t="s">
        <v>544</v>
      </c>
      <c r="N28" s="8" t="s">
        <v>187</v>
      </c>
      <c r="O28" s="11"/>
      <c r="P28" s="8"/>
      <c r="Q28" s="10"/>
      <c r="R28" s="8"/>
      <c r="S28" s="8"/>
      <c r="T28" s="9"/>
      <c r="U28" s="8"/>
      <c r="V28" s="8"/>
      <c r="W28" s="8"/>
      <c r="X28" s="8"/>
      <c r="Y28" s="8"/>
      <c r="Z28" s="8">
        <f t="shared" si="9"/>
        <v>20</v>
      </c>
      <c r="AA28" s="8">
        <f t="shared" si="10"/>
        <v>18.899999999999999</v>
      </c>
      <c r="AB28" s="8">
        <f t="shared" si="11"/>
        <v>26</v>
      </c>
      <c r="AC28" s="8">
        <f t="shared" si="12"/>
        <v>40.6</v>
      </c>
      <c r="AD28" s="8">
        <f t="shared" si="13"/>
        <v>39.5</v>
      </c>
      <c r="AE28" s="8">
        <f t="shared" si="14"/>
        <v>46.6</v>
      </c>
      <c r="AF28" s="8">
        <f t="shared" si="15"/>
        <v>21.6</v>
      </c>
      <c r="AG28" s="8">
        <f t="shared" si="16"/>
        <v>20.5</v>
      </c>
      <c r="AH28" s="10">
        <f t="shared" si="17"/>
        <v>27.6</v>
      </c>
    </row>
    <row r="29" spans="1:34" ht="60" x14ac:dyDescent="0.25">
      <c r="A29">
        <v>1</v>
      </c>
      <c r="B29" s="6" t="s">
        <v>188</v>
      </c>
      <c r="C29" s="8" t="s">
        <v>189</v>
      </c>
      <c r="D29" s="8"/>
      <c r="E29" s="9"/>
      <c r="F29" s="8">
        <v>1</v>
      </c>
      <c r="G29" s="8" t="s">
        <v>39</v>
      </c>
      <c r="H29" s="10" t="s">
        <v>190</v>
      </c>
      <c r="I29" s="10" t="s">
        <v>191</v>
      </c>
      <c r="J29" s="9"/>
      <c r="K29" s="8"/>
      <c r="L29" s="8"/>
      <c r="M29" s="8"/>
      <c r="N29" s="8"/>
      <c r="O29" s="11"/>
      <c r="P29" s="8"/>
      <c r="Q29" s="8"/>
      <c r="R29" s="8"/>
      <c r="S29" s="8"/>
      <c r="T29" s="9"/>
      <c r="U29" s="8"/>
      <c r="V29" s="8"/>
      <c r="W29" s="8"/>
      <c r="X29" s="8"/>
      <c r="Y29" s="8"/>
      <c r="Z29" s="8">
        <f t="shared" si="9"/>
        <v>20</v>
      </c>
      <c r="AA29" s="8">
        <f t="shared" si="10"/>
        <v>18.899999999999999</v>
      </c>
      <c r="AB29" s="8">
        <f t="shared" si="11"/>
        <v>26</v>
      </c>
      <c r="AC29" s="8">
        <f t="shared" si="12"/>
        <v>18.600000000000001</v>
      </c>
      <c r="AD29" s="8">
        <f t="shared" si="13"/>
        <v>17.5</v>
      </c>
      <c r="AE29" s="8">
        <f t="shared" si="14"/>
        <v>24.6</v>
      </c>
      <c r="AF29" s="8">
        <f t="shared" si="15"/>
        <v>21.6</v>
      </c>
      <c r="AG29" s="8">
        <f t="shared" si="16"/>
        <v>20.5</v>
      </c>
      <c r="AH29" s="10">
        <f t="shared" si="17"/>
        <v>27.6</v>
      </c>
    </row>
    <row r="30" spans="1:34" ht="30" x14ac:dyDescent="0.25">
      <c r="B30" s="6" t="s">
        <v>192</v>
      </c>
      <c r="C30" s="8" t="s">
        <v>189</v>
      </c>
      <c r="D30" s="10"/>
      <c r="E30" s="9"/>
      <c r="F30" s="8">
        <v>1</v>
      </c>
      <c r="G30" s="8" t="s">
        <v>36</v>
      </c>
      <c r="H30" s="8" t="s">
        <v>193</v>
      </c>
      <c r="I30" s="8" t="s">
        <v>194</v>
      </c>
      <c r="J30" s="9"/>
      <c r="K30" s="8"/>
      <c r="O30" s="11"/>
      <c r="P30" s="8"/>
      <c r="Q30" s="8"/>
      <c r="R30" s="8"/>
      <c r="S30" s="8"/>
      <c r="T30" s="9"/>
      <c r="U30" s="8"/>
      <c r="V30" s="8"/>
      <c r="W30" s="8"/>
      <c r="X30" s="8"/>
      <c r="Y30" s="8"/>
      <c r="Z30" s="8">
        <f t="shared" si="9"/>
        <v>20</v>
      </c>
      <c r="AA30" s="8">
        <f t="shared" si="10"/>
        <v>18.899999999999999</v>
      </c>
      <c r="AB30" s="8">
        <f t="shared" si="11"/>
        <v>26</v>
      </c>
      <c r="AC30" s="8">
        <f t="shared" si="12"/>
        <v>18.600000000000001</v>
      </c>
      <c r="AD30" s="8">
        <f t="shared" si="13"/>
        <v>17.5</v>
      </c>
      <c r="AE30" s="8">
        <f t="shared" si="14"/>
        <v>24.6</v>
      </c>
      <c r="AF30" s="8">
        <f t="shared" si="15"/>
        <v>21.6</v>
      </c>
      <c r="AG30" s="8">
        <f t="shared" si="16"/>
        <v>20.5</v>
      </c>
      <c r="AH30" s="10">
        <f t="shared" si="17"/>
        <v>27.6</v>
      </c>
    </row>
    <row r="31" spans="1:34" ht="30" x14ac:dyDescent="0.25">
      <c r="B31" s="6" t="s">
        <v>195</v>
      </c>
      <c r="C31" s="8" t="s">
        <v>189</v>
      </c>
      <c r="D31" s="8"/>
      <c r="E31" s="15"/>
      <c r="F31" s="8">
        <v>1</v>
      </c>
      <c r="G31" s="10" t="s">
        <v>36</v>
      </c>
      <c r="H31" s="8" t="s">
        <v>196</v>
      </c>
      <c r="I31" s="8" t="s">
        <v>197</v>
      </c>
      <c r="J31" s="15"/>
      <c r="K31" s="8"/>
      <c r="L31" s="8"/>
      <c r="M31" s="8"/>
      <c r="N31" s="8"/>
      <c r="O31" s="16"/>
      <c r="P31" s="8"/>
      <c r="Q31" s="8"/>
      <c r="R31" s="8"/>
      <c r="S31" s="8"/>
      <c r="T31" s="15"/>
      <c r="U31" s="8"/>
      <c r="V31" s="8"/>
      <c r="W31" s="8"/>
      <c r="X31" s="8"/>
      <c r="Y31" s="8"/>
      <c r="Z31" s="8">
        <f t="shared" si="9"/>
        <v>20</v>
      </c>
      <c r="AA31" s="8">
        <f t="shared" si="10"/>
        <v>18.899999999999999</v>
      </c>
      <c r="AB31" s="8">
        <f t="shared" si="11"/>
        <v>26</v>
      </c>
      <c r="AC31" s="8">
        <f t="shared" si="12"/>
        <v>18.600000000000001</v>
      </c>
      <c r="AD31" s="8">
        <f t="shared" si="13"/>
        <v>17.5</v>
      </c>
      <c r="AE31" s="8">
        <f t="shared" si="14"/>
        <v>24.6</v>
      </c>
      <c r="AF31" s="8">
        <f t="shared" si="15"/>
        <v>21.6</v>
      </c>
      <c r="AG31" s="8">
        <f t="shared" si="16"/>
        <v>20.5</v>
      </c>
      <c r="AH31" s="10">
        <f t="shared" si="17"/>
        <v>27.6</v>
      </c>
    </row>
    <row r="32" spans="1:34" ht="75" x14ac:dyDescent="0.25">
      <c r="B32" s="6" t="s">
        <v>198</v>
      </c>
      <c r="C32" s="8" t="s">
        <v>189</v>
      </c>
      <c r="D32" s="8"/>
      <c r="E32" s="15"/>
      <c r="F32" s="8">
        <v>1</v>
      </c>
      <c r="G32" s="10" t="s">
        <v>36</v>
      </c>
      <c r="H32" s="8" t="s">
        <v>199</v>
      </c>
      <c r="I32" s="8" t="s">
        <v>200</v>
      </c>
      <c r="J32" s="15"/>
      <c r="K32" s="8"/>
      <c r="L32" s="8"/>
      <c r="M32" s="8"/>
      <c r="N32" s="8"/>
      <c r="O32" s="16"/>
      <c r="P32" s="8"/>
      <c r="Q32" s="8"/>
      <c r="R32" s="8"/>
      <c r="S32" s="8"/>
      <c r="T32" s="15"/>
      <c r="U32" s="8"/>
      <c r="V32" s="8"/>
      <c r="W32" s="8"/>
      <c r="X32" s="8"/>
      <c r="Y32" s="8"/>
      <c r="Z32" s="8">
        <f t="shared" si="9"/>
        <v>20</v>
      </c>
      <c r="AA32" s="8">
        <f t="shared" si="10"/>
        <v>18.899999999999999</v>
      </c>
      <c r="AB32" s="8">
        <f t="shared" si="11"/>
        <v>26</v>
      </c>
      <c r="AC32" s="8">
        <f t="shared" si="12"/>
        <v>18.600000000000001</v>
      </c>
      <c r="AD32" s="8">
        <f t="shared" si="13"/>
        <v>17.5</v>
      </c>
      <c r="AE32" s="8">
        <f t="shared" si="14"/>
        <v>24.6</v>
      </c>
      <c r="AF32" s="8">
        <f t="shared" si="15"/>
        <v>21.6</v>
      </c>
      <c r="AG32" s="8">
        <f t="shared" si="16"/>
        <v>20.5</v>
      </c>
      <c r="AH32" s="10">
        <f t="shared" si="17"/>
        <v>27.6</v>
      </c>
    </row>
    <row r="33" spans="1:34" ht="45" x14ac:dyDescent="0.25">
      <c r="B33" s="6" t="s">
        <v>201</v>
      </c>
      <c r="C33" s="8" t="s">
        <v>189</v>
      </c>
      <c r="D33" s="8"/>
      <c r="E33" s="15"/>
      <c r="F33" s="8">
        <v>1</v>
      </c>
      <c r="G33" s="10" t="s">
        <v>36</v>
      </c>
      <c r="H33" s="8" t="s">
        <v>199</v>
      </c>
      <c r="I33" s="8" t="s">
        <v>202</v>
      </c>
      <c r="J33" s="15"/>
      <c r="K33" s="8"/>
      <c r="L33" s="8"/>
      <c r="M33" s="8"/>
      <c r="N33" s="8"/>
      <c r="O33" s="16"/>
      <c r="P33" s="8"/>
      <c r="Q33" s="8"/>
      <c r="R33" s="8"/>
      <c r="S33" s="8"/>
      <c r="T33" s="15"/>
      <c r="U33" s="8"/>
      <c r="V33" s="8"/>
      <c r="W33" s="8"/>
      <c r="X33" s="8"/>
      <c r="Y33" s="8"/>
      <c r="Z33" s="8">
        <f t="shared" si="9"/>
        <v>20</v>
      </c>
      <c r="AA33" s="8">
        <f t="shared" si="10"/>
        <v>18.899999999999999</v>
      </c>
      <c r="AB33" s="8">
        <f t="shared" si="11"/>
        <v>26</v>
      </c>
      <c r="AC33" s="8">
        <f t="shared" si="12"/>
        <v>18.600000000000001</v>
      </c>
      <c r="AD33" s="8">
        <f t="shared" si="13"/>
        <v>17.5</v>
      </c>
      <c r="AE33" s="8">
        <f t="shared" si="14"/>
        <v>24.6</v>
      </c>
      <c r="AF33" s="8">
        <f t="shared" si="15"/>
        <v>21.6</v>
      </c>
      <c r="AG33" s="8">
        <f t="shared" si="16"/>
        <v>20.5</v>
      </c>
      <c r="AH33" s="10">
        <f t="shared" si="17"/>
        <v>27.6</v>
      </c>
    </row>
    <row r="34" spans="1:34" ht="30" x14ac:dyDescent="0.25">
      <c r="B34" s="6" t="s">
        <v>203</v>
      </c>
      <c r="C34" s="8" t="s">
        <v>189</v>
      </c>
      <c r="D34" s="8"/>
      <c r="E34" s="15"/>
      <c r="F34" s="8">
        <v>1</v>
      </c>
      <c r="G34" s="10" t="s">
        <v>36</v>
      </c>
      <c r="H34" s="8" t="s">
        <v>199</v>
      </c>
      <c r="I34" s="8" t="s">
        <v>204</v>
      </c>
      <c r="J34" s="15"/>
      <c r="K34" s="8"/>
      <c r="L34" s="8"/>
      <c r="M34" s="8"/>
      <c r="N34" s="8"/>
      <c r="O34" s="16"/>
      <c r="P34" s="8"/>
      <c r="Q34" s="8"/>
      <c r="R34" s="8"/>
      <c r="S34" s="8"/>
      <c r="T34" s="15"/>
      <c r="U34" s="8"/>
      <c r="V34" s="8"/>
      <c r="W34" s="8"/>
      <c r="X34" s="8"/>
      <c r="Y34" s="8"/>
      <c r="Z34" s="8">
        <f t="shared" si="9"/>
        <v>20</v>
      </c>
      <c r="AA34" s="8">
        <f t="shared" si="10"/>
        <v>18.899999999999999</v>
      </c>
      <c r="AB34" s="8">
        <f t="shared" si="11"/>
        <v>26</v>
      </c>
      <c r="AC34" s="8">
        <f t="shared" si="12"/>
        <v>18.600000000000001</v>
      </c>
      <c r="AD34" s="8">
        <f t="shared" si="13"/>
        <v>17.5</v>
      </c>
      <c r="AE34" s="8">
        <f t="shared" si="14"/>
        <v>24.6</v>
      </c>
      <c r="AF34" s="8">
        <f t="shared" si="15"/>
        <v>21.6</v>
      </c>
      <c r="AG34" s="8">
        <f t="shared" si="16"/>
        <v>20.5</v>
      </c>
      <c r="AH34" s="10">
        <f t="shared" si="17"/>
        <v>27.6</v>
      </c>
    </row>
    <row r="35" spans="1:34" ht="30" x14ac:dyDescent="0.25">
      <c r="B35" s="6" t="s">
        <v>205</v>
      </c>
      <c r="C35" s="8" t="s">
        <v>189</v>
      </c>
      <c r="D35" s="8"/>
      <c r="E35" s="9"/>
      <c r="F35" s="8">
        <v>1</v>
      </c>
      <c r="G35" s="10" t="s">
        <v>134</v>
      </c>
      <c r="H35" s="10" t="s">
        <v>206</v>
      </c>
      <c r="I35" s="10" t="s">
        <v>207</v>
      </c>
      <c r="J35" s="9"/>
      <c r="K35" s="8"/>
      <c r="L35" s="10"/>
      <c r="M35" s="10"/>
      <c r="N35" s="8"/>
      <c r="O35" s="11"/>
      <c r="P35" s="8"/>
      <c r="Q35" s="10"/>
      <c r="R35" s="10"/>
      <c r="S35" s="8"/>
      <c r="T35" s="9"/>
      <c r="U35" s="8"/>
      <c r="V35" s="8"/>
      <c r="W35" s="8"/>
      <c r="X35" s="8"/>
      <c r="Y35" s="8"/>
      <c r="Z35" s="8">
        <f t="shared" si="9"/>
        <v>20</v>
      </c>
      <c r="AA35" s="8">
        <f t="shared" si="10"/>
        <v>18.899999999999999</v>
      </c>
      <c r="AB35" s="8">
        <f t="shared" si="11"/>
        <v>26</v>
      </c>
      <c r="AC35" s="8">
        <f t="shared" si="12"/>
        <v>18.600000000000001</v>
      </c>
      <c r="AD35" s="8">
        <f t="shared" si="13"/>
        <v>17.5</v>
      </c>
      <c r="AE35" s="8">
        <f t="shared" si="14"/>
        <v>24.6</v>
      </c>
      <c r="AF35" s="8">
        <f t="shared" si="15"/>
        <v>21.6</v>
      </c>
      <c r="AG35" s="8">
        <f t="shared" si="16"/>
        <v>20.5</v>
      </c>
      <c r="AH35" s="10">
        <f t="shared" si="17"/>
        <v>27.6</v>
      </c>
    </row>
    <row r="36" spans="1:34" ht="90" x14ac:dyDescent="0.25">
      <c r="B36" s="6" t="s">
        <v>208</v>
      </c>
      <c r="C36" s="8" t="s">
        <v>189</v>
      </c>
      <c r="D36" s="8"/>
      <c r="E36" s="9"/>
      <c r="F36" s="8">
        <v>1</v>
      </c>
      <c r="G36" s="10" t="s">
        <v>36</v>
      </c>
      <c r="H36" s="10" t="s">
        <v>199</v>
      </c>
      <c r="I36" s="10" t="s">
        <v>545</v>
      </c>
      <c r="J36" s="9"/>
      <c r="K36" s="8"/>
      <c r="L36" s="10"/>
      <c r="M36" s="10"/>
      <c r="N36" s="8"/>
      <c r="O36" s="11"/>
      <c r="P36" s="8"/>
      <c r="Q36" s="10"/>
      <c r="R36" s="10"/>
      <c r="S36" s="8"/>
      <c r="T36" s="9"/>
      <c r="U36" s="8"/>
      <c r="V36" s="8"/>
      <c r="W36" s="8"/>
      <c r="X36" s="8"/>
      <c r="Y36" s="8"/>
      <c r="Z36" s="8">
        <f t="shared" si="9"/>
        <v>20</v>
      </c>
      <c r="AA36" s="8">
        <f t="shared" si="10"/>
        <v>18.899999999999999</v>
      </c>
      <c r="AB36" s="8">
        <f t="shared" si="11"/>
        <v>26</v>
      </c>
      <c r="AC36" s="8">
        <f t="shared" si="12"/>
        <v>18.600000000000001</v>
      </c>
      <c r="AD36" s="8">
        <f t="shared" si="13"/>
        <v>17.5</v>
      </c>
      <c r="AE36" s="8">
        <f t="shared" si="14"/>
        <v>24.6</v>
      </c>
      <c r="AF36" s="8">
        <f t="shared" si="15"/>
        <v>21.6</v>
      </c>
      <c r="AG36" s="8">
        <f t="shared" si="16"/>
        <v>20.5</v>
      </c>
      <c r="AH36" s="10">
        <f t="shared" si="17"/>
        <v>27.6</v>
      </c>
    </row>
    <row r="37" spans="1:34" ht="45" x14ac:dyDescent="0.25">
      <c r="B37" s="6" t="s">
        <v>209</v>
      </c>
      <c r="C37" s="8" t="s">
        <v>189</v>
      </c>
      <c r="D37" s="8"/>
      <c r="E37" s="9"/>
      <c r="F37" s="8">
        <v>1</v>
      </c>
      <c r="G37" s="10" t="s">
        <v>36</v>
      </c>
      <c r="H37" s="10" t="s">
        <v>210</v>
      </c>
      <c r="I37" s="10" t="s">
        <v>546</v>
      </c>
      <c r="J37" s="9"/>
      <c r="K37" s="8">
        <v>4</v>
      </c>
      <c r="L37" s="10" t="s">
        <v>36</v>
      </c>
      <c r="M37" s="10" t="s">
        <v>211</v>
      </c>
      <c r="N37" s="8" t="s">
        <v>212</v>
      </c>
      <c r="O37" s="11"/>
      <c r="P37" s="8"/>
      <c r="Q37" s="10"/>
      <c r="R37" s="10"/>
      <c r="S37" s="8"/>
      <c r="T37" s="9"/>
      <c r="U37" s="8"/>
      <c r="V37" s="8"/>
      <c r="W37" s="8"/>
      <c r="X37" s="8"/>
      <c r="Y37" s="8"/>
      <c r="Z37" s="8">
        <f t="shared" si="9"/>
        <v>20</v>
      </c>
      <c r="AA37" s="8">
        <f t="shared" si="10"/>
        <v>18.899999999999999</v>
      </c>
      <c r="AB37" s="8">
        <f t="shared" si="11"/>
        <v>26</v>
      </c>
      <c r="AC37" s="8">
        <f t="shared" si="12"/>
        <v>36.200000000000003</v>
      </c>
      <c r="AD37" s="8">
        <f t="shared" si="13"/>
        <v>35.1</v>
      </c>
      <c r="AE37" s="8">
        <f t="shared" si="14"/>
        <v>42.2</v>
      </c>
      <c r="AF37" s="8">
        <f t="shared" si="15"/>
        <v>21.6</v>
      </c>
      <c r="AG37" s="8">
        <f t="shared" si="16"/>
        <v>20.5</v>
      </c>
      <c r="AH37" s="10">
        <f t="shared" si="17"/>
        <v>27.6</v>
      </c>
    </row>
    <row r="38" spans="1:34" ht="30" x14ac:dyDescent="0.25">
      <c r="A38">
        <v>1</v>
      </c>
      <c r="B38" s="6" t="s">
        <v>317</v>
      </c>
      <c r="C38" s="8" t="s">
        <v>189</v>
      </c>
      <c r="D38" s="8"/>
      <c r="E38" s="9"/>
      <c r="F38" s="8">
        <v>1</v>
      </c>
      <c r="G38" s="10" t="s">
        <v>134</v>
      </c>
      <c r="H38" s="10" t="s">
        <v>548</v>
      </c>
      <c r="I38" s="10" t="s">
        <v>547</v>
      </c>
      <c r="J38" s="9"/>
      <c r="K38" s="8"/>
      <c r="L38" s="10"/>
      <c r="M38" s="10"/>
      <c r="N38" s="8"/>
      <c r="O38" s="11"/>
      <c r="P38" s="8"/>
      <c r="Q38" s="10"/>
      <c r="R38" s="10"/>
      <c r="S38" s="8"/>
      <c r="T38" s="9"/>
      <c r="U38" s="8"/>
      <c r="V38" s="8"/>
      <c r="W38" s="8"/>
      <c r="X38" s="8"/>
      <c r="Y38" s="8"/>
      <c r="Z38" s="8">
        <f t="shared" si="9"/>
        <v>20</v>
      </c>
      <c r="AA38" s="8">
        <f t="shared" si="10"/>
        <v>18.899999999999999</v>
      </c>
      <c r="AB38" s="8">
        <f t="shared" si="11"/>
        <v>26</v>
      </c>
      <c r="AC38" s="8">
        <f t="shared" si="12"/>
        <v>18.600000000000001</v>
      </c>
      <c r="AD38" s="8">
        <f t="shared" si="13"/>
        <v>17.5</v>
      </c>
      <c r="AE38" s="8">
        <f t="shared" si="14"/>
        <v>24.6</v>
      </c>
      <c r="AF38" s="8">
        <f t="shared" si="15"/>
        <v>21.6</v>
      </c>
      <c r="AG38" s="8">
        <f t="shared" si="16"/>
        <v>20.5</v>
      </c>
      <c r="AH38" s="10">
        <f t="shared" si="17"/>
        <v>27.6</v>
      </c>
    </row>
    <row r="39" spans="1:34" ht="30" x14ac:dyDescent="0.25">
      <c r="B39" s="6" t="s">
        <v>213</v>
      </c>
      <c r="C39" s="8" t="s">
        <v>189</v>
      </c>
      <c r="D39" s="8"/>
      <c r="E39" s="9"/>
      <c r="F39" s="8">
        <v>1</v>
      </c>
      <c r="G39" s="10" t="s">
        <v>36</v>
      </c>
      <c r="H39" s="10" t="s">
        <v>199</v>
      </c>
      <c r="I39" s="10" t="s">
        <v>549</v>
      </c>
      <c r="J39" s="9"/>
      <c r="K39" s="8"/>
      <c r="L39" s="10"/>
      <c r="M39" s="10"/>
      <c r="N39" s="8"/>
      <c r="O39" s="11"/>
      <c r="P39" s="8"/>
      <c r="Q39" s="10"/>
      <c r="R39" s="10"/>
      <c r="S39" s="8"/>
      <c r="T39" s="9"/>
      <c r="U39" s="8"/>
      <c r="V39" s="8"/>
      <c r="W39" s="8"/>
      <c r="X39" s="8"/>
      <c r="Y39" s="8"/>
      <c r="Z39" s="8">
        <f t="shared" si="9"/>
        <v>20</v>
      </c>
      <c r="AA39" s="8">
        <f t="shared" si="10"/>
        <v>18.899999999999999</v>
      </c>
      <c r="AB39" s="8">
        <f t="shared" si="11"/>
        <v>26</v>
      </c>
      <c r="AC39" s="8">
        <f t="shared" si="12"/>
        <v>18.600000000000001</v>
      </c>
      <c r="AD39" s="8">
        <f t="shared" si="13"/>
        <v>17.5</v>
      </c>
      <c r="AE39" s="8">
        <f t="shared" si="14"/>
        <v>24.6</v>
      </c>
      <c r="AF39" s="8">
        <f t="shared" si="15"/>
        <v>21.6</v>
      </c>
      <c r="AG39" s="8">
        <f t="shared" si="16"/>
        <v>20.5</v>
      </c>
      <c r="AH39" s="10">
        <f t="shared" si="17"/>
        <v>27.6</v>
      </c>
    </row>
    <row r="40" spans="1:34" ht="30" x14ac:dyDescent="0.25">
      <c r="B40" s="6" t="s">
        <v>214</v>
      </c>
      <c r="C40" s="8" t="s">
        <v>189</v>
      </c>
      <c r="D40" s="8"/>
      <c r="E40" s="9"/>
      <c r="F40" s="8">
        <v>1</v>
      </c>
      <c r="G40" s="10" t="s">
        <v>36</v>
      </c>
      <c r="H40" s="10" t="s">
        <v>199</v>
      </c>
      <c r="I40" s="10" t="s">
        <v>215</v>
      </c>
      <c r="J40" s="9"/>
      <c r="K40" s="8"/>
      <c r="L40" s="10"/>
      <c r="M40" s="10"/>
      <c r="N40" s="8"/>
      <c r="O40" s="11"/>
      <c r="P40" s="8"/>
      <c r="Q40" s="10"/>
      <c r="R40" s="10"/>
      <c r="S40" s="8"/>
      <c r="T40" s="9"/>
      <c r="U40" s="8"/>
      <c r="V40" s="8"/>
      <c r="W40" s="8"/>
      <c r="X40" s="8"/>
      <c r="Y40" s="8"/>
      <c r="Z40" s="8">
        <f t="shared" si="9"/>
        <v>20</v>
      </c>
      <c r="AA40" s="8">
        <f t="shared" si="10"/>
        <v>18.899999999999999</v>
      </c>
      <c r="AB40" s="8">
        <f t="shared" si="11"/>
        <v>26</v>
      </c>
      <c r="AC40" s="8">
        <f t="shared" si="12"/>
        <v>18.600000000000001</v>
      </c>
      <c r="AD40" s="8">
        <f t="shared" si="13"/>
        <v>17.5</v>
      </c>
      <c r="AE40" s="8">
        <f t="shared" si="14"/>
        <v>24.6</v>
      </c>
      <c r="AF40" s="8">
        <f t="shared" si="15"/>
        <v>21.6</v>
      </c>
      <c r="AG40" s="8">
        <f t="shared" si="16"/>
        <v>20.5</v>
      </c>
      <c r="AH40" s="10">
        <f t="shared" si="17"/>
        <v>27.6</v>
      </c>
    </row>
    <row r="41" spans="1:34" ht="30" x14ac:dyDescent="0.25">
      <c r="B41" s="6" t="s">
        <v>216</v>
      </c>
      <c r="C41" s="8" t="s">
        <v>189</v>
      </c>
      <c r="D41" s="8" t="s">
        <v>217</v>
      </c>
      <c r="E41" s="9"/>
      <c r="F41" s="8">
        <v>1</v>
      </c>
      <c r="G41" s="8" t="s">
        <v>39</v>
      </c>
      <c r="H41" s="10" t="s">
        <v>218</v>
      </c>
      <c r="I41" s="10" t="s">
        <v>219</v>
      </c>
      <c r="J41" s="9"/>
      <c r="K41" s="8"/>
      <c r="L41" s="10"/>
      <c r="M41" s="10"/>
      <c r="N41" s="8"/>
      <c r="O41" s="11"/>
      <c r="P41" s="8"/>
      <c r="Q41" s="10"/>
      <c r="R41" s="10"/>
      <c r="S41" s="8"/>
      <c r="T41" s="9"/>
      <c r="U41" s="8"/>
      <c r="V41" s="8"/>
      <c r="W41" s="8"/>
      <c r="X41" s="8"/>
      <c r="Y41" s="8"/>
      <c r="Z41" s="8">
        <f t="shared" si="9"/>
        <v>20</v>
      </c>
      <c r="AA41" s="8">
        <f t="shared" si="10"/>
        <v>18.899999999999999</v>
      </c>
      <c r="AB41" s="8">
        <f t="shared" si="11"/>
        <v>26</v>
      </c>
      <c r="AC41" s="8">
        <f t="shared" si="12"/>
        <v>18.600000000000001</v>
      </c>
      <c r="AD41" s="8">
        <f t="shared" si="13"/>
        <v>17.5</v>
      </c>
      <c r="AE41" s="8">
        <f t="shared" si="14"/>
        <v>24.6</v>
      </c>
      <c r="AF41" s="8">
        <f t="shared" si="15"/>
        <v>21.6</v>
      </c>
      <c r="AG41" s="8">
        <f t="shared" si="16"/>
        <v>20.5</v>
      </c>
      <c r="AH41" s="10">
        <f t="shared" si="17"/>
        <v>27.6</v>
      </c>
    </row>
    <row r="42" spans="1:34" ht="75" x14ac:dyDescent="0.25">
      <c r="B42" s="6" t="s">
        <v>220</v>
      </c>
      <c r="C42" s="8" t="s">
        <v>189</v>
      </c>
      <c r="D42" s="8"/>
      <c r="E42" s="9"/>
      <c r="F42" s="8">
        <v>1</v>
      </c>
      <c r="G42" s="8" t="s">
        <v>39</v>
      </c>
      <c r="H42" s="10" t="s">
        <v>221</v>
      </c>
      <c r="I42" s="10" t="s">
        <v>222</v>
      </c>
      <c r="J42" s="9"/>
      <c r="K42" s="8">
        <v>8.4</v>
      </c>
      <c r="L42" s="10" t="s">
        <v>36</v>
      </c>
      <c r="M42" s="10" t="s">
        <v>223</v>
      </c>
      <c r="N42" s="8" t="s">
        <v>224</v>
      </c>
      <c r="O42" s="11"/>
      <c r="P42" s="8"/>
      <c r="Q42" s="10"/>
      <c r="R42" s="10"/>
      <c r="S42" s="8"/>
      <c r="T42" s="9"/>
      <c r="U42" s="8"/>
      <c r="V42" s="8"/>
      <c r="W42" s="8"/>
      <c r="X42" s="8"/>
      <c r="Y42" s="8"/>
      <c r="Z42" s="8">
        <f t="shared" si="9"/>
        <v>20</v>
      </c>
      <c r="AA42" s="8">
        <f t="shared" si="10"/>
        <v>18.899999999999999</v>
      </c>
      <c r="AB42" s="8">
        <f t="shared" si="11"/>
        <v>26</v>
      </c>
      <c r="AC42" s="8">
        <f t="shared" si="12"/>
        <v>55.56</v>
      </c>
      <c r="AD42" s="8">
        <f t="shared" si="13"/>
        <v>54.46</v>
      </c>
      <c r="AE42" s="8">
        <f t="shared" si="14"/>
        <v>61.56</v>
      </c>
      <c r="AF42" s="8">
        <f t="shared" si="15"/>
        <v>21.6</v>
      </c>
      <c r="AG42" s="8">
        <f t="shared" si="16"/>
        <v>20.5</v>
      </c>
      <c r="AH42" s="10">
        <f t="shared" si="17"/>
        <v>27.6</v>
      </c>
    </row>
    <row r="43" spans="1:34" ht="30" x14ac:dyDescent="0.25">
      <c r="B43" s="6" t="s">
        <v>225</v>
      </c>
      <c r="C43" s="8" t="s">
        <v>189</v>
      </c>
      <c r="D43" s="8"/>
      <c r="E43" s="9"/>
      <c r="F43" s="8">
        <v>1</v>
      </c>
      <c r="G43" s="10" t="s">
        <v>36</v>
      </c>
      <c r="H43" s="10" t="s">
        <v>199</v>
      </c>
      <c r="I43" s="10" t="s">
        <v>226</v>
      </c>
      <c r="J43" s="9"/>
      <c r="K43" s="8"/>
      <c r="L43" s="10"/>
      <c r="M43" s="10"/>
      <c r="N43" s="8"/>
      <c r="O43" s="11"/>
      <c r="P43" s="8"/>
      <c r="Q43" s="10"/>
      <c r="R43" s="10"/>
      <c r="S43" s="8"/>
      <c r="T43" s="9"/>
      <c r="U43" s="8"/>
      <c r="V43" s="8"/>
      <c r="W43" s="8"/>
      <c r="X43" s="8"/>
      <c r="Y43" s="8"/>
      <c r="Z43" s="8">
        <f t="shared" si="9"/>
        <v>20</v>
      </c>
      <c r="AA43" s="8">
        <f t="shared" si="10"/>
        <v>18.899999999999999</v>
      </c>
      <c r="AB43" s="8">
        <f t="shared" si="11"/>
        <v>26</v>
      </c>
      <c r="AC43" s="8">
        <f t="shared" si="12"/>
        <v>18.600000000000001</v>
      </c>
      <c r="AD43" s="8">
        <f t="shared" si="13"/>
        <v>17.5</v>
      </c>
      <c r="AE43" s="8">
        <f t="shared" si="14"/>
        <v>24.6</v>
      </c>
      <c r="AF43" s="8">
        <f t="shared" si="15"/>
        <v>21.6</v>
      </c>
      <c r="AG43" s="8">
        <f t="shared" si="16"/>
        <v>20.5</v>
      </c>
      <c r="AH43" s="10">
        <f t="shared" si="17"/>
        <v>27.6</v>
      </c>
    </row>
    <row r="44" spans="1:34" ht="45" x14ac:dyDescent="0.25">
      <c r="B44" s="6" t="s">
        <v>227</v>
      </c>
      <c r="C44" s="8" t="s">
        <v>189</v>
      </c>
      <c r="D44" s="8"/>
      <c r="E44" s="9"/>
      <c r="F44" s="8">
        <v>1</v>
      </c>
      <c r="G44" s="10" t="s">
        <v>36</v>
      </c>
      <c r="H44" s="10" t="s">
        <v>199</v>
      </c>
      <c r="I44" s="10" t="s">
        <v>550</v>
      </c>
      <c r="J44" s="9"/>
      <c r="K44" s="8"/>
      <c r="L44" s="10"/>
      <c r="M44" s="10"/>
      <c r="N44" s="8"/>
      <c r="O44" s="11"/>
      <c r="P44" s="8"/>
      <c r="Q44" s="10"/>
      <c r="R44" s="10"/>
      <c r="S44" s="8"/>
      <c r="T44" s="9"/>
      <c r="U44" s="8"/>
      <c r="V44" s="8"/>
      <c r="W44" s="8"/>
      <c r="X44" s="8"/>
      <c r="Y44" s="8"/>
      <c r="Z44" s="8">
        <f t="shared" si="9"/>
        <v>20</v>
      </c>
      <c r="AA44" s="8">
        <f t="shared" si="10"/>
        <v>18.899999999999999</v>
      </c>
      <c r="AB44" s="8">
        <f t="shared" si="11"/>
        <v>26</v>
      </c>
      <c r="AC44" s="8">
        <f t="shared" si="12"/>
        <v>18.600000000000001</v>
      </c>
      <c r="AD44" s="8">
        <f t="shared" si="13"/>
        <v>17.5</v>
      </c>
      <c r="AE44" s="8">
        <f t="shared" si="14"/>
        <v>24.6</v>
      </c>
      <c r="AF44" s="8">
        <f t="shared" si="15"/>
        <v>21.6</v>
      </c>
      <c r="AG44" s="8">
        <f t="shared" si="16"/>
        <v>20.5</v>
      </c>
      <c r="AH44" s="10">
        <f t="shared" si="17"/>
        <v>27.6</v>
      </c>
    </row>
    <row r="45" spans="1:34" ht="90" x14ac:dyDescent="0.25">
      <c r="B45" s="6" t="s">
        <v>228</v>
      </c>
      <c r="C45" s="8" t="s">
        <v>189</v>
      </c>
      <c r="D45" s="8"/>
      <c r="E45" s="9"/>
      <c r="F45" s="8">
        <v>1</v>
      </c>
      <c r="G45" s="10" t="s">
        <v>36</v>
      </c>
      <c r="H45" s="10" t="s">
        <v>229</v>
      </c>
      <c r="I45" s="10" t="s">
        <v>230</v>
      </c>
      <c r="J45" s="9"/>
      <c r="K45" s="8">
        <v>4</v>
      </c>
      <c r="L45" s="10" t="s">
        <v>39</v>
      </c>
      <c r="M45" s="10" t="s">
        <v>231</v>
      </c>
      <c r="N45" s="8" t="s">
        <v>232</v>
      </c>
      <c r="O45" s="11"/>
      <c r="P45" s="8">
        <v>8</v>
      </c>
      <c r="Q45" s="8" t="s">
        <v>39</v>
      </c>
      <c r="R45" s="10" t="s">
        <v>233</v>
      </c>
      <c r="S45" s="8" t="s">
        <v>234</v>
      </c>
      <c r="T45" s="9"/>
      <c r="U45" s="8"/>
      <c r="V45" s="8"/>
      <c r="W45" s="8"/>
      <c r="X45" s="8"/>
      <c r="Y45" s="8"/>
      <c r="Z45" s="8">
        <f t="shared" si="9"/>
        <v>20</v>
      </c>
      <c r="AA45" s="8">
        <f t="shared" si="10"/>
        <v>18.899999999999999</v>
      </c>
      <c r="AB45" s="8">
        <f t="shared" si="11"/>
        <v>26</v>
      </c>
      <c r="AC45" s="8">
        <f t="shared" si="12"/>
        <v>36.200000000000003</v>
      </c>
      <c r="AD45" s="8">
        <f t="shared" si="13"/>
        <v>35.1</v>
      </c>
      <c r="AE45" s="8">
        <f t="shared" si="14"/>
        <v>42.2</v>
      </c>
      <c r="AF45" s="8">
        <f t="shared" si="15"/>
        <v>56.800000000000004</v>
      </c>
      <c r="AG45" s="8">
        <f t="shared" si="16"/>
        <v>55.7</v>
      </c>
      <c r="AH45" s="10">
        <f t="shared" si="17"/>
        <v>62.800000000000004</v>
      </c>
    </row>
    <row r="46" spans="1:34" ht="30" x14ac:dyDescent="0.25">
      <c r="A46">
        <v>1</v>
      </c>
      <c r="B46" s="6" t="s">
        <v>235</v>
      </c>
      <c r="C46" s="8" t="s">
        <v>189</v>
      </c>
      <c r="D46" s="8" t="s">
        <v>236</v>
      </c>
      <c r="E46" s="9"/>
      <c r="F46" s="8">
        <v>1</v>
      </c>
      <c r="G46" s="10" t="s">
        <v>134</v>
      </c>
      <c r="H46" s="10" t="s">
        <v>237</v>
      </c>
      <c r="I46" s="10" t="s">
        <v>238</v>
      </c>
      <c r="J46" s="9"/>
      <c r="K46" s="8"/>
      <c r="L46" s="10"/>
      <c r="M46" s="10"/>
      <c r="N46" s="8"/>
      <c r="O46" s="11"/>
      <c r="P46" s="8"/>
      <c r="Q46" s="10"/>
      <c r="R46" s="10"/>
      <c r="S46" s="8"/>
      <c r="T46" s="9"/>
      <c r="U46" s="8"/>
      <c r="V46" s="8"/>
      <c r="W46" s="8"/>
      <c r="X46" s="8"/>
      <c r="Y46" s="8"/>
      <c r="Z46" s="8">
        <f t="shared" si="9"/>
        <v>20</v>
      </c>
      <c r="AA46" s="8">
        <f t="shared" si="10"/>
        <v>18.899999999999999</v>
      </c>
      <c r="AB46" s="8">
        <f t="shared" si="11"/>
        <v>26</v>
      </c>
      <c r="AC46" s="8">
        <f t="shared" si="12"/>
        <v>18.600000000000001</v>
      </c>
      <c r="AD46" s="8">
        <f t="shared" si="13"/>
        <v>17.5</v>
      </c>
      <c r="AE46" s="8">
        <f t="shared" si="14"/>
        <v>24.6</v>
      </c>
      <c r="AF46" s="8">
        <f t="shared" si="15"/>
        <v>21.6</v>
      </c>
      <c r="AG46" s="8">
        <f t="shared" si="16"/>
        <v>20.5</v>
      </c>
      <c r="AH46" s="10">
        <f t="shared" si="17"/>
        <v>27.6</v>
      </c>
    </row>
    <row r="47" spans="1:34" ht="60" x14ac:dyDescent="0.25">
      <c r="B47" s="6" t="s">
        <v>239</v>
      </c>
      <c r="C47" s="8" t="s">
        <v>189</v>
      </c>
      <c r="D47" s="8"/>
      <c r="E47" s="9"/>
      <c r="F47" s="8">
        <v>1</v>
      </c>
      <c r="G47" s="10" t="s">
        <v>36</v>
      </c>
      <c r="H47" s="10" t="s">
        <v>240</v>
      </c>
      <c r="I47" s="10" t="s">
        <v>241</v>
      </c>
      <c r="J47" s="9"/>
      <c r="K47" s="8">
        <v>5</v>
      </c>
      <c r="L47" s="10" t="s">
        <v>36</v>
      </c>
      <c r="M47" s="10" t="s">
        <v>242</v>
      </c>
      <c r="N47" s="8" t="s">
        <v>243</v>
      </c>
      <c r="O47" s="11"/>
      <c r="P47" s="8"/>
      <c r="Q47" s="10"/>
      <c r="R47" s="10"/>
      <c r="S47" s="8"/>
      <c r="T47" s="9"/>
      <c r="U47" s="8"/>
      <c r="V47" s="8"/>
      <c r="W47" s="8"/>
      <c r="X47" s="8"/>
      <c r="Y47" s="8"/>
      <c r="Z47" s="8">
        <f t="shared" si="9"/>
        <v>20</v>
      </c>
      <c r="AA47" s="8">
        <f t="shared" si="10"/>
        <v>18.899999999999999</v>
      </c>
      <c r="AB47" s="8">
        <f t="shared" si="11"/>
        <v>26</v>
      </c>
      <c r="AC47" s="8">
        <f t="shared" si="12"/>
        <v>40.6</v>
      </c>
      <c r="AD47" s="8">
        <f t="shared" si="13"/>
        <v>39.5</v>
      </c>
      <c r="AE47" s="8">
        <f t="shared" si="14"/>
        <v>46.6</v>
      </c>
      <c r="AF47" s="8">
        <f t="shared" si="15"/>
        <v>21.6</v>
      </c>
      <c r="AG47" s="8">
        <f t="shared" si="16"/>
        <v>20.5</v>
      </c>
      <c r="AH47" s="10">
        <f t="shared" si="17"/>
        <v>27.6</v>
      </c>
    </row>
    <row r="48" spans="1:34" ht="45" x14ac:dyDescent="0.25">
      <c r="B48" s="6" t="s">
        <v>244</v>
      </c>
      <c r="C48" s="8" t="s">
        <v>189</v>
      </c>
      <c r="D48" s="8"/>
      <c r="E48" s="9"/>
      <c r="F48" s="8">
        <v>1</v>
      </c>
      <c r="G48" s="10" t="s">
        <v>36</v>
      </c>
      <c r="H48" s="10" t="s">
        <v>199</v>
      </c>
      <c r="I48" s="10" t="s">
        <v>245</v>
      </c>
      <c r="J48" s="9"/>
      <c r="K48" s="8"/>
      <c r="L48" s="10"/>
      <c r="M48" s="10"/>
      <c r="N48" s="8"/>
      <c r="O48" s="11"/>
      <c r="P48" s="8"/>
      <c r="Q48" s="10"/>
      <c r="R48" s="10"/>
      <c r="S48" s="8"/>
      <c r="T48" s="9"/>
      <c r="U48" s="8"/>
      <c r="V48" s="8"/>
      <c r="W48" s="8"/>
      <c r="X48" s="8"/>
      <c r="Y48" s="8"/>
      <c r="Z48" s="8">
        <f t="shared" si="9"/>
        <v>20</v>
      </c>
      <c r="AA48" s="8">
        <f t="shared" si="10"/>
        <v>18.899999999999999</v>
      </c>
      <c r="AB48" s="8">
        <f t="shared" si="11"/>
        <v>26</v>
      </c>
      <c r="AC48" s="8">
        <f t="shared" si="12"/>
        <v>18.600000000000001</v>
      </c>
      <c r="AD48" s="8">
        <f t="shared" si="13"/>
        <v>17.5</v>
      </c>
      <c r="AE48" s="8">
        <f t="shared" si="14"/>
        <v>24.6</v>
      </c>
      <c r="AF48" s="8">
        <f t="shared" si="15"/>
        <v>21.6</v>
      </c>
      <c r="AG48" s="8">
        <f t="shared" si="16"/>
        <v>20.5</v>
      </c>
      <c r="AH48" s="10">
        <f t="shared" si="17"/>
        <v>27.6</v>
      </c>
    </row>
    <row r="49" spans="1:34" ht="45" x14ac:dyDescent="0.25">
      <c r="A49">
        <v>1</v>
      </c>
      <c r="B49" s="6" t="s">
        <v>246</v>
      </c>
      <c r="C49" s="8" t="s">
        <v>189</v>
      </c>
      <c r="D49" s="8"/>
      <c r="E49" s="9"/>
      <c r="F49" s="8">
        <v>1</v>
      </c>
      <c r="G49" s="10" t="s">
        <v>36</v>
      </c>
      <c r="H49" s="10" t="s">
        <v>247</v>
      </c>
      <c r="I49" s="10" t="s">
        <v>248</v>
      </c>
      <c r="J49" s="9"/>
      <c r="K49" s="8">
        <v>5</v>
      </c>
      <c r="L49" s="8" t="s">
        <v>39</v>
      </c>
      <c r="M49" s="10" t="s">
        <v>551</v>
      </c>
      <c r="N49" s="8" t="s">
        <v>249</v>
      </c>
      <c r="O49" s="11"/>
      <c r="P49" s="8"/>
      <c r="Q49" s="10"/>
      <c r="R49" s="10"/>
      <c r="S49" s="8"/>
      <c r="T49" s="9"/>
      <c r="U49" s="8"/>
      <c r="V49" s="8"/>
      <c r="W49" s="8"/>
      <c r="X49" s="8"/>
      <c r="Y49" s="8"/>
      <c r="Z49" s="8">
        <f t="shared" si="9"/>
        <v>20</v>
      </c>
      <c r="AA49" s="8">
        <f t="shared" si="10"/>
        <v>18.899999999999999</v>
      </c>
      <c r="AB49" s="8">
        <f t="shared" si="11"/>
        <v>26</v>
      </c>
      <c r="AC49" s="8">
        <f t="shared" si="12"/>
        <v>40.6</v>
      </c>
      <c r="AD49" s="8">
        <f t="shared" si="13"/>
        <v>39.5</v>
      </c>
      <c r="AE49" s="8">
        <f t="shared" si="14"/>
        <v>46.6</v>
      </c>
      <c r="AF49" s="8">
        <f t="shared" si="15"/>
        <v>21.6</v>
      </c>
      <c r="AG49" s="8">
        <f t="shared" si="16"/>
        <v>20.5</v>
      </c>
      <c r="AH49" s="10">
        <f t="shared" si="17"/>
        <v>27.6</v>
      </c>
    </row>
    <row r="50" spans="1:34" ht="45" x14ac:dyDescent="0.25">
      <c r="B50" s="6" t="s">
        <v>250</v>
      </c>
      <c r="C50" s="8" t="s">
        <v>189</v>
      </c>
      <c r="D50" s="8"/>
      <c r="E50" s="9"/>
      <c r="F50" s="8">
        <v>1</v>
      </c>
      <c r="G50" s="8" t="s">
        <v>39</v>
      </c>
      <c r="H50" s="10" t="s">
        <v>251</v>
      </c>
      <c r="I50" s="10" t="s">
        <v>252</v>
      </c>
      <c r="J50" s="9"/>
      <c r="K50" s="8"/>
      <c r="L50" s="10"/>
      <c r="M50" s="10"/>
      <c r="N50" s="8"/>
      <c r="O50" s="11"/>
      <c r="P50" s="8"/>
      <c r="Q50" s="10"/>
      <c r="R50" s="10"/>
      <c r="S50" s="8"/>
      <c r="T50" s="9"/>
      <c r="U50" s="8"/>
      <c r="V50" s="8"/>
      <c r="W50" s="8"/>
      <c r="X50" s="8"/>
      <c r="Y50" s="8"/>
      <c r="Z50" s="8">
        <f t="shared" si="9"/>
        <v>20</v>
      </c>
      <c r="AA50" s="8">
        <f t="shared" si="10"/>
        <v>18.899999999999999</v>
      </c>
      <c r="AB50" s="8">
        <f t="shared" si="11"/>
        <v>26</v>
      </c>
      <c r="AC50" s="8">
        <f t="shared" si="12"/>
        <v>18.600000000000001</v>
      </c>
      <c r="AD50" s="8">
        <f t="shared" si="13"/>
        <v>17.5</v>
      </c>
      <c r="AE50" s="8">
        <f t="shared" si="14"/>
        <v>24.6</v>
      </c>
      <c r="AF50" s="8">
        <f t="shared" si="15"/>
        <v>21.6</v>
      </c>
      <c r="AG50" s="8">
        <f t="shared" si="16"/>
        <v>20.5</v>
      </c>
      <c r="AH50" s="10">
        <f t="shared" si="17"/>
        <v>27.6</v>
      </c>
    </row>
    <row r="51" spans="1:34" ht="30" x14ac:dyDescent="0.25">
      <c r="B51" s="6" t="s">
        <v>253</v>
      </c>
      <c r="C51" s="8" t="s">
        <v>189</v>
      </c>
      <c r="D51" s="8"/>
      <c r="E51" s="9"/>
      <c r="F51" s="8">
        <v>1</v>
      </c>
      <c r="G51" s="8" t="s">
        <v>39</v>
      </c>
      <c r="H51" s="10" t="s">
        <v>254</v>
      </c>
      <c r="I51" s="10" t="s">
        <v>552</v>
      </c>
      <c r="J51" s="9"/>
      <c r="K51" s="8"/>
      <c r="L51" s="10"/>
      <c r="M51" s="10"/>
      <c r="N51" s="8"/>
      <c r="O51" s="11"/>
      <c r="P51" s="8"/>
      <c r="Q51" s="10"/>
      <c r="R51" s="10"/>
      <c r="S51" s="8"/>
      <c r="T51" s="9"/>
      <c r="U51" s="8"/>
      <c r="V51" s="8"/>
      <c r="W51" s="8"/>
      <c r="X51" s="8"/>
      <c r="Y51" s="8"/>
      <c r="Z51" s="8">
        <f t="shared" si="9"/>
        <v>20</v>
      </c>
      <c r="AA51" s="8">
        <f t="shared" si="10"/>
        <v>18.899999999999999</v>
      </c>
      <c r="AB51" s="8">
        <f t="shared" si="11"/>
        <v>26</v>
      </c>
      <c r="AC51" s="8">
        <f t="shared" si="12"/>
        <v>18.600000000000001</v>
      </c>
      <c r="AD51" s="8">
        <f t="shared" si="13"/>
        <v>17.5</v>
      </c>
      <c r="AE51" s="8">
        <f t="shared" si="14"/>
        <v>24.6</v>
      </c>
      <c r="AF51" s="8">
        <f t="shared" si="15"/>
        <v>21.6</v>
      </c>
      <c r="AG51" s="8">
        <f t="shared" si="16"/>
        <v>20.5</v>
      </c>
      <c r="AH51" s="10">
        <f t="shared" si="17"/>
        <v>27.6</v>
      </c>
    </row>
    <row r="52" spans="1:34" ht="90" x14ac:dyDescent="0.25">
      <c r="B52" s="6" t="s">
        <v>255</v>
      </c>
      <c r="C52" s="8" t="s">
        <v>189</v>
      </c>
      <c r="D52" s="8"/>
      <c r="E52" s="9"/>
      <c r="F52" s="8">
        <v>1</v>
      </c>
      <c r="G52" s="8" t="s">
        <v>39</v>
      </c>
      <c r="H52" s="10" t="s">
        <v>256</v>
      </c>
      <c r="I52" s="10" t="s">
        <v>257</v>
      </c>
      <c r="J52" s="9"/>
      <c r="K52" s="8"/>
      <c r="L52" s="10"/>
      <c r="M52" s="10"/>
      <c r="N52" s="8"/>
      <c r="O52" s="11"/>
      <c r="P52" s="8"/>
      <c r="Q52" s="10"/>
      <c r="R52" s="10"/>
      <c r="S52" s="8"/>
      <c r="T52" s="9"/>
      <c r="U52" s="8"/>
      <c r="V52" s="8"/>
      <c r="W52" s="8"/>
      <c r="X52" s="8"/>
      <c r="Y52" s="8"/>
      <c r="Z52" s="8">
        <f t="shared" si="9"/>
        <v>20</v>
      </c>
      <c r="AA52" s="8">
        <f t="shared" si="10"/>
        <v>18.899999999999999</v>
      </c>
      <c r="AB52" s="8">
        <f t="shared" si="11"/>
        <v>26</v>
      </c>
      <c r="AC52" s="8">
        <f t="shared" si="12"/>
        <v>18.600000000000001</v>
      </c>
      <c r="AD52" s="8">
        <f t="shared" si="13"/>
        <v>17.5</v>
      </c>
      <c r="AE52" s="8">
        <f t="shared" si="14"/>
        <v>24.6</v>
      </c>
      <c r="AF52" s="8">
        <f t="shared" si="15"/>
        <v>21.6</v>
      </c>
      <c r="AG52" s="8">
        <f t="shared" si="16"/>
        <v>20.5</v>
      </c>
      <c r="AH52" s="10">
        <f t="shared" si="17"/>
        <v>27.6</v>
      </c>
    </row>
    <row r="53" spans="1:34" ht="30" x14ac:dyDescent="0.25">
      <c r="B53" s="6" t="s">
        <v>258</v>
      </c>
      <c r="C53" s="8" t="s">
        <v>189</v>
      </c>
      <c r="D53" s="8"/>
      <c r="E53" s="9"/>
      <c r="F53" s="8">
        <v>1</v>
      </c>
      <c r="G53" s="8" t="s">
        <v>39</v>
      </c>
      <c r="H53" s="10" t="s">
        <v>259</v>
      </c>
      <c r="I53" s="10" t="s">
        <v>260</v>
      </c>
      <c r="J53" s="9"/>
      <c r="K53" s="8"/>
      <c r="L53" s="10"/>
      <c r="M53" s="10"/>
      <c r="N53" s="8"/>
      <c r="O53" s="11"/>
      <c r="P53" s="8"/>
      <c r="Q53" s="10"/>
      <c r="R53" s="10"/>
      <c r="S53" s="8"/>
      <c r="T53" s="9"/>
      <c r="U53" s="8"/>
      <c r="V53" s="8"/>
      <c r="W53" s="8"/>
      <c r="X53" s="8"/>
      <c r="Y53" s="8"/>
      <c r="Z53" s="8">
        <f t="shared" si="9"/>
        <v>20</v>
      </c>
      <c r="AA53" s="8">
        <f t="shared" si="10"/>
        <v>18.899999999999999</v>
      </c>
      <c r="AB53" s="8">
        <f t="shared" si="11"/>
        <v>26</v>
      </c>
      <c r="AC53" s="8">
        <f t="shared" si="12"/>
        <v>18.600000000000001</v>
      </c>
      <c r="AD53" s="8">
        <f t="shared" si="13"/>
        <v>17.5</v>
      </c>
      <c r="AE53" s="8">
        <f t="shared" si="14"/>
        <v>24.6</v>
      </c>
      <c r="AF53" s="8">
        <f t="shared" si="15"/>
        <v>21.6</v>
      </c>
      <c r="AG53" s="8">
        <f t="shared" si="16"/>
        <v>20.5</v>
      </c>
      <c r="AH53" s="10">
        <f t="shared" si="17"/>
        <v>27.6</v>
      </c>
    </row>
    <row r="54" spans="1:34" ht="45" x14ac:dyDescent="0.25">
      <c r="A54">
        <v>1</v>
      </c>
      <c r="B54" s="6" t="s">
        <v>261</v>
      </c>
      <c r="C54" s="8" t="s">
        <v>189</v>
      </c>
      <c r="D54" s="8"/>
      <c r="E54" s="9"/>
      <c r="F54" s="8">
        <v>1</v>
      </c>
      <c r="G54" s="8" t="s">
        <v>39</v>
      </c>
      <c r="H54" s="10" t="s">
        <v>262</v>
      </c>
      <c r="I54" s="10" t="s">
        <v>263</v>
      </c>
      <c r="J54" s="9"/>
      <c r="K54" s="8">
        <v>4</v>
      </c>
      <c r="L54" s="10" t="s">
        <v>36</v>
      </c>
      <c r="M54" s="10" t="s">
        <v>264</v>
      </c>
      <c r="N54" s="8" t="s">
        <v>265</v>
      </c>
      <c r="O54" s="11"/>
      <c r="P54" s="8"/>
      <c r="Q54" s="10"/>
      <c r="R54" s="10"/>
      <c r="S54" s="8"/>
      <c r="T54" s="9"/>
      <c r="U54" s="8"/>
      <c r="V54" s="8"/>
      <c r="W54" s="8"/>
      <c r="X54" s="8"/>
      <c r="Y54" s="8"/>
      <c r="Z54" s="8">
        <f t="shared" si="9"/>
        <v>20</v>
      </c>
      <c r="AA54" s="8">
        <f t="shared" si="10"/>
        <v>18.899999999999999</v>
      </c>
      <c r="AB54" s="8">
        <f t="shared" si="11"/>
        <v>26</v>
      </c>
      <c r="AC54" s="8">
        <f t="shared" si="12"/>
        <v>36.200000000000003</v>
      </c>
      <c r="AD54" s="8">
        <f t="shared" si="13"/>
        <v>35.1</v>
      </c>
      <c r="AE54" s="8">
        <f t="shared" si="14"/>
        <v>42.2</v>
      </c>
      <c r="AF54" s="8">
        <f t="shared" si="15"/>
        <v>21.6</v>
      </c>
      <c r="AG54" s="8">
        <f t="shared" si="16"/>
        <v>20.5</v>
      </c>
      <c r="AH54" s="10">
        <f t="shared" si="17"/>
        <v>27.6</v>
      </c>
    </row>
    <row r="55" spans="1:34" ht="45" x14ac:dyDescent="0.25">
      <c r="B55" s="6" t="s">
        <v>266</v>
      </c>
      <c r="C55" s="8" t="s">
        <v>189</v>
      </c>
      <c r="D55" s="8"/>
      <c r="E55" s="9"/>
      <c r="F55" s="8">
        <v>1</v>
      </c>
      <c r="G55" s="10" t="s">
        <v>36</v>
      </c>
      <c r="H55" s="10" t="s">
        <v>199</v>
      </c>
      <c r="I55" s="10" t="s">
        <v>267</v>
      </c>
      <c r="J55" s="9"/>
      <c r="K55" s="8"/>
      <c r="L55" s="10"/>
      <c r="M55" s="10"/>
      <c r="N55" s="8"/>
      <c r="O55" s="11"/>
      <c r="P55" s="8"/>
      <c r="Q55" s="10"/>
      <c r="R55" s="10"/>
      <c r="S55" s="8"/>
      <c r="T55" s="9"/>
      <c r="U55" s="8"/>
      <c r="V55" s="8"/>
      <c r="W55" s="8"/>
      <c r="X55" s="8"/>
      <c r="Y55" s="8"/>
      <c r="Z55" s="8">
        <f t="shared" si="9"/>
        <v>20</v>
      </c>
      <c r="AA55" s="8">
        <f t="shared" si="10"/>
        <v>18.899999999999999</v>
      </c>
      <c r="AB55" s="8">
        <f t="shared" si="11"/>
        <v>26</v>
      </c>
      <c r="AC55" s="8">
        <f t="shared" si="12"/>
        <v>18.600000000000001</v>
      </c>
      <c r="AD55" s="8">
        <f t="shared" si="13"/>
        <v>17.5</v>
      </c>
      <c r="AE55" s="8">
        <f t="shared" si="14"/>
        <v>24.6</v>
      </c>
      <c r="AF55" s="8">
        <f t="shared" si="15"/>
        <v>21.6</v>
      </c>
      <c r="AG55" s="8">
        <f t="shared" si="16"/>
        <v>20.5</v>
      </c>
      <c r="AH55" s="10">
        <f t="shared" si="17"/>
        <v>27.6</v>
      </c>
    </row>
    <row r="56" spans="1:34" ht="60" x14ac:dyDescent="0.25">
      <c r="B56" s="6" t="s">
        <v>268</v>
      </c>
      <c r="C56" s="8" t="s">
        <v>189</v>
      </c>
      <c r="D56" s="8"/>
      <c r="E56" s="9"/>
      <c r="F56" s="8">
        <v>1</v>
      </c>
      <c r="G56" s="10" t="s">
        <v>36</v>
      </c>
      <c r="H56" s="10" t="s">
        <v>269</v>
      </c>
      <c r="I56" s="10" t="s">
        <v>270</v>
      </c>
      <c r="J56" s="9"/>
      <c r="K56" s="8">
        <v>5</v>
      </c>
      <c r="L56" s="8" t="s">
        <v>39</v>
      </c>
      <c r="M56" s="10" t="s">
        <v>271</v>
      </c>
      <c r="N56" s="8" t="s">
        <v>272</v>
      </c>
      <c r="O56" s="11"/>
      <c r="P56" s="8"/>
      <c r="Q56" s="10"/>
      <c r="R56" s="10"/>
      <c r="S56" s="8"/>
      <c r="T56" s="9"/>
      <c r="U56" s="8"/>
      <c r="V56" s="8"/>
      <c r="W56" s="8"/>
      <c r="X56" s="8"/>
      <c r="Y56" s="8"/>
      <c r="Z56" s="8">
        <f t="shared" si="9"/>
        <v>20</v>
      </c>
      <c r="AA56" s="8">
        <f t="shared" si="10"/>
        <v>18.899999999999999</v>
      </c>
      <c r="AB56" s="8">
        <f t="shared" si="11"/>
        <v>26</v>
      </c>
      <c r="AC56" s="8">
        <f t="shared" si="12"/>
        <v>40.6</v>
      </c>
      <c r="AD56" s="8">
        <f t="shared" si="13"/>
        <v>39.5</v>
      </c>
      <c r="AE56" s="8">
        <f t="shared" si="14"/>
        <v>46.6</v>
      </c>
      <c r="AF56" s="8">
        <f t="shared" si="15"/>
        <v>21.6</v>
      </c>
      <c r="AG56" s="8">
        <f t="shared" si="16"/>
        <v>20.5</v>
      </c>
      <c r="AH56" s="10">
        <f t="shared" si="17"/>
        <v>27.6</v>
      </c>
    </row>
    <row r="57" spans="1:34" ht="45" x14ac:dyDescent="0.25">
      <c r="B57" s="6" t="s">
        <v>273</v>
      </c>
      <c r="C57" s="8" t="s">
        <v>189</v>
      </c>
      <c r="D57" s="8"/>
      <c r="E57" s="9"/>
      <c r="F57" s="8">
        <v>1</v>
      </c>
      <c r="G57" s="8" t="s">
        <v>39</v>
      </c>
      <c r="H57" s="10" t="s">
        <v>274</v>
      </c>
      <c r="I57" s="10" t="s">
        <v>275</v>
      </c>
      <c r="J57" s="9"/>
      <c r="K57" s="8">
        <v>4</v>
      </c>
      <c r="L57" s="10" t="s">
        <v>36</v>
      </c>
      <c r="M57" s="10" t="s">
        <v>276</v>
      </c>
      <c r="N57" s="8" t="s">
        <v>277</v>
      </c>
      <c r="O57" s="11"/>
      <c r="P57" s="8"/>
      <c r="Q57" s="10"/>
      <c r="R57" s="10"/>
      <c r="S57" s="8"/>
      <c r="T57" s="9"/>
      <c r="U57" s="8"/>
      <c r="V57" s="8"/>
      <c r="W57" s="8"/>
      <c r="X57" s="8"/>
      <c r="Y57" s="8"/>
      <c r="Z57" s="8">
        <f t="shared" si="9"/>
        <v>20</v>
      </c>
      <c r="AA57" s="8">
        <f t="shared" si="10"/>
        <v>18.899999999999999</v>
      </c>
      <c r="AB57" s="8">
        <f t="shared" si="11"/>
        <v>26</v>
      </c>
      <c r="AC57" s="8">
        <f t="shared" si="12"/>
        <v>36.200000000000003</v>
      </c>
      <c r="AD57" s="8">
        <f t="shared" si="13"/>
        <v>35.1</v>
      </c>
      <c r="AE57" s="8">
        <f t="shared" si="14"/>
        <v>42.2</v>
      </c>
      <c r="AF57" s="8">
        <f t="shared" si="15"/>
        <v>21.6</v>
      </c>
      <c r="AG57" s="8">
        <f t="shared" si="16"/>
        <v>20.5</v>
      </c>
      <c r="AH57" s="10">
        <f t="shared" si="17"/>
        <v>27.6</v>
      </c>
    </row>
    <row r="58" spans="1:34" ht="45" x14ac:dyDescent="0.25">
      <c r="B58" s="6" t="s">
        <v>278</v>
      </c>
      <c r="C58" s="8" t="s">
        <v>189</v>
      </c>
      <c r="D58" s="8"/>
      <c r="E58" s="9"/>
      <c r="F58" s="8">
        <v>1</v>
      </c>
      <c r="G58" s="10" t="s">
        <v>36</v>
      </c>
      <c r="H58" s="10" t="s">
        <v>279</v>
      </c>
      <c r="I58" s="10" t="s">
        <v>280</v>
      </c>
      <c r="J58" s="9"/>
      <c r="K58" s="8">
        <v>5</v>
      </c>
      <c r="L58" s="10" t="s">
        <v>134</v>
      </c>
      <c r="M58" s="10" t="s">
        <v>281</v>
      </c>
      <c r="N58" s="8" t="s">
        <v>282</v>
      </c>
      <c r="O58" s="11"/>
      <c r="P58" s="8"/>
      <c r="Q58" s="10"/>
      <c r="R58" s="10"/>
      <c r="S58" s="8"/>
      <c r="T58" s="9"/>
      <c r="U58" s="8"/>
      <c r="V58" s="8"/>
      <c r="W58" s="8"/>
      <c r="X58" s="8"/>
      <c r="Y58" s="8"/>
      <c r="Z58" s="8">
        <f t="shared" si="9"/>
        <v>20</v>
      </c>
      <c r="AA58" s="8">
        <f t="shared" si="10"/>
        <v>18.899999999999999</v>
      </c>
      <c r="AB58" s="8">
        <f t="shared" si="11"/>
        <v>26</v>
      </c>
      <c r="AC58" s="8">
        <f t="shared" si="12"/>
        <v>40.6</v>
      </c>
      <c r="AD58" s="8">
        <f t="shared" si="13"/>
        <v>39.5</v>
      </c>
      <c r="AE58" s="8">
        <f t="shared" si="14"/>
        <v>46.6</v>
      </c>
      <c r="AF58" s="8">
        <f t="shared" si="15"/>
        <v>21.6</v>
      </c>
      <c r="AG58" s="8">
        <f t="shared" si="16"/>
        <v>20.5</v>
      </c>
      <c r="AH58" s="10">
        <f t="shared" si="17"/>
        <v>27.6</v>
      </c>
    </row>
    <row r="59" spans="1:34" ht="45" x14ac:dyDescent="0.25">
      <c r="B59" s="6" t="s">
        <v>283</v>
      </c>
      <c r="C59" s="8" t="s">
        <v>189</v>
      </c>
      <c r="D59" s="8"/>
      <c r="E59" s="9"/>
      <c r="F59" s="8">
        <v>1</v>
      </c>
      <c r="G59" s="10" t="s">
        <v>36</v>
      </c>
      <c r="H59" s="10" t="s">
        <v>199</v>
      </c>
      <c r="I59" s="10" t="s">
        <v>284</v>
      </c>
      <c r="J59" s="9"/>
      <c r="K59" s="8"/>
      <c r="L59" s="10"/>
      <c r="M59" s="10"/>
      <c r="N59" s="8"/>
      <c r="O59" s="11"/>
      <c r="P59" s="8"/>
      <c r="Q59" s="10"/>
      <c r="R59" s="10"/>
      <c r="S59" s="8"/>
      <c r="T59" s="9"/>
      <c r="U59" s="8"/>
      <c r="V59" s="8"/>
      <c r="W59" s="8"/>
      <c r="X59" s="8"/>
      <c r="Y59" s="8"/>
      <c r="Z59" s="8">
        <f t="shared" si="9"/>
        <v>20</v>
      </c>
      <c r="AA59" s="8">
        <f t="shared" si="10"/>
        <v>18.899999999999999</v>
      </c>
      <c r="AB59" s="8">
        <f t="shared" si="11"/>
        <v>26</v>
      </c>
      <c r="AC59" s="8">
        <f t="shared" si="12"/>
        <v>18.600000000000001</v>
      </c>
      <c r="AD59" s="8">
        <f t="shared" si="13"/>
        <v>17.5</v>
      </c>
      <c r="AE59" s="8">
        <f t="shared" si="14"/>
        <v>24.6</v>
      </c>
      <c r="AF59" s="8">
        <f t="shared" si="15"/>
        <v>21.6</v>
      </c>
      <c r="AG59" s="8">
        <f t="shared" si="16"/>
        <v>20.5</v>
      </c>
      <c r="AH59" s="10">
        <f t="shared" si="17"/>
        <v>27.6</v>
      </c>
    </row>
    <row r="60" spans="1:34" ht="75" x14ac:dyDescent="0.25">
      <c r="B60" s="6" t="s">
        <v>285</v>
      </c>
      <c r="C60" s="8" t="s">
        <v>189</v>
      </c>
      <c r="D60" s="8"/>
      <c r="E60" s="9"/>
      <c r="F60" s="8">
        <v>1</v>
      </c>
      <c r="G60" s="8" t="s">
        <v>39</v>
      </c>
      <c r="H60" s="10" t="s">
        <v>286</v>
      </c>
      <c r="I60" s="10" t="s">
        <v>287</v>
      </c>
      <c r="J60" s="9"/>
      <c r="K60" s="8">
        <v>8.4</v>
      </c>
      <c r="L60" s="10" t="s">
        <v>36</v>
      </c>
      <c r="M60" s="10" t="s">
        <v>288</v>
      </c>
      <c r="N60" s="8" t="s">
        <v>553</v>
      </c>
      <c r="O60" s="11"/>
      <c r="P60" s="8"/>
      <c r="Q60" s="10"/>
      <c r="R60" s="10"/>
      <c r="S60" s="8"/>
      <c r="T60" s="9"/>
      <c r="U60" s="8"/>
      <c r="V60" s="8"/>
      <c r="W60" s="8"/>
      <c r="X60" s="8"/>
      <c r="Y60" s="8"/>
      <c r="Z60" s="8">
        <f t="shared" si="9"/>
        <v>20</v>
      </c>
      <c r="AA60" s="8">
        <f t="shared" si="10"/>
        <v>18.899999999999999</v>
      </c>
      <c r="AB60" s="8">
        <f t="shared" si="11"/>
        <v>26</v>
      </c>
      <c r="AC60" s="8">
        <f t="shared" si="12"/>
        <v>55.56</v>
      </c>
      <c r="AD60" s="8">
        <f t="shared" si="13"/>
        <v>54.46</v>
      </c>
      <c r="AE60" s="8">
        <f t="shared" si="14"/>
        <v>61.56</v>
      </c>
      <c r="AF60" s="8">
        <f t="shared" si="15"/>
        <v>21.6</v>
      </c>
      <c r="AG60" s="8">
        <f t="shared" si="16"/>
        <v>20.5</v>
      </c>
      <c r="AH60" s="10">
        <f t="shared" si="17"/>
        <v>27.6</v>
      </c>
    </row>
    <row r="61" spans="1:34" ht="45" x14ac:dyDescent="0.25">
      <c r="B61" s="6" t="s">
        <v>289</v>
      </c>
      <c r="C61" s="8" t="s">
        <v>189</v>
      </c>
      <c r="D61" s="8"/>
      <c r="E61" s="9"/>
      <c r="F61" s="8">
        <v>1</v>
      </c>
      <c r="G61" s="10" t="s">
        <v>36</v>
      </c>
      <c r="H61" s="10" t="s">
        <v>199</v>
      </c>
      <c r="I61" s="10" t="s">
        <v>290</v>
      </c>
      <c r="J61" s="9"/>
      <c r="K61" s="8"/>
      <c r="L61" s="10"/>
      <c r="M61" s="10"/>
      <c r="N61" s="8"/>
      <c r="O61" s="11"/>
      <c r="P61" s="8"/>
      <c r="Q61" s="10"/>
      <c r="R61" s="10"/>
      <c r="S61" s="8"/>
      <c r="T61" s="9"/>
      <c r="U61" s="8"/>
      <c r="V61" s="8"/>
      <c r="W61" s="8"/>
      <c r="X61" s="8"/>
      <c r="Y61" s="8"/>
      <c r="Z61" s="8">
        <f t="shared" si="9"/>
        <v>20</v>
      </c>
      <c r="AA61" s="8">
        <f t="shared" si="10"/>
        <v>18.899999999999999</v>
      </c>
      <c r="AB61" s="8">
        <f t="shared" si="11"/>
        <v>26</v>
      </c>
      <c r="AC61" s="8">
        <f t="shared" si="12"/>
        <v>18.600000000000001</v>
      </c>
      <c r="AD61" s="8">
        <f t="shared" si="13"/>
        <v>17.5</v>
      </c>
      <c r="AE61" s="8">
        <f t="shared" si="14"/>
        <v>24.6</v>
      </c>
      <c r="AF61" s="8">
        <f t="shared" si="15"/>
        <v>21.6</v>
      </c>
      <c r="AG61" s="8">
        <f t="shared" si="16"/>
        <v>20.5</v>
      </c>
      <c r="AH61" s="10">
        <f t="shared" si="17"/>
        <v>27.6</v>
      </c>
    </row>
    <row r="62" spans="1:34" ht="45" x14ac:dyDescent="0.25">
      <c r="B62" s="6" t="s">
        <v>291</v>
      </c>
      <c r="C62" s="8" t="s">
        <v>189</v>
      </c>
      <c r="D62" s="8"/>
      <c r="E62" s="9"/>
      <c r="F62" s="8">
        <v>1</v>
      </c>
      <c r="G62" s="10" t="s">
        <v>134</v>
      </c>
      <c r="H62" s="10" t="s">
        <v>292</v>
      </c>
      <c r="I62" s="10" t="s">
        <v>293</v>
      </c>
      <c r="J62" s="9"/>
      <c r="K62" s="8"/>
      <c r="L62" s="10"/>
      <c r="M62" s="10"/>
      <c r="N62" s="8"/>
      <c r="O62" s="11"/>
      <c r="P62" s="8"/>
      <c r="Q62" s="10"/>
      <c r="R62" s="10"/>
      <c r="S62" s="8"/>
      <c r="T62" s="9"/>
      <c r="U62" s="8"/>
      <c r="V62" s="8"/>
      <c r="W62" s="8"/>
      <c r="X62" s="8"/>
      <c r="Y62" s="8"/>
      <c r="Z62" s="8">
        <f t="shared" si="9"/>
        <v>20</v>
      </c>
      <c r="AA62" s="8">
        <f t="shared" si="10"/>
        <v>18.899999999999999</v>
      </c>
      <c r="AB62" s="8">
        <f t="shared" si="11"/>
        <v>26</v>
      </c>
      <c r="AC62" s="8">
        <f t="shared" si="12"/>
        <v>18.600000000000001</v>
      </c>
      <c r="AD62" s="8">
        <f t="shared" si="13"/>
        <v>17.5</v>
      </c>
      <c r="AE62" s="8">
        <f t="shared" si="14"/>
        <v>24.6</v>
      </c>
      <c r="AF62" s="8">
        <f t="shared" si="15"/>
        <v>21.6</v>
      </c>
      <c r="AG62" s="8">
        <f t="shared" si="16"/>
        <v>20.5</v>
      </c>
      <c r="AH62" s="10">
        <f t="shared" si="17"/>
        <v>27.6</v>
      </c>
    </row>
    <row r="63" spans="1:34" ht="30" x14ac:dyDescent="0.25">
      <c r="B63" s="6" t="s">
        <v>294</v>
      </c>
      <c r="C63" s="8" t="s">
        <v>189</v>
      </c>
      <c r="D63" s="8"/>
      <c r="E63" s="9"/>
      <c r="F63" s="8">
        <v>1</v>
      </c>
      <c r="G63" s="10" t="s">
        <v>134</v>
      </c>
      <c r="H63" s="10" t="s">
        <v>295</v>
      </c>
      <c r="I63" s="10" t="s">
        <v>296</v>
      </c>
      <c r="J63" s="9"/>
      <c r="K63" s="8"/>
      <c r="L63" s="10"/>
      <c r="M63" s="10"/>
      <c r="N63" s="8"/>
      <c r="O63" s="11"/>
      <c r="P63" s="8"/>
      <c r="Q63" s="10"/>
      <c r="R63" s="10"/>
      <c r="S63" s="8"/>
      <c r="T63" s="9"/>
      <c r="U63" s="8"/>
      <c r="V63" s="8"/>
      <c r="W63" s="8"/>
      <c r="X63" s="8"/>
      <c r="Y63" s="8"/>
      <c r="Z63" s="8">
        <f t="shared" si="9"/>
        <v>20</v>
      </c>
      <c r="AA63" s="8">
        <f t="shared" si="10"/>
        <v>18.899999999999999</v>
      </c>
      <c r="AB63" s="8">
        <f t="shared" si="11"/>
        <v>26</v>
      </c>
      <c r="AC63" s="8">
        <f t="shared" si="12"/>
        <v>18.600000000000001</v>
      </c>
      <c r="AD63" s="8">
        <f t="shared" si="13"/>
        <v>17.5</v>
      </c>
      <c r="AE63" s="8">
        <f t="shared" si="14"/>
        <v>24.6</v>
      </c>
      <c r="AF63" s="8">
        <f t="shared" si="15"/>
        <v>21.6</v>
      </c>
      <c r="AG63" s="8">
        <f t="shared" si="16"/>
        <v>20.5</v>
      </c>
      <c r="AH63" s="10">
        <f t="shared" si="17"/>
        <v>27.6</v>
      </c>
    </row>
    <row r="64" spans="1:34" ht="45" x14ac:dyDescent="0.25">
      <c r="A64">
        <v>1</v>
      </c>
      <c r="B64" s="6" t="s">
        <v>297</v>
      </c>
      <c r="C64" s="8" t="s">
        <v>189</v>
      </c>
      <c r="D64" s="8"/>
      <c r="E64" s="9"/>
      <c r="F64" s="8">
        <v>1</v>
      </c>
      <c r="G64" s="8" t="s">
        <v>39</v>
      </c>
      <c r="H64" s="10" t="s">
        <v>298</v>
      </c>
      <c r="I64" s="10" t="s">
        <v>299</v>
      </c>
      <c r="J64" s="9"/>
      <c r="K64" s="8">
        <v>4</v>
      </c>
      <c r="L64" s="10" t="s">
        <v>36</v>
      </c>
      <c r="M64" s="10" t="s">
        <v>300</v>
      </c>
      <c r="N64" s="8" t="s">
        <v>301</v>
      </c>
      <c r="O64" s="11"/>
      <c r="P64" s="8"/>
      <c r="Q64" s="10"/>
      <c r="R64" s="10"/>
      <c r="S64" s="8"/>
      <c r="T64" s="9"/>
      <c r="U64" s="8"/>
      <c r="V64" s="8"/>
      <c r="W64" s="8"/>
      <c r="X64" s="8"/>
      <c r="Y64" s="8"/>
      <c r="Z64" s="8">
        <f t="shared" si="9"/>
        <v>20</v>
      </c>
      <c r="AA64" s="8">
        <f t="shared" si="10"/>
        <v>18.899999999999999</v>
      </c>
      <c r="AB64" s="8">
        <f t="shared" si="11"/>
        <v>26</v>
      </c>
      <c r="AC64" s="8">
        <f t="shared" si="12"/>
        <v>36.200000000000003</v>
      </c>
      <c r="AD64" s="8">
        <f t="shared" si="13"/>
        <v>35.1</v>
      </c>
      <c r="AE64" s="8">
        <f t="shared" si="14"/>
        <v>42.2</v>
      </c>
      <c r="AF64" s="8">
        <f t="shared" si="15"/>
        <v>21.6</v>
      </c>
      <c r="AG64" s="8">
        <f t="shared" si="16"/>
        <v>20.5</v>
      </c>
      <c r="AH64" s="10">
        <f t="shared" si="17"/>
        <v>27.6</v>
      </c>
    </row>
    <row r="65" spans="1:34" ht="30" x14ac:dyDescent="0.25">
      <c r="B65" s="6" t="s">
        <v>302</v>
      </c>
      <c r="C65" s="8" t="s">
        <v>189</v>
      </c>
      <c r="D65" s="8"/>
      <c r="E65" s="9"/>
      <c r="F65" s="8">
        <v>1</v>
      </c>
      <c r="G65" s="10" t="s">
        <v>36</v>
      </c>
      <c r="H65" s="10" t="s">
        <v>199</v>
      </c>
      <c r="I65" s="10" t="s">
        <v>303</v>
      </c>
      <c r="J65" s="9"/>
      <c r="K65" s="8"/>
      <c r="L65" s="10"/>
      <c r="M65" s="10"/>
      <c r="N65" s="8"/>
      <c r="O65" s="11"/>
      <c r="P65" s="8"/>
      <c r="Q65" s="10"/>
      <c r="R65" s="10"/>
      <c r="S65" s="8"/>
      <c r="T65" s="9"/>
      <c r="U65" s="8"/>
      <c r="V65" s="8"/>
      <c r="W65" s="8"/>
      <c r="X65" s="8"/>
      <c r="Y65" s="8"/>
      <c r="Z65" s="8">
        <f t="shared" si="9"/>
        <v>20</v>
      </c>
      <c r="AA65" s="8">
        <f t="shared" si="10"/>
        <v>18.899999999999999</v>
      </c>
      <c r="AB65" s="8">
        <f t="shared" si="11"/>
        <v>26</v>
      </c>
      <c r="AC65" s="8">
        <f t="shared" si="12"/>
        <v>18.600000000000001</v>
      </c>
      <c r="AD65" s="8">
        <f t="shared" si="13"/>
        <v>17.5</v>
      </c>
      <c r="AE65" s="8">
        <f t="shared" si="14"/>
        <v>24.6</v>
      </c>
      <c r="AF65" s="8">
        <f t="shared" si="15"/>
        <v>21.6</v>
      </c>
      <c r="AG65" s="8">
        <f t="shared" si="16"/>
        <v>20.5</v>
      </c>
      <c r="AH65" s="10">
        <f t="shared" si="17"/>
        <v>27.6</v>
      </c>
    </row>
    <row r="66" spans="1:34" ht="45" x14ac:dyDescent="0.25">
      <c r="A66">
        <v>1</v>
      </c>
      <c r="B66" s="6" t="s">
        <v>312</v>
      </c>
      <c r="C66" s="8" t="s">
        <v>189</v>
      </c>
      <c r="D66" s="8"/>
      <c r="E66" s="9"/>
      <c r="F66" s="8">
        <v>1</v>
      </c>
      <c r="G66" s="10" t="s">
        <v>39</v>
      </c>
      <c r="H66" s="10" t="s">
        <v>313</v>
      </c>
      <c r="I66" s="10" t="s">
        <v>314</v>
      </c>
      <c r="J66" s="9"/>
      <c r="K66" s="8">
        <v>5</v>
      </c>
      <c r="L66" s="10" t="s">
        <v>36</v>
      </c>
      <c r="M66" s="10" t="s">
        <v>315</v>
      </c>
      <c r="N66" s="8" t="s">
        <v>316</v>
      </c>
      <c r="O66" s="11"/>
      <c r="P66" s="8"/>
      <c r="Q66" s="10"/>
      <c r="R66" s="10"/>
      <c r="S66" s="8"/>
      <c r="T66" s="9"/>
      <c r="U66" s="8"/>
      <c r="V66" s="8"/>
      <c r="W66" s="8"/>
      <c r="X66" s="8"/>
      <c r="Y66" s="8"/>
      <c r="Z66" s="8">
        <f t="shared" si="9"/>
        <v>20</v>
      </c>
      <c r="AA66" s="8">
        <f t="shared" si="10"/>
        <v>18.899999999999999</v>
      </c>
      <c r="AB66" s="8">
        <f t="shared" si="11"/>
        <v>26</v>
      </c>
      <c r="AC66" s="8">
        <f t="shared" si="12"/>
        <v>40.6</v>
      </c>
      <c r="AD66" s="8">
        <f t="shared" si="13"/>
        <v>39.5</v>
      </c>
      <c r="AE66" s="8">
        <f t="shared" si="14"/>
        <v>46.6</v>
      </c>
      <c r="AF66" s="8">
        <f t="shared" si="15"/>
        <v>21.6</v>
      </c>
      <c r="AG66" s="8">
        <f t="shared" si="16"/>
        <v>20.5</v>
      </c>
      <c r="AH66" s="10">
        <f t="shared" si="17"/>
        <v>27.6</v>
      </c>
    </row>
    <row r="67" spans="1:34" ht="45" x14ac:dyDescent="0.25">
      <c r="B67" s="6" t="s">
        <v>304</v>
      </c>
      <c r="C67" s="8" t="s">
        <v>189</v>
      </c>
      <c r="D67" s="8"/>
      <c r="E67" s="9"/>
      <c r="F67" s="8">
        <v>1</v>
      </c>
      <c r="G67" s="8" t="s">
        <v>134</v>
      </c>
      <c r="H67" s="10" t="s">
        <v>305</v>
      </c>
      <c r="I67" s="10" t="s">
        <v>306</v>
      </c>
      <c r="J67" s="9"/>
      <c r="K67" s="8">
        <v>6</v>
      </c>
      <c r="L67" s="8" t="s">
        <v>36</v>
      </c>
      <c r="M67" s="8" t="s">
        <v>307</v>
      </c>
      <c r="N67" s="8" t="s">
        <v>308</v>
      </c>
      <c r="O67" s="11"/>
      <c r="P67" s="8"/>
      <c r="Q67" s="8"/>
      <c r="R67" s="8"/>
      <c r="S67" s="8"/>
      <c r="T67" s="9"/>
      <c r="U67" s="8"/>
      <c r="V67" s="8"/>
      <c r="W67" s="8"/>
      <c r="X67" s="8"/>
      <c r="Y67" s="8"/>
      <c r="Z67" s="8">
        <f t="shared" ref="Z67:Z123" si="18">AB67+Y$2</f>
        <v>20</v>
      </c>
      <c r="AA67" s="8">
        <f t="shared" ref="AA67:AA123" si="19">Z67+X$2</f>
        <v>18.899999999999999</v>
      </c>
      <c r="AB67" s="8">
        <f t="shared" ref="AB67:AB123" si="20">U$2+V$2*(F67-1)</f>
        <v>26</v>
      </c>
      <c r="AC67" s="8">
        <f t="shared" ref="AC67:AC123" si="21">AE67+Y$2</f>
        <v>45</v>
      </c>
      <c r="AD67" s="8">
        <f t="shared" ref="AD67:AD123" si="22">AC67+X$2</f>
        <v>43.9</v>
      </c>
      <c r="AE67" s="8">
        <f t="shared" ref="AE67:AE123" si="23">U$2+V$2*(K67-1)+W$2</f>
        <v>51</v>
      </c>
      <c r="AF67" s="8">
        <f t="shared" ref="AF67:AF123" si="24">AH67+Y$2</f>
        <v>21.6</v>
      </c>
      <c r="AG67" s="8">
        <f t="shared" ref="AG67:AG123" si="25">AF67+X$2</f>
        <v>20.5</v>
      </c>
      <c r="AH67" s="10">
        <f t="shared" ref="AH67:AH123" si="26">U$2+V$2*(P67-1)+2*W$2</f>
        <v>27.6</v>
      </c>
    </row>
    <row r="68" spans="1:34" ht="30" x14ac:dyDescent="0.25">
      <c r="A68">
        <v>1</v>
      </c>
      <c r="B68" s="6" t="s">
        <v>309</v>
      </c>
      <c r="C68" s="8" t="s">
        <v>189</v>
      </c>
      <c r="D68" s="8"/>
      <c r="E68" s="9"/>
      <c r="F68" s="8">
        <v>1</v>
      </c>
      <c r="G68" s="10" t="s">
        <v>134</v>
      </c>
      <c r="H68" s="10" t="s">
        <v>310</v>
      </c>
      <c r="I68" s="10" t="s">
        <v>311</v>
      </c>
      <c r="J68" s="9"/>
      <c r="K68" s="8"/>
      <c r="L68" s="10"/>
      <c r="M68" s="10"/>
      <c r="N68" s="8"/>
      <c r="O68" s="11"/>
      <c r="P68" s="8"/>
      <c r="Q68" s="10"/>
      <c r="R68" s="10"/>
      <c r="S68" s="8"/>
      <c r="T68" s="9"/>
      <c r="U68" s="8"/>
      <c r="V68" s="8"/>
      <c r="W68" s="8"/>
      <c r="X68" s="8"/>
      <c r="Y68" s="8"/>
      <c r="Z68" s="8">
        <f t="shared" si="18"/>
        <v>20</v>
      </c>
      <c r="AA68" s="8">
        <f t="shared" si="19"/>
        <v>18.899999999999999</v>
      </c>
      <c r="AB68" s="8">
        <f t="shared" si="20"/>
        <v>26</v>
      </c>
      <c r="AC68" s="8">
        <f t="shared" si="21"/>
        <v>18.600000000000001</v>
      </c>
      <c r="AD68" s="8">
        <f t="shared" si="22"/>
        <v>17.5</v>
      </c>
      <c r="AE68" s="8">
        <f t="shared" si="23"/>
        <v>24.6</v>
      </c>
      <c r="AF68" s="8">
        <f t="shared" si="24"/>
        <v>21.6</v>
      </c>
      <c r="AG68" s="8">
        <f t="shared" si="25"/>
        <v>20.5</v>
      </c>
      <c r="AH68" s="10">
        <f t="shared" si="26"/>
        <v>27.6</v>
      </c>
    </row>
    <row r="69" spans="1:34" ht="30" x14ac:dyDescent="0.25">
      <c r="B69" s="6" t="s">
        <v>318</v>
      </c>
      <c r="C69" s="8" t="s">
        <v>189</v>
      </c>
      <c r="D69" s="8"/>
      <c r="E69" s="9"/>
      <c r="F69" s="8">
        <v>1</v>
      </c>
      <c r="G69" s="8" t="s">
        <v>39</v>
      </c>
      <c r="H69" s="10" t="s">
        <v>319</v>
      </c>
      <c r="I69" s="10" t="s">
        <v>320</v>
      </c>
      <c r="J69" s="9"/>
      <c r="K69" s="8"/>
      <c r="L69" s="10"/>
      <c r="M69" s="10"/>
      <c r="N69" s="8"/>
      <c r="O69" s="11"/>
      <c r="P69" s="8"/>
      <c r="Q69" s="10"/>
      <c r="R69" s="10"/>
      <c r="S69" s="8"/>
      <c r="T69" s="9"/>
      <c r="U69" s="8"/>
      <c r="V69" s="8"/>
      <c r="W69" s="8"/>
      <c r="X69" s="8"/>
      <c r="Y69" s="8"/>
      <c r="Z69" s="8">
        <f t="shared" si="18"/>
        <v>20</v>
      </c>
      <c r="AA69" s="8">
        <f t="shared" si="19"/>
        <v>18.899999999999999</v>
      </c>
      <c r="AB69" s="8">
        <f t="shared" si="20"/>
        <v>26</v>
      </c>
      <c r="AC69" s="8">
        <f t="shared" si="21"/>
        <v>18.600000000000001</v>
      </c>
      <c r="AD69" s="8">
        <f t="shared" si="22"/>
        <v>17.5</v>
      </c>
      <c r="AE69" s="8">
        <f t="shared" si="23"/>
        <v>24.6</v>
      </c>
      <c r="AF69" s="8">
        <f t="shared" si="24"/>
        <v>21.6</v>
      </c>
      <c r="AG69" s="8">
        <f t="shared" si="25"/>
        <v>20.5</v>
      </c>
      <c r="AH69" s="10">
        <f t="shared" si="26"/>
        <v>27.6</v>
      </c>
    </row>
    <row r="70" spans="1:34" ht="45" x14ac:dyDescent="0.25">
      <c r="A70">
        <v>1</v>
      </c>
      <c r="B70" s="6" t="s">
        <v>321</v>
      </c>
      <c r="C70" s="17" t="s">
        <v>322</v>
      </c>
      <c r="D70" s="8"/>
      <c r="E70" s="15"/>
      <c r="F70" s="8">
        <v>1</v>
      </c>
      <c r="G70" s="8" t="s">
        <v>39</v>
      </c>
      <c r="H70" s="8" t="s">
        <v>323</v>
      </c>
      <c r="I70" s="8" t="s">
        <v>324</v>
      </c>
      <c r="J70" s="15"/>
      <c r="K70" s="8">
        <v>5</v>
      </c>
      <c r="L70" s="8" t="s">
        <v>325</v>
      </c>
      <c r="M70" s="8" t="s">
        <v>326</v>
      </c>
      <c r="N70" s="8" t="s">
        <v>327</v>
      </c>
      <c r="O70" s="16"/>
      <c r="P70" s="8">
        <v>9.5</v>
      </c>
      <c r="Q70" s="8" t="s">
        <v>328</v>
      </c>
      <c r="R70" s="8" t="s">
        <v>329</v>
      </c>
      <c r="S70" s="8" t="s">
        <v>330</v>
      </c>
      <c r="T70" s="15"/>
      <c r="U70" s="8"/>
      <c r="V70" s="8"/>
      <c r="W70" s="8"/>
      <c r="X70" s="8"/>
      <c r="Y70" s="8"/>
      <c r="Z70" s="8">
        <f t="shared" si="18"/>
        <v>20</v>
      </c>
      <c r="AA70" s="8">
        <f t="shared" si="19"/>
        <v>18.899999999999999</v>
      </c>
      <c r="AB70" s="8">
        <f t="shared" si="20"/>
        <v>26</v>
      </c>
      <c r="AC70" s="8">
        <f t="shared" si="21"/>
        <v>40.6</v>
      </c>
      <c r="AD70" s="8">
        <f t="shared" si="22"/>
        <v>39.5</v>
      </c>
      <c r="AE70" s="8">
        <f t="shared" si="23"/>
        <v>46.6</v>
      </c>
      <c r="AF70" s="8">
        <f t="shared" si="24"/>
        <v>63.400000000000006</v>
      </c>
      <c r="AG70" s="8">
        <f t="shared" si="25"/>
        <v>62.300000000000004</v>
      </c>
      <c r="AH70" s="10">
        <f t="shared" si="26"/>
        <v>69.400000000000006</v>
      </c>
    </row>
    <row r="71" spans="1:34" ht="45" x14ac:dyDescent="0.25">
      <c r="B71" s="6" t="s">
        <v>331</v>
      </c>
      <c r="C71" s="17" t="s">
        <v>322</v>
      </c>
      <c r="D71" s="8"/>
      <c r="E71" s="15"/>
      <c r="F71" s="8">
        <v>1</v>
      </c>
      <c r="G71" s="8" t="s">
        <v>325</v>
      </c>
      <c r="H71" s="8" t="s">
        <v>332</v>
      </c>
      <c r="I71" s="8" t="s">
        <v>333</v>
      </c>
      <c r="J71" s="15"/>
      <c r="K71" s="8">
        <v>9</v>
      </c>
      <c r="L71" s="8" t="s">
        <v>328</v>
      </c>
      <c r="M71" s="8" t="s">
        <v>329</v>
      </c>
      <c r="N71" s="8" t="s">
        <v>334</v>
      </c>
      <c r="O71" s="16"/>
      <c r="P71" s="8">
        <v>5</v>
      </c>
      <c r="Q71" s="8"/>
      <c r="R71" s="8"/>
      <c r="S71" s="8"/>
      <c r="T71" s="15"/>
      <c r="U71" s="8"/>
      <c r="V71" s="8"/>
      <c r="W71" s="8"/>
      <c r="X71" s="8"/>
      <c r="Y71" s="8"/>
      <c r="Z71" s="8">
        <f t="shared" si="18"/>
        <v>20</v>
      </c>
      <c r="AA71" s="8">
        <f t="shared" si="19"/>
        <v>18.899999999999999</v>
      </c>
      <c r="AB71" s="8">
        <f t="shared" si="20"/>
        <v>26</v>
      </c>
      <c r="AC71" s="8">
        <f t="shared" si="21"/>
        <v>58.2</v>
      </c>
      <c r="AD71" s="8">
        <f t="shared" si="22"/>
        <v>57.1</v>
      </c>
      <c r="AE71" s="8">
        <f t="shared" si="23"/>
        <v>64.2</v>
      </c>
      <c r="AF71" s="8">
        <f t="shared" si="24"/>
        <v>43.6</v>
      </c>
      <c r="AG71" s="8">
        <f t="shared" si="25"/>
        <v>42.5</v>
      </c>
      <c r="AH71" s="10">
        <f t="shared" si="26"/>
        <v>49.6</v>
      </c>
    </row>
    <row r="72" spans="1:34" ht="60" x14ac:dyDescent="0.25">
      <c r="A72">
        <v>1</v>
      </c>
      <c r="B72" s="6" t="s">
        <v>335</v>
      </c>
      <c r="C72" s="17" t="s">
        <v>322</v>
      </c>
      <c r="D72" s="8"/>
      <c r="E72" s="9"/>
      <c r="F72" s="8">
        <v>1</v>
      </c>
      <c r="G72" s="10" t="s">
        <v>39</v>
      </c>
      <c r="H72" s="10" t="s">
        <v>336</v>
      </c>
      <c r="I72" s="10" t="s">
        <v>337</v>
      </c>
      <c r="J72" s="9"/>
      <c r="K72" s="8">
        <v>6</v>
      </c>
      <c r="L72" s="8" t="s">
        <v>39</v>
      </c>
      <c r="M72" s="8" t="s">
        <v>338</v>
      </c>
      <c r="N72" s="8" t="s">
        <v>554</v>
      </c>
      <c r="O72" s="11"/>
      <c r="P72" s="8"/>
      <c r="Q72" s="8"/>
      <c r="R72" s="8"/>
      <c r="S72" s="8"/>
      <c r="T72" s="9"/>
      <c r="U72" s="8"/>
      <c r="V72" s="8"/>
      <c r="W72" s="8"/>
      <c r="X72" s="8"/>
      <c r="Y72" s="8"/>
      <c r="Z72" s="8">
        <f t="shared" si="18"/>
        <v>20</v>
      </c>
      <c r="AA72" s="8">
        <f t="shared" si="19"/>
        <v>18.899999999999999</v>
      </c>
      <c r="AB72" s="8">
        <f t="shared" si="20"/>
        <v>26</v>
      </c>
      <c r="AC72" s="8">
        <f t="shared" si="21"/>
        <v>45</v>
      </c>
      <c r="AD72" s="8">
        <f t="shared" si="22"/>
        <v>43.9</v>
      </c>
      <c r="AE72" s="8">
        <f t="shared" si="23"/>
        <v>51</v>
      </c>
      <c r="AF72" s="8">
        <f t="shared" si="24"/>
        <v>21.6</v>
      </c>
      <c r="AG72" s="8">
        <f t="shared" si="25"/>
        <v>20.5</v>
      </c>
      <c r="AH72" s="10">
        <f t="shared" si="26"/>
        <v>27.6</v>
      </c>
    </row>
    <row r="73" spans="1:34" ht="30" x14ac:dyDescent="0.25">
      <c r="B73" s="6" t="s">
        <v>339</v>
      </c>
      <c r="C73" s="17" t="s">
        <v>322</v>
      </c>
      <c r="D73" s="8"/>
      <c r="E73" s="15"/>
      <c r="F73" s="8">
        <v>1</v>
      </c>
      <c r="G73" s="8" t="s">
        <v>39</v>
      </c>
      <c r="H73" s="8" t="s">
        <v>340</v>
      </c>
      <c r="I73" s="8" t="s">
        <v>341</v>
      </c>
      <c r="J73" s="15"/>
      <c r="K73" s="8">
        <v>5</v>
      </c>
      <c r="L73" s="8" t="s">
        <v>39</v>
      </c>
      <c r="M73" s="8" t="s">
        <v>342</v>
      </c>
      <c r="N73" s="8" t="s">
        <v>343</v>
      </c>
      <c r="O73" s="16"/>
      <c r="P73" s="8">
        <v>5</v>
      </c>
      <c r="Q73" s="8"/>
      <c r="R73" s="8"/>
      <c r="S73" s="8"/>
      <c r="T73" s="15"/>
      <c r="U73" s="8"/>
      <c r="V73" s="8"/>
      <c r="W73" s="8"/>
      <c r="X73" s="8"/>
      <c r="Y73" s="8"/>
      <c r="Z73" s="8">
        <f t="shared" si="18"/>
        <v>20</v>
      </c>
      <c r="AA73" s="8">
        <f t="shared" si="19"/>
        <v>18.899999999999999</v>
      </c>
      <c r="AB73" s="8">
        <f t="shared" si="20"/>
        <v>26</v>
      </c>
      <c r="AC73" s="8">
        <f t="shared" si="21"/>
        <v>40.6</v>
      </c>
      <c r="AD73" s="8">
        <f t="shared" si="22"/>
        <v>39.5</v>
      </c>
      <c r="AE73" s="8">
        <f t="shared" si="23"/>
        <v>46.6</v>
      </c>
      <c r="AF73" s="8">
        <f t="shared" si="24"/>
        <v>43.6</v>
      </c>
      <c r="AG73" s="8">
        <f t="shared" si="25"/>
        <v>42.5</v>
      </c>
      <c r="AH73" s="10">
        <f t="shared" si="26"/>
        <v>49.6</v>
      </c>
    </row>
    <row r="74" spans="1:34" ht="30" x14ac:dyDescent="0.25">
      <c r="B74" s="6" t="s">
        <v>344</v>
      </c>
      <c r="C74" s="17" t="s">
        <v>322</v>
      </c>
      <c r="D74" s="8"/>
      <c r="E74" s="9"/>
      <c r="F74" s="8">
        <v>1</v>
      </c>
      <c r="G74" s="10" t="s">
        <v>39</v>
      </c>
      <c r="H74" s="10" t="s">
        <v>345</v>
      </c>
      <c r="I74" s="10" t="s">
        <v>556</v>
      </c>
      <c r="J74" s="9"/>
      <c r="K74" s="8">
        <v>5</v>
      </c>
      <c r="L74" s="8" t="s">
        <v>36</v>
      </c>
      <c r="M74" s="8" t="s">
        <v>346</v>
      </c>
      <c r="N74" s="8" t="s">
        <v>555</v>
      </c>
      <c r="O74" s="11"/>
      <c r="P74" s="8"/>
      <c r="Q74" s="8"/>
      <c r="R74" s="8"/>
      <c r="S74" s="8"/>
      <c r="T74" s="9"/>
      <c r="U74" s="8"/>
      <c r="V74" s="8"/>
      <c r="W74" s="8"/>
      <c r="X74" s="8"/>
      <c r="Y74" s="8"/>
      <c r="Z74" s="8">
        <f t="shared" si="18"/>
        <v>20</v>
      </c>
      <c r="AA74" s="8">
        <f t="shared" si="19"/>
        <v>18.899999999999999</v>
      </c>
      <c r="AB74" s="8">
        <f t="shared" si="20"/>
        <v>26</v>
      </c>
      <c r="AC74" s="8">
        <f t="shared" si="21"/>
        <v>40.6</v>
      </c>
      <c r="AD74" s="8">
        <f t="shared" si="22"/>
        <v>39.5</v>
      </c>
      <c r="AE74" s="8">
        <f t="shared" si="23"/>
        <v>46.6</v>
      </c>
      <c r="AF74" s="8">
        <f t="shared" si="24"/>
        <v>21.6</v>
      </c>
      <c r="AG74" s="8">
        <f t="shared" si="25"/>
        <v>20.5</v>
      </c>
      <c r="AH74" s="10">
        <f t="shared" si="26"/>
        <v>27.6</v>
      </c>
    </row>
    <row r="75" spans="1:34" ht="45" x14ac:dyDescent="0.25">
      <c r="B75" s="6" t="s">
        <v>347</v>
      </c>
      <c r="C75" s="17" t="s">
        <v>322</v>
      </c>
      <c r="D75" s="8"/>
      <c r="E75" s="9"/>
      <c r="F75" s="8">
        <v>1</v>
      </c>
      <c r="G75" s="10" t="s">
        <v>325</v>
      </c>
      <c r="H75" s="10" t="s">
        <v>348</v>
      </c>
      <c r="I75" s="10" t="s">
        <v>349</v>
      </c>
      <c r="J75" s="9"/>
      <c r="K75" s="8">
        <v>3</v>
      </c>
      <c r="L75" s="10" t="s">
        <v>36</v>
      </c>
      <c r="M75" s="10" t="s">
        <v>350</v>
      </c>
      <c r="N75" s="8" t="s">
        <v>351</v>
      </c>
      <c r="O75" s="11"/>
      <c r="P75" s="8"/>
      <c r="Q75" s="8"/>
      <c r="R75" s="8"/>
      <c r="S75" s="8"/>
      <c r="T75" s="9"/>
      <c r="U75" s="8"/>
      <c r="V75" s="8"/>
      <c r="W75" s="8"/>
      <c r="X75" s="8"/>
      <c r="Y75" s="8"/>
      <c r="Z75" s="8">
        <f t="shared" si="18"/>
        <v>20</v>
      </c>
      <c r="AA75" s="8">
        <f t="shared" si="19"/>
        <v>18.899999999999999</v>
      </c>
      <c r="AB75" s="8">
        <f t="shared" si="20"/>
        <v>26</v>
      </c>
      <c r="AC75" s="8">
        <f t="shared" si="21"/>
        <v>31.799999999999997</v>
      </c>
      <c r="AD75" s="8">
        <f t="shared" si="22"/>
        <v>30.699999999999996</v>
      </c>
      <c r="AE75" s="8">
        <f t="shared" si="23"/>
        <v>37.799999999999997</v>
      </c>
      <c r="AF75" s="8">
        <f t="shared" si="24"/>
        <v>21.6</v>
      </c>
      <c r="AG75" s="8">
        <f t="shared" si="25"/>
        <v>20.5</v>
      </c>
      <c r="AH75" s="10">
        <f t="shared" si="26"/>
        <v>27.6</v>
      </c>
    </row>
    <row r="76" spans="1:34" ht="45" x14ac:dyDescent="0.25">
      <c r="B76" s="6" t="s">
        <v>352</v>
      </c>
      <c r="C76" s="17" t="s">
        <v>322</v>
      </c>
      <c r="D76" s="8"/>
      <c r="E76" s="9"/>
      <c r="F76" s="8">
        <v>1</v>
      </c>
      <c r="G76" s="10" t="s">
        <v>325</v>
      </c>
      <c r="H76" s="10" t="s">
        <v>353</v>
      </c>
      <c r="I76" s="10" t="s">
        <v>349</v>
      </c>
      <c r="J76" s="9"/>
      <c r="K76" s="8">
        <v>9</v>
      </c>
      <c r="L76" s="8" t="s">
        <v>328</v>
      </c>
      <c r="M76" s="8" t="s">
        <v>329</v>
      </c>
      <c r="N76" s="8" t="s">
        <v>354</v>
      </c>
      <c r="O76" s="11"/>
      <c r="P76" s="8"/>
      <c r="Q76" s="8"/>
      <c r="R76" s="8"/>
      <c r="S76" s="8"/>
      <c r="T76" s="9"/>
      <c r="U76" s="8"/>
      <c r="V76" s="8"/>
      <c r="W76" s="8"/>
      <c r="X76" s="8"/>
      <c r="Y76" s="8"/>
      <c r="Z76" s="8">
        <f t="shared" si="18"/>
        <v>20</v>
      </c>
      <c r="AA76" s="8">
        <f t="shared" si="19"/>
        <v>18.899999999999999</v>
      </c>
      <c r="AB76" s="8">
        <f t="shared" si="20"/>
        <v>26</v>
      </c>
      <c r="AC76" s="8">
        <f t="shared" si="21"/>
        <v>58.2</v>
      </c>
      <c r="AD76" s="8">
        <f t="shared" si="22"/>
        <v>57.1</v>
      </c>
      <c r="AE76" s="8">
        <f t="shared" si="23"/>
        <v>64.2</v>
      </c>
      <c r="AF76" s="8">
        <f t="shared" si="24"/>
        <v>21.6</v>
      </c>
      <c r="AG76" s="8">
        <f t="shared" si="25"/>
        <v>20.5</v>
      </c>
      <c r="AH76" s="10">
        <f t="shared" si="26"/>
        <v>27.6</v>
      </c>
    </row>
    <row r="77" spans="1:34" ht="45" x14ac:dyDescent="0.25">
      <c r="B77" s="6" t="s">
        <v>355</v>
      </c>
      <c r="C77" s="17" t="s">
        <v>322</v>
      </c>
      <c r="D77" s="8"/>
      <c r="E77" s="9"/>
      <c r="F77" s="8">
        <v>1</v>
      </c>
      <c r="G77" s="10" t="s">
        <v>325</v>
      </c>
      <c r="H77" s="10" t="s">
        <v>356</v>
      </c>
      <c r="I77" s="10" t="s">
        <v>558</v>
      </c>
      <c r="J77" s="9"/>
      <c r="K77" s="8">
        <v>4</v>
      </c>
      <c r="L77" s="8" t="s">
        <v>36</v>
      </c>
      <c r="M77" s="8" t="s">
        <v>357</v>
      </c>
      <c r="N77" s="8" t="s">
        <v>557</v>
      </c>
      <c r="O77" s="11"/>
      <c r="P77" s="8"/>
      <c r="Q77" s="8"/>
      <c r="R77" s="8"/>
      <c r="S77" s="8"/>
      <c r="T77" s="9"/>
      <c r="U77" s="8"/>
      <c r="V77" s="8"/>
      <c r="W77" s="8"/>
      <c r="X77" s="8"/>
      <c r="Y77" s="8"/>
      <c r="Z77" s="8">
        <f t="shared" si="18"/>
        <v>20</v>
      </c>
      <c r="AA77" s="8">
        <f t="shared" si="19"/>
        <v>18.899999999999999</v>
      </c>
      <c r="AB77" s="8">
        <f t="shared" si="20"/>
        <v>26</v>
      </c>
      <c r="AC77" s="8">
        <f t="shared" si="21"/>
        <v>36.200000000000003</v>
      </c>
      <c r="AD77" s="8">
        <f t="shared" si="22"/>
        <v>35.1</v>
      </c>
      <c r="AE77" s="8">
        <f t="shared" si="23"/>
        <v>42.2</v>
      </c>
      <c r="AF77" s="8">
        <f t="shared" si="24"/>
        <v>21.6</v>
      </c>
      <c r="AG77" s="8">
        <f t="shared" si="25"/>
        <v>20.5</v>
      </c>
      <c r="AH77" s="10">
        <f t="shared" si="26"/>
        <v>27.6</v>
      </c>
    </row>
    <row r="78" spans="1:34" ht="75" x14ac:dyDescent="0.25">
      <c r="A78">
        <v>1</v>
      </c>
      <c r="B78" s="6" t="s">
        <v>358</v>
      </c>
      <c r="C78" s="17" t="s">
        <v>322</v>
      </c>
      <c r="D78" s="8" t="s">
        <v>109</v>
      </c>
      <c r="E78" s="9"/>
      <c r="F78" s="8">
        <v>1</v>
      </c>
      <c r="G78" s="10" t="s">
        <v>39</v>
      </c>
      <c r="H78" s="10" t="s">
        <v>359</v>
      </c>
      <c r="I78" s="10" t="s">
        <v>360</v>
      </c>
      <c r="J78" s="9"/>
      <c r="K78" s="10">
        <v>5</v>
      </c>
      <c r="L78" s="8" t="s">
        <v>36</v>
      </c>
      <c r="M78" s="8" t="s">
        <v>361</v>
      </c>
      <c r="N78" s="8" t="s">
        <v>362</v>
      </c>
      <c r="O78" s="11"/>
      <c r="P78" s="8"/>
      <c r="Q78" s="8"/>
      <c r="R78" s="8"/>
      <c r="S78" s="8"/>
      <c r="T78" s="9"/>
      <c r="U78" s="8"/>
      <c r="V78" s="8"/>
      <c r="W78" s="8"/>
      <c r="X78" s="8"/>
      <c r="Y78" s="8"/>
      <c r="Z78" s="8">
        <f t="shared" si="18"/>
        <v>20</v>
      </c>
      <c r="AA78" s="8">
        <f t="shared" si="19"/>
        <v>18.899999999999999</v>
      </c>
      <c r="AB78" s="8">
        <f t="shared" si="20"/>
        <v>26</v>
      </c>
      <c r="AC78" s="8">
        <f t="shared" si="21"/>
        <v>40.6</v>
      </c>
      <c r="AD78" s="8">
        <f t="shared" si="22"/>
        <v>39.5</v>
      </c>
      <c r="AE78" s="8">
        <f t="shared" si="23"/>
        <v>46.6</v>
      </c>
      <c r="AF78" s="8">
        <f t="shared" si="24"/>
        <v>21.6</v>
      </c>
      <c r="AG78" s="8">
        <f t="shared" si="25"/>
        <v>20.5</v>
      </c>
      <c r="AH78" s="10">
        <f t="shared" si="26"/>
        <v>27.6</v>
      </c>
    </row>
    <row r="79" spans="1:34" ht="30" x14ac:dyDescent="0.25">
      <c r="B79" s="6" t="s">
        <v>363</v>
      </c>
      <c r="C79" s="17" t="s">
        <v>322</v>
      </c>
      <c r="D79" s="8"/>
      <c r="E79" s="9"/>
      <c r="F79" s="8">
        <v>1</v>
      </c>
      <c r="G79" s="10" t="s">
        <v>325</v>
      </c>
      <c r="H79" s="10" t="s">
        <v>559</v>
      </c>
      <c r="I79" s="10" t="s">
        <v>364</v>
      </c>
      <c r="J79" s="9"/>
      <c r="K79" s="8">
        <v>3</v>
      </c>
      <c r="L79" s="8" t="s">
        <v>39</v>
      </c>
      <c r="M79" s="8" t="s">
        <v>365</v>
      </c>
      <c r="N79" s="8" t="s">
        <v>366</v>
      </c>
      <c r="O79" s="11"/>
      <c r="P79" s="8"/>
      <c r="Q79" s="8"/>
      <c r="R79" s="8"/>
      <c r="S79" s="8"/>
      <c r="T79" s="9"/>
      <c r="U79" s="8"/>
      <c r="V79" s="8"/>
      <c r="W79" s="8"/>
      <c r="X79" s="8"/>
      <c r="Y79" s="8"/>
      <c r="Z79" s="8">
        <f t="shared" si="18"/>
        <v>20</v>
      </c>
      <c r="AA79" s="8">
        <f t="shared" si="19"/>
        <v>18.899999999999999</v>
      </c>
      <c r="AB79" s="8">
        <f t="shared" si="20"/>
        <v>26</v>
      </c>
      <c r="AC79" s="8">
        <f t="shared" si="21"/>
        <v>31.799999999999997</v>
      </c>
      <c r="AD79" s="8">
        <f t="shared" si="22"/>
        <v>30.699999999999996</v>
      </c>
      <c r="AE79" s="8">
        <f t="shared" si="23"/>
        <v>37.799999999999997</v>
      </c>
      <c r="AF79" s="8">
        <f t="shared" si="24"/>
        <v>21.6</v>
      </c>
      <c r="AG79" s="8">
        <f t="shared" si="25"/>
        <v>20.5</v>
      </c>
      <c r="AH79" s="10">
        <f t="shared" si="26"/>
        <v>27.6</v>
      </c>
    </row>
    <row r="80" spans="1:34" ht="30" x14ac:dyDescent="0.25">
      <c r="B80" s="6" t="s">
        <v>367</v>
      </c>
      <c r="C80" s="17" t="s">
        <v>322</v>
      </c>
      <c r="D80" s="8"/>
      <c r="E80" s="9"/>
      <c r="F80" s="8">
        <v>1</v>
      </c>
      <c r="G80" s="10" t="s">
        <v>325</v>
      </c>
      <c r="H80" s="10" t="s">
        <v>368</v>
      </c>
      <c r="I80" s="10" t="s">
        <v>369</v>
      </c>
      <c r="J80" s="9"/>
      <c r="K80" s="10">
        <v>3</v>
      </c>
      <c r="L80" s="8" t="s">
        <v>39</v>
      </c>
      <c r="M80" s="8" t="s">
        <v>370</v>
      </c>
      <c r="N80" s="8" t="s">
        <v>371</v>
      </c>
      <c r="O80" s="11"/>
      <c r="P80" s="8">
        <v>9.5</v>
      </c>
      <c r="Q80" s="8" t="s">
        <v>328</v>
      </c>
      <c r="R80" s="8" t="s">
        <v>329</v>
      </c>
      <c r="S80" s="8" t="s">
        <v>372</v>
      </c>
      <c r="T80" s="9"/>
      <c r="U80" s="8"/>
      <c r="V80" s="8"/>
      <c r="W80" s="8"/>
      <c r="X80" s="8"/>
      <c r="Y80" s="8"/>
      <c r="Z80" s="8">
        <f t="shared" si="18"/>
        <v>20</v>
      </c>
      <c r="AA80" s="8">
        <f t="shared" si="19"/>
        <v>18.899999999999999</v>
      </c>
      <c r="AB80" s="8">
        <f t="shared" si="20"/>
        <v>26</v>
      </c>
      <c r="AC80" s="8">
        <f t="shared" si="21"/>
        <v>31.799999999999997</v>
      </c>
      <c r="AD80" s="8">
        <f t="shared" si="22"/>
        <v>30.699999999999996</v>
      </c>
      <c r="AE80" s="8">
        <f t="shared" si="23"/>
        <v>37.799999999999997</v>
      </c>
      <c r="AF80" s="8">
        <f t="shared" si="24"/>
        <v>63.400000000000006</v>
      </c>
      <c r="AG80" s="8">
        <f t="shared" si="25"/>
        <v>62.300000000000004</v>
      </c>
      <c r="AH80" s="10">
        <f t="shared" si="26"/>
        <v>69.400000000000006</v>
      </c>
    </row>
    <row r="81" spans="1:34" ht="60" x14ac:dyDescent="0.25">
      <c r="A81">
        <v>1</v>
      </c>
      <c r="B81" s="6" t="s">
        <v>373</v>
      </c>
      <c r="C81" s="17" t="s">
        <v>322</v>
      </c>
      <c r="D81" s="8"/>
      <c r="E81" s="9"/>
      <c r="F81" s="8">
        <v>1</v>
      </c>
      <c r="G81" s="10" t="s">
        <v>325</v>
      </c>
      <c r="H81" s="10" t="s">
        <v>374</v>
      </c>
      <c r="I81" s="10" t="s">
        <v>560</v>
      </c>
      <c r="J81" s="9"/>
      <c r="K81" s="8">
        <v>3</v>
      </c>
      <c r="L81" s="8" t="s">
        <v>36</v>
      </c>
      <c r="M81" s="8" t="s">
        <v>562</v>
      </c>
      <c r="N81" s="8" t="s">
        <v>561</v>
      </c>
      <c r="O81" s="11"/>
      <c r="P81" s="8">
        <v>9</v>
      </c>
      <c r="Q81" s="8" t="s">
        <v>328</v>
      </c>
      <c r="R81" s="8" t="s">
        <v>329</v>
      </c>
      <c r="S81" s="8" t="s">
        <v>376</v>
      </c>
      <c r="T81" s="9"/>
      <c r="U81" s="8"/>
      <c r="V81" s="8"/>
      <c r="W81" s="8"/>
      <c r="X81" s="8"/>
      <c r="Y81" s="8"/>
      <c r="Z81" s="8">
        <f t="shared" si="18"/>
        <v>20</v>
      </c>
      <c r="AA81" s="8">
        <f t="shared" si="19"/>
        <v>18.899999999999999</v>
      </c>
      <c r="AB81" s="8">
        <f t="shared" si="20"/>
        <v>26</v>
      </c>
      <c r="AC81" s="8">
        <f t="shared" si="21"/>
        <v>31.799999999999997</v>
      </c>
      <c r="AD81" s="8">
        <f t="shared" si="22"/>
        <v>30.699999999999996</v>
      </c>
      <c r="AE81" s="8">
        <f t="shared" si="23"/>
        <v>37.799999999999997</v>
      </c>
      <c r="AF81" s="8">
        <f t="shared" si="24"/>
        <v>61.2</v>
      </c>
      <c r="AG81" s="8">
        <f t="shared" si="25"/>
        <v>60.1</v>
      </c>
      <c r="AH81" s="10">
        <f t="shared" si="26"/>
        <v>67.2</v>
      </c>
    </row>
    <row r="82" spans="1:34" ht="30" x14ac:dyDescent="0.25">
      <c r="B82" s="6" t="s">
        <v>377</v>
      </c>
      <c r="C82" s="17" t="s">
        <v>322</v>
      </c>
      <c r="D82" s="8"/>
      <c r="E82" s="9"/>
      <c r="F82" s="8">
        <v>1</v>
      </c>
      <c r="G82" s="10" t="s">
        <v>39</v>
      </c>
      <c r="H82" s="10" t="s">
        <v>378</v>
      </c>
      <c r="I82" s="10" t="s">
        <v>563</v>
      </c>
      <c r="J82" s="9"/>
      <c r="K82" s="8">
        <v>4</v>
      </c>
      <c r="L82" s="8" t="s">
        <v>325</v>
      </c>
      <c r="M82" s="8" t="s">
        <v>379</v>
      </c>
      <c r="N82" s="8" t="s">
        <v>380</v>
      </c>
      <c r="O82" s="11"/>
      <c r="P82" s="8"/>
      <c r="Q82" s="8"/>
      <c r="R82" s="8"/>
      <c r="S82" s="8"/>
      <c r="T82" s="9"/>
      <c r="U82" s="8"/>
      <c r="V82" s="8"/>
      <c r="W82" s="8"/>
      <c r="X82" s="8"/>
      <c r="Y82" s="8"/>
      <c r="Z82" s="8">
        <f t="shared" si="18"/>
        <v>20</v>
      </c>
      <c r="AA82" s="8">
        <f t="shared" si="19"/>
        <v>18.899999999999999</v>
      </c>
      <c r="AB82" s="8">
        <f t="shared" si="20"/>
        <v>26</v>
      </c>
      <c r="AC82" s="8">
        <f t="shared" si="21"/>
        <v>36.200000000000003</v>
      </c>
      <c r="AD82" s="8">
        <f t="shared" si="22"/>
        <v>35.1</v>
      </c>
      <c r="AE82" s="8">
        <f t="shared" si="23"/>
        <v>42.2</v>
      </c>
      <c r="AF82" s="8">
        <f t="shared" si="24"/>
        <v>21.6</v>
      </c>
      <c r="AG82" s="8">
        <f t="shared" si="25"/>
        <v>20.5</v>
      </c>
      <c r="AH82" s="10">
        <f t="shared" si="26"/>
        <v>27.6</v>
      </c>
    </row>
    <row r="83" spans="1:34" ht="45" x14ac:dyDescent="0.25">
      <c r="A83">
        <v>1</v>
      </c>
      <c r="B83" s="6" t="s">
        <v>381</v>
      </c>
      <c r="C83" s="17" t="s">
        <v>322</v>
      </c>
      <c r="D83" s="10"/>
      <c r="E83" s="9"/>
      <c r="F83" s="8">
        <v>1</v>
      </c>
      <c r="G83" s="10" t="s">
        <v>36</v>
      </c>
      <c r="H83" s="10" t="s">
        <v>382</v>
      </c>
      <c r="I83" s="10" t="s">
        <v>564</v>
      </c>
      <c r="J83" s="9"/>
      <c r="K83" s="8">
        <v>5</v>
      </c>
      <c r="L83" s="8" t="s">
        <v>36</v>
      </c>
      <c r="M83" s="8" t="s">
        <v>565</v>
      </c>
      <c r="N83" s="8" t="s">
        <v>383</v>
      </c>
      <c r="O83" s="11"/>
      <c r="P83" s="8"/>
      <c r="Q83" s="8"/>
      <c r="R83" s="8"/>
      <c r="S83" s="10"/>
      <c r="T83" s="9"/>
      <c r="U83" s="8"/>
      <c r="V83" s="8"/>
      <c r="W83" s="8"/>
      <c r="X83" s="8"/>
      <c r="Y83" s="8"/>
      <c r="Z83" s="8">
        <f t="shared" si="18"/>
        <v>20</v>
      </c>
      <c r="AA83" s="8">
        <f t="shared" si="19"/>
        <v>18.899999999999999</v>
      </c>
      <c r="AB83" s="8">
        <f t="shared" si="20"/>
        <v>26</v>
      </c>
      <c r="AC83" s="8">
        <f t="shared" si="21"/>
        <v>40.6</v>
      </c>
      <c r="AD83" s="8">
        <f t="shared" si="22"/>
        <v>39.5</v>
      </c>
      <c r="AE83" s="8">
        <f t="shared" si="23"/>
        <v>46.6</v>
      </c>
      <c r="AF83" s="8">
        <f t="shared" si="24"/>
        <v>21.6</v>
      </c>
      <c r="AG83" s="8">
        <f t="shared" si="25"/>
        <v>20.5</v>
      </c>
      <c r="AH83" s="10">
        <f t="shared" si="26"/>
        <v>27.6</v>
      </c>
    </row>
    <row r="84" spans="1:34" ht="45" x14ac:dyDescent="0.25">
      <c r="A84">
        <v>1</v>
      </c>
      <c r="B84" s="6" t="s">
        <v>384</v>
      </c>
      <c r="C84" s="17" t="s">
        <v>322</v>
      </c>
      <c r="D84" s="8" t="s">
        <v>389</v>
      </c>
      <c r="E84" s="9"/>
      <c r="F84" s="8">
        <v>1</v>
      </c>
      <c r="G84" s="10" t="s">
        <v>39</v>
      </c>
      <c r="H84" s="10" t="s">
        <v>566</v>
      </c>
      <c r="I84" s="10" t="s">
        <v>385</v>
      </c>
      <c r="J84" s="9"/>
      <c r="K84" s="8">
        <v>4</v>
      </c>
      <c r="L84" s="8" t="s">
        <v>36</v>
      </c>
      <c r="M84" s="8" t="s">
        <v>386</v>
      </c>
      <c r="N84" s="8" t="s">
        <v>567</v>
      </c>
      <c r="O84" s="11"/>
      <c r="P84" s="8">
        <v>7</v>
      </c>
      <c r="Q84" s="8" t="s">
        <v>36</v>
      </c>
      <c r="R84" s="8" t="s">
        <v>387</v>
      </c>
      <c r="S84" s="8" t="s">
        <v>388</v>
      </c>
      <c r="T84" s="9"/>
      <c r="U84" s="8"/>
      <c r="V84" s="8"/>
      <c r="W84" s="8"/>
      <c r="X84" s="8"/>
      <c r="Y84" s="8"/>
      <c r="Z84" s="8">
        <f t="shared" si="18"/>
        <v>20</v>
      </c>
      <c r="AA84" s="8">
        <f t="shared" si="19"/>
        <v>18.899999999999999</v>
      </c>
      <c r="AB84" s="8">
        <f t="shared" si="20"/>
        <v>26</v>
      </c>
      <c r="AC84" s="8">
        <f t="shared" si="21"/>
        <v>36.200000000000003</v>
      </c>
      <c r="AD84" s="8">
        <f t="shared" si="22"/>
        <v>35.1</v>
      </c>
      <c r="AE84" s="8">
        <f t="shared" si="23"/>
        <v>42.2</v>
      </c>
      <c r="AF84" s="8">
        <f t="shared" si="24"/>
        <v>52.400000000000006</v>
      </c>
      <c r="AG84" s="8">
        <f t="shared" si="25"/>
        <v>51.300000000000004</v>
      </c>
      <c r="AH84" s="10">
        <f t="shared" si="26"/>
        <v>58.400000000000006</v>
      </c>
    </row>
    <row r="85" spans="1:34" ht="30" x14ac:dyDescent="0.25">
      <c r="A85">
        <v>1</v>
      </c>
      <c r="B85" s="6" t="s">
        <v>573</v>
      </c>
      <c r="C85" s="17" t="s">
        <v>322</v>
      </c>
      <c r="D85" s="8" t="s">
        <v>569</v>
      </c>
      <c r="E85" s="9"/>
      <c r="F85" s="8">
        <v>1</v>
      </c>
      <c r="G85" s="10" t="s">
        <v>325</v>
      </c>
      <c r="H85" s="10" t="s">
        <v>390</v>
      </c>
      <c r="I85" s="10" t="s">
        <v>568</v>
      </c>
      <c r="J85" s="9"/>
      <c r="K85" s="8">
        <v>3</v>
      </c>
      <c r="L85" s="8" t="s">
        <v>39</v>
      </c>
      <c r="M85" s="8" t="s">
        <v>570</v>
      </c>
      <c r="N85" s="8" t="s">
        <v>391</v>
      </c>
      <c r="O85" s="11"/>
      <c r="P85" s="8">
        <v>5</v>
      </c>
      <c r="Q85" s="8" t="s">
        <v>36</v>
      </c>
      <c r="R85" s="8" t="s">
        <v>571</v>
      </c>
      <c r="S85" s="8" t="s">
        <v>572</v>
      </c>
      <c r="T85" s="9"/>
      <c r="U85" s="8"/>
      <c r="V85" s="8"/>
      <c r="W85" s="8"/>
      <c r="X85" s="8"/>
      <c r="Y85" s="8"/>
      <c r="Z85" s="8">
        <f t="shared" si="18"/>
        <v>20</v>
      </c>
      <c r="AA85" s="8">
        <f t="shared" si="19"/>
        <v>18.899999999999999</v>
      </c>
      <c r="AB85" s="8">
        <f t="shared" si="20"/>
        <v>26</v>
      </c>
      <c r="AC85" s="8">
        <f t="shared" si="21"/>
        <v>31.799999999999997</v>
      </c>
      <c r="AD85" s="8">
        <f t="shared" si="22"/>
        <v>30.699999999999996</v>
      </c>
      <c r="AE85" s="8">
        <f t="shared" si="23"/>
        <v>37.799999999999997</v>
      </c>
      <c r="AF85" s="8">
        <f t="shared" si="24"/>
        <v>43.6</v>
      </c>
      <c r="AG85" s="8">
        <f t="shared" si="25"/>
        <v>42.5</v>
      </c>
      <c r="AH85" s="10">
        <f t="shared" si="26"/>
        <v>49.6</v>
      </c>
    </row>
    <row r="86" spans="1:34" ht="30" x14ac:dyDescent="0.25">
      <c r="B86" s="6" t="s">
        <v>392</v>
      </c>
      <c r="C86" s="17" t="s">
        <v>322</v>
      </c>
      <c r="D86" s="8"/>
      <c r="E86" s="9"/>
      <c r="F86" s="8">
        <v>1</v>
      </c>
      <c r="G86" s="10" t="s">
        <v>325</v>
      </c>
      <c r="H86" s="10" t="s">
        <v>393</v>
      </c>
      <c r="I86" s="10" t="s">
        <v>380</v>
      </c>
      <c r="J86" s="9"/>
      <c r="K86" s="10">
        <v>9.5</v>
      </c>
      <c r="L86" s="8" t="s">
        <v>328</v>
      </c>
      <c r="M86" s="8" t="s">
        <v>329</v>
      </c>
      <c r="N86" s="8" t="s">
        <v>394</v>
      </c>
      <c r="O86" s="11"/>
      <c r="P86" s="8"/>
      <c r="Q86" s="8"/>
      <c r="R86" s="8"/>
      <c r="S86" s="8"/>
      <c r="T86" s="9"/>
      <c r="U86" s="8"/>
      <c r="V86" s="8"/>
      <c r="W86" s="8"/>
      <c r="X86" s="8"/>
      <c r="Y86" s="8"/>
      <c r="Z86" s="8">
        <f t="shared" si="18"/>
        <v>20</v>
      </c>
      <c r="AA86" s="8">
        <f t="shared" si="19"/>
        <v>18.899999999999999</v>
      </c>
      <c r="AB86" s="8">
        <f t="shared" si="20"/>
        <v>26</v>
      </c>
      <c r="AC86" s="8">
        <f t="shared" si="21"/>
        <v>60.400000000000006</v>
      </c>
      <c r="AD86" s="8">
        <f t="shared" si="22"/>
        <v>59.300000000000004</v>
      </c>
      <c r="AE86" s="8">
        <f t="shared" si="23"/>
        <v>66.400000000000006</v>
      </c>
      <c r="AF86" s="8">
        <f t="shared" si="24"/>
        <v>21.6</v>
      </c>
      <c r="AG86" s="8">
        <f t="shared" si="25"/>
        <v>20.5</v>
      </c>
      <c r="AH86" s="10">
        <f t="shared" si="26"/>
        <v>27.6</v>
      </c>
    </row>
    <row r="87" spans="1:34" ht="45" x14ac:dyDescent="0.25">
      <c r="B87" s="6" t="s">
        <v>395</v>
      </c>
      <c r="C87" s="17" t="s">
        <v>322</v>
      </c>
      <c r="D87" s="8"/>
      <c r="E87" s="9"/>
      <c r="F87" s="8">
        <v>1</v>
      </c>
      <c r="G87" s="10" t="s">
        <v>325</v>
      </c>
      <c r="H87" s="10" t="s">
        <v>396</v>
      </c>
      <c r="I87" s="10" t="s">
        <v>397</v>
      </c>
      <c r="J87" s="9"/>
      <c r="K87" s="8">
        <v>3</v>
      </c>
      <c r="L87" s="8" t="s">
        <v>325</v>
      </c>
      <c r="M87" s="8" t="s">
        <v>398</v>
      </c>
      <c r="N87" s="8" t="s">
        <v>399</v>
      </c>
      <c r="O87" s="11"/>
      <c r="P87" s="10">
        <v>9.5</v>
      </c>
      <c r="Q87" s="8" t="s">
        <v>328</v>
      </c>
      <c r="R87" s="8" t="s">
        <v>329</v>
      </c>
      <c r="S87" s="8" t="s">
        <v>394</v>
      </c>
      <c r="T87" s="9"/>
      <c r="U87" s="8"/>
      <c r="V87" s="8"/>
      <c r="W87" s="8"/>
      <c r="X87" s="8"/>
      <c r="Y87" s="8"/>
      <c r="Z87" s="8">
        <f t="shared" si="18"/>
        <v>20</v>
      </c>
      <c r="AA87" s="8">
        <f t="shared" si="19"/>
        <v>18.899999999999999</v>
      </c>
      <c r="AB87" s="8">
        <f t="shared" si="20"/>
        <v>26</v>
      </c>
      <c r="AC87" s="8">
        <f t="shared" si="21"/>
        <v>31.799999999999997</v>
      </c>
      <c r="AD87" s="8">
        <f t="shared" si="22"/>
        <v>30.699999999999996</v>
      </c>
      <c r="AE87" s="8">
        <f t="shared" si="23"/>
        <v>37.799999999999997</v>
      </c>
      <c r="AF87" s="8">
        <f t="shared" si="24"/>
        <v>63.400000000000006</v>
      </c>
      <c r="AG87" s="8">
        <f t="shared" si="25"/>
        <v>62.300000000000004</v>
      </c>
      <c r="AH87" s="10">
        <f t="shared" si="26"/>
        <v>69.400000000000006</v>
      </c>
    </row>
    <row r="88" spans="1:34" ht="60" x14ac:dyDescent="0.25">
      <c r="A88">
        <v>1</v>
      </c>
      <c r="B88" s="6" t="s">
        <v>400</v>
      </c>
      <c r="C88" s="18" t="s">
        <v>322</v>
      </c>
      <c r="D88" s="10"/>
      <c r="E88" s="9"/>
      <c r="F88" s="8">
        <v>1</v>
      </c>
      <c r="G88" s="10" t="s">
        <v>325</v>
      </c>
      <c r="H88" s="10" t="s">
        <v>401</v>
      </c>
      <c r="I88" s="10" t="s">
        <v>574</v>
      </c>
      <c r="J88" s="9"/>
      <c r="K88" s="8"/>
      <c r="L88" s="8"/>
      <c r="M88" s="8"/>
      <c r="N88" s="10"/>
      <c r="O88" s="11"/>
      <c r="P88" s="8"/>
      <c r="Q88" s="8"/>
      <c r="R88" s="8"/>
      <c r="S88" s="10"/>
      <c r="T88" s="9"/>
      <c r="U88" s="8"/>
      <c r="V88" s="8"/>
      <c r="W88" s="8"/>
      <c r="X88" s="8"/>
      <c r="Y88" s="8"/>
      <c r="Z88" s="8">
        <f t="shared" si="18"/>
        <v>20</v>
      </c>
      <c r="AA88" s="8">
        <f t="shared" si="19"/>
        <v>18.899999999999999</v>
      </c>
      <c r="AB88" s="8">
        <f t="shared" si="20"/>
        <v>26</v>
      </c>
      <c r="AC88" s="8">
        <f t="shared" si="21"/>
        <v>18.600000000000001</v>
      </c>
      <c r="AD88" s="8">
        <f t="shared" si="22"/>
        <v>17.5</v>
      </c>
      <c r="AE88" s="8">
        <f t="shared" si="23"/>
        <v>24.6</v>
      </c>
      <c r="AF88" s="8">
        <f t="shared" si="24"/>
        <v>21.6</v>
      </c>
      <c r="AG88" s="8">
        <f t="shared" si="25"/>
        <v>20.5</v>
      </c>
      <c r="AH88" s="10">
        <f t="shared" si="26"/>
        <v>27.6</v>
      </c>
    </row>
    <row r="89" spans="1:34" ht="30" x14ac:dyDescent="0.25">
      <c r="B89" s="6" t="s">
        <v>402</v>
      </c>
      <c r="C89" s="17" t="s">
        <v>322</v>
      </c>
      <c r="D89" s="10"/>
      <c r="E89" s="9"/>
      <c r="F89" s="8">
        <v>1</v>
      </c>
      <c r="G89" s="10" t="s">
        <v>325</v>
      </c>
      <c r="H89" s="10" t="s">
        <v>578</v>
      </c>
      <c r="I89" s="10" t="s">
        <v>577</v>
      </c>
      <c r="J89" s="9"/>
      <c r="K89" s="8">
        <v>3</v>
      </c>
      <c r="L89" s="8" t="s">
        <v>36</v>
      </c>
      <c r="M89" s="8" t="s">
        <v>403</v>
      </c>
      <c r="N89" s="8" t="s">
        <v>404</v>
      </c>
      <c r="O89" s="11"/>
      <c r="P89" s="8">
        <v>10</v>
      </c>
      <c r="Q89" s="8" t="s">
        <v>328</v>
      </c>
      <c r="R89" s="8" t="s">
        <v>329</v>
      </c>
      <c r="S89" s="10" t="s">
        <v>446</v>
      </c>
      <c r="T89" s="9"/>
      <c r="U89" s="8"/>
      <c r="V89" s="8"/>
      <c r="W89" s="8"/>
      <c r="X89" s="8"/>
      <c r="Y89" s="8"/>
      <c r="Z89" s="8">
        <f t="shared" si="18"/>
        <v>20</v>
      </c>
      <c r="AA89" s="8">
        <f t="shared" si="19"/>
        <v>18.899999999999999</v>
      </c>
      <c r="AB89" s="8">
        <f t="shared" si="20"/>
        <v>26</v>
      </c>
      <c r="AC89" s="8">
        <f t="shared" si="21"/>
        <v>31.799999999999997</v>
      </c>
      <c r="AD89" s="8">
        <f t="shared" si="22"/>
        <v>30.699999999999996</v>
      </c>
      <c r="AE89" s="8">
        <f t="shared" si="23"/>
        <v>37.799999999999997</v>
      </c>
      <c r="AF89" s="8">
        <f t="shared" si="24"/>
        <v>65.599999999999994</v>
      </c>
      <c r="AG89" s="8">
        <f t="shared" si="25"/>
        <v>64.5</v>
      </c>
      <c r="AH89" s="10">
        <f t="shared" si="26"/>
        <v>71.599999999999994</v>
      </c>
    </row>
    <row r="90" spans="1:34" ht="75" x14ac:dyDescent="0.25">
      <c r="B90" s="6" t="s">
        <v>405</v>
      </c>
      <c r="C90" s="17" t="s">
        <v>322</v>
      </c>
      <c r="D90" s="8"/>
      <c r="E90" s="9"/>
      <c r="F90" s="8">
        <v>1</v>
      </c>
      <c r="G90" s="10" t="s">
        <v>325</v>
      </c>
      <c r="H90" s="10" t="s">
        <v>406</v>
      </c>
      <c r="I90" s="10" t="s">
        <v>575</v>
      </c>
      <c r="J90" s="9"/>
      <c r="K90" s="8">
        <v>9.5</v>
      </c>
      <c r="L90" s="8" t="s">
        <v>325</v>
      </c>
      <c r="M90" s="8" t="s">
        <v>407</v>
      </c>
      <c r="N90" s="19" t="s">
        <v>408</v>
      </c>
      <c r="O90" s="11"/>
      <c r="P90" s="8"/>
      <c r="Q90" s="8"/>
      <c r="R90" s="8"/>
      <c r="S90" s="8"/>
      <c r="T90" s="9"/>
      <c r="U90" s="8"/>
      <c r="V90" s="8"/>
      <c r="W90" s="8"/>
      <c r="X90" s="8"/>
      <c r="Y90" s="8"/>
      <c r="Z90" s="8">
        <f t="shared" si="18"/>
        <v>20</v>
      </c>
      <c r="AA90" s="8">
        <f t="shared" si="19"/>
        <v>18.899999999999999</v>
      </c>
      <c r="AB90" s="8">
        <f t="shared" si="20"/>
        <v>26</v>
      </c>
      <c r="AC90" s="8">
        <f t="shared" si="21"/>
        <v>60.400000000000006</v>
      </c>
      <c r="AD90" s="8">
        <f t="shared" si="22"/>
        <v>59.300000000000004</v>
      </c>
      <c r="AE90" s="8">
        <f t="shared" si="23"/>
        <v>66.400000000000006</v>
      </c>
      <c r="AF90" s="8">
        <f t="shared" si="24"/>
        <v>21.6</v>
      </c>
      <c r="AG90" s="8">
        <f t="shared" si="25"/>
        <v>20.5</v>
      </c>
      <c r="AH90" s="10">
        <f t="shared" si="26"/>
        <v>27.6</v>
      </c>
    </row>
    <row r="91" spans="1:34" ht="75" x14ac:dyDescent="0.25">
      <c r="B91" s="6" t="s">
        <v>409</v>
      </c>
      <c r="C91" s="17" t="s">
        <v>322</v>
      </c>
      <c r="D91" s="8"/>
      <c r="E91" s="9"/>
      <c r="F91" s="8">
        <v>1</v>
      </c>
      <c r="G91" s="10" t="s">
        <v>325</v>
      </c>
      <c r="H91" s="10" t="s">
        <v>410</v>
      </c>
      <c r="I91" s="10" t="s">
        <v>349</v>
      </c>
      <c r="J91" s="9"/>
      <c r="K91" s="8">
        <v>3</v>
      </c>
      <c r="L91" s="8" t="s">
        <v>325</v>
      </c>
      <c r="M91" s="8" t="s">
        <v>411</v>
      </c>
      <c r="N91" s="8" t="s">
        <v>412</v>
      </c>
      <c r="O91" s="11"/>
      <c r="P91" s="8"/>
      <c r="Q91" s="8"/>
      <c r="R91" s="8"/>
      <c r="S91" s="8"/>
      <c r="T91" s="9"/>
      <c r="U91" s="8"/>
      <c r="V91" s="8"/>
      <c r="W91" s="8"/>
      <c r="X91" s="8"/>
      <c r="Y91" s="8"/>
      <c r="Z91" s="8">
        <f t="shared" si="18"/>
        <v>20</v>
      </c>
      <c r="AA91" s="8">
        <f t="shared" si="19"/>
        <v>18.899999999999999</v>
      </c>
      <c r="AB91" s="8">
        <f t="shared" si="20"/>
        <v>26</v>
      </c>
      <c r="AC91" s="8">
        <f t="shared" si="21"/>
        <v>31.799999999999997</v>
      </c>
      <c r="AD91" s="8">
        <f t="shared" si="22"/>
        <v>30.699999999999996</v>
      </c>
      <c r="AE91" s="8">
        <f t="shared" si="23"/>
        <v>37.799999999999997</v>
      </c>
      <c r="AF91" s="8">
        <f t="shared" si="24"/>
        <v>21.6</v>
      </c>
      <c r="AG91" s="8">
        <f t="shared" si="25"/>
        <v>20.5</v>
      </c>
      <c r="AH91" s="10">
        <f t="shared" si="26"/>
        <v>27.6</v>
      </c>
    </row>
    <row r="92" spans="1:34" ht="30" x14ac:dyDescent="0.25">
      <c r="B92" s="6" t="s">
        <v>413</v>
      </c>
      <c r="C92" s="17" t="s">
        <v>322</v>
      </c>
      <c r="D92" s="8"/>
      <c r="E92" s="9"/>
      <c r="F92" s="8">
        <v>1</v>
      </c>
      <c r="G92" s="10" t="s">
        <v>325</v>
      </c>
      <c r="H92" s="10" t="s">
        <v>414</v>
      </c>
      <c r="I92" s="10" t="s">
        <v>415</v>
      </c>
      <c r="J92" s="9"/>
      <c r="K92" s="8">
        <v>3</v>
      </c>
      <c r="L92" s="8" t="s">
        <v>134</v>
      </c>
      <c r="M92" s="8" t="s">
        <v>416</v>
      </c>
      <c r="N92" s="8" t="s">
        <v>417</v>
      </c>
      <c r="O92" s="11"/>
      <c r="P92" s="8"/>
      <c r="Q92" s="8"/>
      <c r="R92" s="8"/>
      <c r="S92" s="8"/>
      <c r="T92" s="9"/>
      <c r="U92" s="8"/>
      <c r="V92" s="8"/>
      <c r="W92" s="8"/>
      <c r="X92" s="8"/>
      <c r="Y92" s="8"/>
      <c r="Z92" s="8">
        <f t="shared" si="18"/>
        <v>20</v>
      </c>
      <c r="AA92" s="8">
        <f t="shared" si="19"/>
        <v>18.899999999999999</v>
      </c>
      <c r="AB92" s="8">
        <f t="shared" si="20"/>
        <v>26</v>
      </c>
      <c r="AC92" s="8">
        <f t="shared" si="21"/>
        <v>31.799999999999997</v>
      </c>
      <c r="AD92" s="8">
        <f t="shared" si="22"/>
        <v>30.699999999999996</v>
      </c>
      <c r="AE92" s="8">
        <f t="shared" si="23"/>
        <v>37.799999999999997</v>
      </c>
      <c r="AF92" s="8">
        <f t="shared" si="24"/>
        <v>21.6</v>
      </c>
      <c r="AG92" s="8">
        <f t="shared" si="25"/>
        <v>20.5</v>
      </c>
      <c r="AH92" s="10">
        <f t="shared" si="26"/>
        <v>27.6</v>
      </c>
    </row>
    <row r="93" spans="1:34" ht="45" x14ac:dyDescent="0.25">
      <c r="B93" s="6" t="s">
        <v>418</v>
      </c>
      <c r="C93" s="17" t="s">
        <v>322</v>
      </c>
      <c r="D93" s="8" t="s">
        <v>419</v>
      </c>
      <c r="E93" s="9"/>
      <c r="F93" s="8">
        <v>1</v>
      </c>
      <c r="G93" s="10" t="s">
        <v>39</v>
      </c>
      <c r="H93" s="10" t="s">
        <v>420</v>
      </c>
      <c r="I93" s="10" t="s">
        <v>421</v>
      </c>
      <c r="J93" s="9"/>
      <c r="K93" s="8">
        <v>5</v>
      </c>
      <c r="L93" s="8" t="s">
        <v>39</v>
      </c>
      <c r="M93" s="8" t="s">
        <v>422</v>
      </c>
      <c r="N93" s="8" t="s">
        <v>576</v>
      </c>
      <c r="O93" s="11"/>
      <c r="P93" s="8"/>
      <c r="Q93" s="8"/>
      <c r="R93" s="8"/>
      <c r="S93" s="8"/>
      <c r="T93" s="9"/>
      <c r="U93" s="8"/>
      <c r="V93" s="8"/>
      <c r="W93" s="8"/>
      <c r="X93" s="8"/>
      <c r="Y93" s="8"/>
      <c r="Z93" s="8">
        <f t="shared" si="18"/>
        <v>20</v>
      </c>
      <c r="AA93" s="8">
        <f t="shared" si="19"/>
        <v>18.899999999999999</v>
      </c>
      <c r="AB93" s="8">
        <f t="shared" si="20"/>
        <v>26</v>
      </c>
      <c r="AC93" s="8">
        <f t="shared" si="21"/>
        <v>40.6</v>
      </c>
      <c r="AD93" s="8">
        <f t="shared" si="22"/>
        <v>39.5</v>
      </c>
      <c r="AE93" s="8">
        <f t="shared" si="23"/>
        <v>46.6</v>
      </c>
      <c r="AF93" s="8">
        <f t="shared" si="24"/>
        <v>21.6</v>
      </c>
      <c r="AG93" s="8">
        <f t="shared" si="25"/>
        <v>20.5</v>
      </c>
      <c r="AH93" s="10">
        <f t="shared" si="26"/>
        <v>27.6</v>
      </c>
    </row>
    <row r="94" spans="1:34" ht="45" x14ac:dyDescent="0.25">
      <c r="B94" s="6" t="s">
        <v>423</v>
      </c>
      <c r="C94" s="17" t="s">
        <v>322</v>
      </c>
      <c r="D94" s="10"/>
      <c r="E94" s="9"/>
      <c r="F94" s="8">
        <v>1</v>
      </c>
      <c r="G94" s="10" t="s">
        <v>325</v>
      </c>
      <c r="H94" s="10" t="s">
        <v>424</v>
      </c>
      <c r="I94" s="10" t="s">
        <v>349</v>
      </c>
      <c r="J94" s="9"/>
      <c r="K94" s="8">
        <v>3</v>
      </c>
      <c r="L94" s="8" t="s">
        <v>36</v>
      </c>
      <c r="M94" s="8" t="s">
        <v>425</v>
      </c>
      <c r="N94" s="10" t="s">
        <v>426</v>
      </c>
      <c r="O94" s="11"/>
      <c r="P94" s="8"/>
      <c r="Q94" s="8"/>
      <c r="R94" s="8"/>
      <c r="S94" s="10"/>
      <c r="T94" s="9"/>
      <c r="U94" s="8"/>
      <c r="V94" s="8"/>
      <c r="W94" s="8"/>
      <c r="X94" s="8"/>
      <c r="Y94" s="8"/>
      <c r="Z94" s="8">
        <f t="shared" si="18"/>
        <v>20</v>
      </c>
      <c r="AA94" s="8">
        <f t="shared" si="19"/>
        <v>18.899999999999999</v>
      </c>
      <c r="AB94" s="8">
        <f t="shared" si="20"/>
        <v>26</v>
      </c>
      <c r="AC94" s="8">
        <f t="shared" si="21"/>
        <v>31.799999999999997</v>
      </c>
      <c r="AD94" s="8">
        <f t="shared" si="22"/>
        <v>30.699999999999996</v>
      </c>
      <c r="AE94" s="8">
        <f t="shared" si="23"/>
        <v>37.799999999999997</v>
      </c>
      <c r="AF94" s="8">
        <f t="shared" si="24"/>
        <v>21.6</v>
      </c>
      <c r="AG94" s="8">
        <f t="shared" si="25"/>
        <v>20.5</v>
      </c>
      <c r="AH94" s="10">
        <f t="shared" si="26"/>
        <v>27.6</v>
      </c>
    </row>
    <row r="95" spans="1:34" ht="45" x14ac:dyDescent="0.25">
      <c r="B95" s="6" t="s">
        <v>427</v>
      </c>
      <c r="C95" s="17" t="s">
        <v>322</v>
      </c>
      <c r="D95" s="8"/>
      <c r="E95" s="9"/>
      <c r="F95" s="8">
        <v>1</v>
      </c>
      <c r="G95" s="10" t="s">
        <v>325</v>
      </c>
      <c r="H95" s="10" t="s">
        <v>428</v>
      </c>
      <c r="I95" s="10" t="s">
        <v>429</v>
      </c>
      <c r="J95" s="9"/>
      <c r="K95" s="8">
        <v>4</v>
      </c>
      <c r="L95" s="8" t="s">
        <v>36</v>
      </c>
      <c r="M95" s="8" t="s">
        <v>430</v>
      </c>
      <c r="N95" s="8" t="s">
        <v>579</v>
      </c>
      <c r="O95" s="11"/>
      <c r="P95" s="8"/>
      <c r="Q95" s="8"/>
      <c r="R95" s="8"/>
      <c r="S95" s="8"/>
      <c r="T95" s="9"/>
      <c r="U95" s="8"/>
      <c r="V95" s="8"/>
      <c r="W95" s="8"/>
      <c r="X95" s="8"/>
      <c r="Y95" s="8"/>
      <c r="Z95" s="8">
        <f t="shared" si="18"/>
        <v>20</v>
      </c>
      <c r="AA95" s="8">
        <f t="shared" si="19"/>
        <v>18.899999999999999</v>
      </c>
      <c r="AB95" s="8">
        <f t="shared" si="20"/>
        <v>26</v>
      </c>
      <c r="AC95" s="8">
        <f t="shared" si="21"/>
        <v>36.200000000000003</v>
      </c>
      <c r="AD95" s="8">
        <f t="shared" si="22"/>
        <v>35.1</v>
      </c>
      <c r="AE95" s="8">
        <f t="shared" si="23"/>
        <v>42.2</v>
      </c>
      <c r="AF95" s="8">
        <f t="shared" si="24"/>
        <v>21.6</v>
      </c>
      <c r="AG95" s="8">
        <f t="shared" si="25"/>
        <v>20.5</v>
      </c>
      <c r="AH95" s="10">
        <f t="shared" si="26"/>
        <v>27.6</v>
      </c>
    </row>
    <row r="96" spans="1:34" ht="30" x14ac:dyDescent="0.25">
      <c r="B96" s="6" t="s">
        <v>431</v>
      </c>
      <c r="C96" s="17" t="s">
        <v>322</v>
      </c>
      <c r="D96" s="8"/>
      <c r="E96" s="9"/>
      <c r="F96" s="8">
        <v>1</v>
      </c>
      <c r="G96" s="10" t="s">
        <v>325</v>
      </c>
      <c r="H96" s="10" t="s">
        <v>432</v>
      </c>
      <c r="I96" s="10" t="s">
        <v>397</v>
      </c>
      <c r="J96" s="9"/>
      <c r="K96" s="8">
        <v>10</v>
      </c>
      <c r="L96" s="8" t="s">
        <v>328</v>
      </c>
      <c r="M96" s="8" t="s">
        <v>329</v>
      </c>
      <c r="N96" s="8" t="s">
        <v>580</v>
      </c>
      <c r="O96" s="11"/>
      <c r="P96" s="8"/>
      <c r="Q96" s="8"/>
      <c r="R96" s="8"/>
      <c r="S96" s="8"/>
      <c r="T96" s="9"/>
      <c r="U96" s="8"/>
      <c r="V96" s="8"/>
      <c r="W96" s="8"/>
      <c r="X96" s="8"/>
      <c r="Y96" s="8"/>
      <c r="Z96" s="8">
        <f t="shared" si="18"/>
        <v>20</v>
      </c>
      <c r="AA96" s="8">
        <f t="shared" si="19"/>
        <v>18.899999999999999</v>
      </c>
      <c r="AB96" s="8">
        <f t="shared" si="20"/>
        <v>26</v>
      </c>
      <c r="AC96" s="8">
        <f t="shared" si="21"/>
        <v>62.599999999999994</v>
      </c>
      <c r="AD96" s="8">
        <f t="shared" si="22"/>
        <v>61.499999999999993</v>
      </c>
      <c r="AE96" s="8">
        <f t="shared" si="23"/>
        <v>68.599999999999994</v>
      </c>
      <c r="AF96" s="8">
        <f t="shared" si="24"/>
        <v>21.6</v>
      </c>
      <c r="AG96" s="8">
        <f t="shared" si="25"/>
        <v>20.5</v>
      </c>
      <c r="AH96" s="10">
        <f t="shared" si="26"/>
        <v>27.6</v>
      </c>
    </row>
    <row r="97" spans="1:34" ht="45" x14ac:dyDescent="0.25">
      <c r="B97" s="6" t="s">
        <v>433</v>
      </c>
      <c r="C97" s="17" t="s">
        <v>322</v>
      </c>
      <c r="D97" s="8"/>
      <c r="E97" s="9"/>
      <c r="F97" s="8">
        <v>1</v>
      </c>
      <c r="G97" s="10" t="s">
        <v>134</v>
      </c>
      <c r="H97" s="10" t="s">
        <v>434</v>
      </c>
      <c r="I97" s="10" t="s">
        <v>435</v>
      </c>
      <c r="J97" s="9"/>
      <c r="K97" s="8">
        <v>6</v>
      </c>
      <c r="L97" s="8" t="s">
        <v>36</v>
      </c>
      <c r="M97" s="8" t="s">
        <v>436</v>
      </c>
      <c r="N97" s="8" t="s">
        <v>437</v>
      </c>
      <c r="O97" s="11"/>
      <c r="P97" s="8"/>
      <c r="Q97" s="8"/>
      <c r="R97" s="8"/>
      <c r="S97" s="8"/>
      <c r="T97" s="9"/>
      <c r="U97" s="8"/>
      <c r="V97" s="8"/>
      <c r="W97" s="8"/>
      <c r="X97" s="8"/>
      <c r="Y97" s="8"/>
      <c r="Z97" s="8">
        <f t="shared" si="18"/>
        <v>20</v>
      </c>
      <c r="AA97" s="8">
        <f t="shared" si="19"/>
        <v>18.899999999999999</v>
      </c>
      <c r="AB97" s="8">
        <f t="shared" si="20"/>
        <v>26</v>
      </c>
      <c r="AC97" s="8">
        <f t="shared" si="21"/>
        <v>45</v>
      </c>
      <c r="AD97" s="8">
        <f t="shared" si="22"/>
        <v>43.9</v>
      </c>
      <c r="AE97" s="8">
        <f t="shared" si="23"/>
        <v>51</v>
      </c>
      <c r="AF97" s="8">
        <f t="shared" si="24"/>
        <v>21.6</v>
      </c>
      <c r="AG97" s="8">
        <f t="shared" si="25"/>
        <v>20.5</v>
      </c>
      <c r="AH97" s="10">
        <f t="shared" si="26"/>
        <v>27.6</v>
      </c>
    </row>
    <row r="98" spans="1:34" ht="30" x14ac:dyDescent="0.25">
      <c r="A98">
        <v>1</v>
      </c>
      <c r="B98" s="6" t="s">
        <v>438</v>
      </c>
      <c r="C98" s="17" t="s">
        <v>322</v>
      </c>
      <c r="D98" s="10"/>
      <c r="E98" s="9"/>
      <c r="F98" s="8">
        <v>1</v>
      </c>
      <c r="G98" s="10" t="s">
        <v>325</v>
      </c>
      <c r="H98" s="10" t="s">
        <v>439</v>
      </c>
      <c r="I98" s="10" t="s">
        <v>397</v>
      </c>
      <c r="J98" s="9"/>
      <c r="K98" s="8">
        <v>3</v>
      </c>
      <c r="L98" s="8" t="s">
        <v>39</v>
      </c>
      <c r="M98" s="8" t="s">
        <v>440</v>
      </c>
      <c r="N98" s="8" t="s">
        <v>441</v>
      </c>
      <c r="O98" s="11"/>
      <c r="P98" s="8"/>
      <c r="Q98" s="8"/>
      <c r="R98" s="8"/>
      <c r="S98" s="10"/>
      <c r="T98" s="9"/>
      <c r="U98" s="8"/>
      <c r="V98" s="8"/>
      <c r="W98" s="8"/>
      <c r="X98" s="8"/>
      <c r="Y98" s="8"/>
      <c r="Z98" s="8">
        <f t="shared" si="18"/>
        <v>20</v>
      </c>
      <c r="AA98" s="8">
        <f t="shared" si="19"/>
        <v>18.899999999999999</v>
      </c>
      <c r="AB98" s="8">
        <f t="shared" si="20"/>
        <v>26</v>
      </c>
      <c r="AC98" s="8">
        <f t="shared" si="21"/>
        <v>31.799999999999997</v>
      </c>
      <c r="AD98" s="8">
        <f t="shared" si="22"/>
        <v>30.699999999999996</v>
      </c>
      <c r="AE98" s="8">
        <f t="shared" si="23"/>
        <v>37.799999999999997</v>
      </c>
      <c r="AF98" s="8">
        <f t="shared" si="24"/>
        <v>21.6</v>
      </c>
      <c r="AG98" s="8">
        <f t="shared" si="25"/>
        <v>20.5</v>
      </c>
      <c r="AH98" s="10">
        <f t="shared" si="26"/>
        <v>27.6</v>
      </c>
    </row>
    <row r="99" spans="1:34" ht="30" x14ac:dyDescent="0.25">
      <c r="B99" s="6" t="s">
        <v>442</v>
      </c>
      <c r="C99" s="17" t="s">
        <v>322</v>
      </c>
      <c r="D99" s="8"/>
      <c r="E99" s="9"/>
      <c r="F99" s="8">
        <v>1</v>
      </c>
      <c r="G99" s="10" t="s">
        <v>325</v>
      </c>
      <c r="H99" s="10" t="s">
        <v>443</v>
      </c>
      <c r="I99" s="10" t="s">
        <v>333</v>
      </c>
      <c r="J99" s="9"/>
      <c r="K99" s="8">
        <v>3</v>
      </c>
      <c r="L99" s="8" t="s">
        <v>36</v>
      </c>
      <c r="M99" s="8" t="s">
        <v>444</v>
      </c>
      <c r="N99" s="8" t="s">
        <v>445</v>
      </c>
      <c r="O99" s="11"/>
      <c r="P99" s="8">
        <v>11</v>
      </c>
      <c r="Q99" s="8" t="s">
        <v>328</v>
      </c>
      <c r="R99" s="8" t="s">
        <v>329</v>
      </c>
      <c r="S99" s="8" t="s">
        <v>446</v>
      </c>
      <c r="T99" s="9"/>
      <c r="U99" s="8"/>
      <c r="V99" s="8"/>
      <c r="W99" s="8"/>
      <c r="X99" s="8"/>
      <c r="Y99" s="8"/>
      <c r="Z99" s="8">
        <f t="shared" si="18"/>
        <v>20</v>
      </c>
      <c r="AA99" s="8">
        <f t="shared" si="19"/>
        <v>18.899999999999999</v>
      </c>
      <c r="AB99" s="8">
        <f t="shared" si="20"/>
        <v>26</v>
      </c>
      <c r="AC99" s="8">
        <f t="shared" si="21"/>
        <v>31.799999999999997</v>
      </c>
      <c r="AD99" s="8">
        <f t="shared" si="22"/>
        <v>30.699999999999996</v>
      </c>
      <c r="AE99" s="8">
        <f t="shared" si="23"/>
        <v>37.799999999999997</v>
      </c>
      <c r="AF99" s="8">
        <f t="shared" si="24"/>
        <v>70</v>
      </c>
      <c r="AG99" s="8">
        <f t="shared" si="25"/>
        <v>68.900000000000006</v>
      </c>
      <c r="AH99" s="10">
        <f t="shared" si="26"/>
        <v>76</v>
      </c>
    </row>
    <row r="100" spans="1:34" ht="30" x14ac:dyDescent="0.25">
      <c r="B100" s="6" t="s">
        <v>447</v>
      </c>
      <c r="C100" s="17" t="s">
        <v>322</v>
      </c>
      <c r="D100" s="8"/>
      <c r="E100" s="9"/>
      <c r="F100" s="8">
        <v>1</v>
      </c>
      <c r="G100" s="10" t="s">
        <v>325</v>
      </c>
      <c r="H100" s="10" t="s">
        <v>448</v>
      </c>
      <c r="I100" s="10" t="s">
        <v>581</v>
      </c>
      <c r="J100" s="9"/>
      <c r="K100" s="8"/>
      <c r="L100" s="8"/>
      <c r="M100" s="8"/>
      <c r="N100" s="8"/>
      <c r="O100" s="11"/>
      <c r="P100" s="8"/>
      <c r="Q100" s="8"/>
      <c r="R100" s="8"/>
      <c r="S100" s="8"/>
      <c r="T100" s="9"/>
      <c r="U100" s="8"/>
      <c r="V100" s="8"/>
      <c r="W100" s="8"/>
      <c r="X100" s="8"/>
      <c r="Y100" s="8"/>
      <c r="Z100" s="8">
        <f t="shared" si="18"/>
        <v>20</v>
      </c>
      <c r="AA100" s="8">
        <f t="shared" si="19"/>
        <v>18.899999999999999</v>
      </c>
      <c r="AB100" s="8">
        <f t="shared" si="20"/>
        <v>26</v>
      </c>
      <c r="AC100" s="8">
        <f t="shared" si="21"/>
        <v>18.600000000000001</v>
      </c>
      <c r="AD100" s="8">
        <f t="shared" si="22"/>
        <v>17.5</v>
      </c>
      <c r="AE100" s="8">
        <f t="shared" si="23"/>
        <v>24.6</v>
      </c>
      <c r="AF100" s="8">
        <f t="shared" si="24"/>
        <v>21.6</v>
      </c>
      <c r="AG100" s="8">
        <f t="shared" si="25"/>
        <v>20.5</v>
      </c>
      <c r="AH100" s="10">
        <f t="shared" si="26"/>
        <v>27.6</v>
      </c>
    </row>
    <row r="101" spans="1:34" ht="30" x14ac:dyDescent="0.25">
      <c r="B101" s="6" t="s">
        <v>449</v>
      </c>
      <c r="C101" s="18" t="s">
        <v>322</v>
      </c>
      <c r="D101" s="10"/>
      <c r="E101" s="9"/>
      <c r="F101" s="8">
        <v>1</v>
      </c>
      <c r="G101" s="10" t="s">
        <v>325</v>
      </c>
      <c r="H101" s="10" t="s">
        <v>450</v>
      </c>
      <c r="I101" s="10" t="s">
        <v>451</v>
      </c>
      <c r="J101" s="9"/>
      <c r="K101" s="8"/>
      <c r="L101" s="8"/>
      <c r="M101" s="8"/>
      <c r="N101" s="10"/>
      <c r="O101" s="11"/>
      <c r="P101" s="8"/>
      <c r="Q101" s="8"/>
      <c r="R101" s="8"/>
      <c r="S101" s="10"/>
      <c r="T101" s="9"/>
      <c r="U101" s="8"/>
      <c r="V101" s="8"/>
      <c r="W101" s="8"/>
      <c r="X101" s="8"/>
      <c r="Y101" s="8"/>
      <c r="Z101" s="8">
        <f t="shared" si="18"/>
        <v>20</v>
      </c>
      <c r="AA101" s="8">
        <f t="shared" si="19"/>
        <v>18.899999999999999</v>
      </c>
      <c r="AB101" s="8">
        <f t="shared" si="20"/>
        <v>26</v>
      </c>
      <c r="AC101" s="8">
        <f t="shared" si="21"/>
        <v>18.600000000000001</v>
      </c>
      <c r="AD101" s="8">
        <f t="shared" si="22"/>
        <v>17.5</v>
      </c>
      <c r="AE101" s="8">
        <f t="shared" si="23"/>
        <v>24.6</v>
      </c>
      <c r="AF101" s="8">
        <f t="shared" si="24"/>
        <v>21.6</v>
      </c>
      <c r="AG101" s="8">
        <f t="shared" si="25"/>
        <v>20.5</v>
      </c>
      <c r="AH101" s="10">
        <f t="shared" si="26"/>
        <v>27.6</v>
      </c>
    </row>
    <row r="102" spans="1:34" ht="75" x14ac:dyDescent="0.25">
      <c r="A102">
        <v>1</v>
      </c>
      <c r="B102" s="6" t="s">
        <v>452</v>
      </c>
      <c r="C102" s="17" t="s">
        <v>322</v>
      </c>
      <c r="D102" s="8"/>
      <c r="E102" s="9"/>
      <c r="F102" s="8">
        <v>1</v>
      </c>
      <c r="G102" s="10" t="s">
        <v>325</v>
      </c>
      <c r="H102" s="10" t="s">
        <v>453</v>
      </c>
      <c r="I102" s="10" t="s">
        <v>380</v>
      </c>
      <c r="J102" s="9"/>
      <c r="K102" s="8">
        <v>3</v>
      </c>
      <c r="L102" s="8" t="s">
        <v>39</v>
      </c>
      <c r="M102" s="8" t="s">
        <v>454</v>
      </c>
      <c r="N102" s="8" t="s">
        <v>455</v>
      </c>
      <c r="O102" s="11"/>
      <c r="P102" s="8">
        <v>10</v>
      </c>
      <c r="Q102" s="8" t="s">
        <v>39</v>
      </c>
      <c r="R102" s="8" t="s">
        <v>456</v>
      </c>
      <c r="S102" s="8" t="s">
        <v>457</v>
      </c>
      <c r="T102" s="9"/>
      <c r="U102" s="8"/>
      <c r="V102" s="8"/>
      <c r="W102" s="8"/>
      <c r="X102" s="8"/>
      <c r="Y102" s="8"/>
      <c r="Z102" s="8">
        <f t="shared" si="18"/>
        <v>20</v>
      </c>
      <c r="AA102" s="8">
        <f t="shared" si="19"/>
        <v>18.899999999999999</v>
      </c>
      <c r="AB102" s="8">
        <f t="shared" si="20"/>
        <v>26</v>
      </c>
      <c r="AC102" s="8">
        <f t="shared" si="21"/>
        <v>31.799999999999997</v>
      </c>
      <c r="AD102" s="8">
        <f t="shared" si="22"/>
        <v>30.699999999999996</v>
      </c>
      <c r="AE102" s="8">
        <f t="shared" si="23"/>
        <v>37.799999999999997</v>
      </c>
      <c r="AF102" s="8">
        <f t="shared" si="24"/>
        <v>65.599999999999994</v>
      </c>
      <c r="AG102" s="8">
        <f t="shared" si="25"/>
        <v>64.5</v>
      </c>
      <c r="AH102" s="10">
        <f t="shared" si="26"/>
        <v>71.599999999999994</v>
      </c>
    </row>
    <row r="103" spans="1:34" ht="45" x14ac:dyDescent="0.25">
      <c r="B103" s="6" t="s">
        <v>458</v>
      </c>
      <c r="C103" s="17" t="s">
        <v>322</v>
      </c>
      <c r="D103" s="8"/>
      <c r="E103" s="9"/>
      <c r="F103" s="8">
        <v>1</v>
      </c>
      <c r="G103" s="10" t="s">
        <v>325</v>
      </c>
      <c r="H103" s="10" t="s">
        <v>443</v>
      </c>
      <c r="I103" s="10" t="s">
        <v>459</v>
      </c>
      <c r="J103" s="9"/>
      <c r="K103" s="8">
        <v>10</v>
      </c>
      <c r="L103" s="8" t="s">
        <v>328</v>
      </c>
      <c r="M103" s="8" t="s">
        <v>329</v>
      </c>
      <c r="N103" s="8" t="s">
        <v>460</v>
      </c>
      <c r="O103" s="11"/>
      <c r="P103" s="8"/>
      <c r="Q103" s="8"/>
      <c r="R103" s="8"/>
      <c r="S103" s="8"/>
      <c r="T103" s="9"/>
      <c r="U103" s="8"/>
      <c r="V103" s="8"/>
      <c r="W103" s="8"/>
      <c r="X103" s="8"/>
      <c r="Y103" s="8"/>
      <c r="Z103" s="8">
        <f t="shared" si="18"/>
        <v>20</v>
      </c>
      <c r="AA103" s="8">
        <f t="shared" si="19"/>
        <v>18.899999999999999</v>
      </c>
      <c r="AB103" s="8">
        <f t="shared" si="20"/>
        <v>26</v>
      </c>
      <c r="AC103" s="8">
        <f t="shared" si="21"/>
        <v>62.599999999999994</v>
      </c>
      <c r="AD103" s="8">
        <f t="shared" si="22"/>
        <v>61.499999999999993</v>
      </c>
      <c r="AE103" s="8">
        <f t="shared" si="23"/>
        <v>68.599999999999994</v>
      </c>
      <c r="AF103" s="8">
        <f t="shared" si="24"/>
        <v>21.6</v>
      </c>
      <c r="AG103" s="8">
        <f t="shared" si="25"/>
        <v>20.5</v>
      </c>
      <c r="AH103" s="10">
        <f t="shared" si="26"/>
        <v>27.6</v>
      </c>
    </row>
    <row r="104" spans="1:34" ht="60" x14ac:dyDescent="0.25">
      <c r="A104">
        <v>1</v>
      </c>
      <c r="B104" s="6" t="s">
        <v>461</v>
      </c>
      <c r="C104" s="17" t="s">
        <v>322</v>
      </c>
      <c r="D104" s="8"/>
      <c r="E104" s="9"/>
      <c r="F104" s="8">
        <v>1</v>
      </c>
      <c r="G104" s="10" t="s">
        <v>325</v>
      </c>
      <c r="H104" s="10" t="s">
        <v>462</v>
      </c>
      <c r="I104" s="10" t="s">
        <v>582</v>
      </c>
      <c r="J104" s="9"/>
      <c r="K104" s="8"/>
      <c r="L104" s="8"/>
      <c r="M104" s="8"/>
      <c r="N104" s="8"/>
      <c r="O104" s="11"/>
      <c r="P104" s="8"/>
      <c r="Q104" s="8"/>
      <c r="R104" s="8"/>
      <c r="S104" s="8"/>
      <c r="T104" s="9"/>
      <c r="U104" s="8"/>
      <c r="V104" s="8"/>
      <c r="W104" s="8"/>
      <c r="X104" s="8"/>
      <c r="Y104" s="8"/>
      <c r="Z104" s="8">
        <f t="shared" si="18"/>
        <v>20</v>
      </c>
      <c r="AA104" s="8">
        <f t="shared" si="19"/>
        <v>18.899999999999999</v>
      </c>
      <c r="AB104" s="8">
        <f t="shared" si="20"/>
        <v>26</v>
      </c>
      <c r="AC104" s="8">
        <f t="shared" si="21"/>
        <v>18.600000000000001</v>
      </c>
      <c r="AD104" s="8">
        <f t="shared" si="22"/>
        <v>17.5</v>
      </c>
      <c r="AE104" s="8">
        <f t="shared" si="23"/>
        <v>24.6</v>
      </c>
      <c r="AF104" s="8">
        <f t="shared" si="24"/>
        <v>21.6</v>
      </c>
      <c r="AG104" s="8">
        <f t="shared" si="25"/>
        <v>20.5</v>
      </c>
      <c r="AH104" s="10">
        <f t="shared" si="26"/>
        <v>27.6</v>
      </c>
    </row>
    <row r="105" spans="1:34" ht="60" x14ac:dyDescent="0.25">
      <c r="B105" s="6" t="s">
        <v>463</v>
      </c>
      <c r="C105" s="17" t="s">
        <v>322</v>
      </c>
      <c r="D105" s="8" t="s">
        <v>236</v>
      </c>
      <c r="E105" s="9"/>
      <c r="F105" s="8">
        <v>1</v>
      </c>
      <c r="G105" s="10" t="s">
        <v>39</v>
      </c>
      <c r="H105" s="10" t="s">
        <v>464</v>
      </c>
      <c r="I105" s="10" t="s">
        <v>465</v>
      </c>
      <c r="J105" s="9"/>
      <c r="K105" s="8">
        <v>4</v>
      </c>
      <c r="L105" s="8" t="s">
        <v>134</v>
      </c>
      <c r="M105" s="8" t="s">
        <v>466</v>
      </c>
      <c r="N105" s="8" t="s">
        <v>467</v>
      </c>
      <c r="O105" s="11"/>
      <c r="P105" s="8"/>
      <c r="Q105" s="8"/>
      <c r="R105" s="8"/>
      <c r="S105" s="8"/>
      <c r="T105" s="9"/>
      <c r="U105" s="8"/>
      <c r="V105" s="8"/>
      <c r="W105" s="8"/>
      <c r="X105" s="8"/>
      <c r="Y105" s="8"/>
      <c r="Z105" s="8">
        <f t="shared" si="18"/>
        <v>20</v>
      </c>
      <c r="AA105" s="8">
        <f t="shared" si="19"/>
        <v>18.899999999999999</v>
      </c>
      <c r="AB105" s="8">
        <f t="shared" si="20"/>
        <v>26</v>
      </c>
      <c r="AC105" s="8">
        <f t="shared" si="21"/>
        <v>36.200000000000003</v>
      </c>
      <c r="AD105" s="8">
        <f t="shared" si="22"/>
        <v>35.1</v>
      </c>
      <c r="AE105" s="8">
        <f t="shared" si="23"/>
        <v>42.2</v>
      </c>
      <c r="AF105" s="8">
        <f t="shared" si="24"/>
        <v>21.6</v>
      </c>
      <c r="AG105" s="8">
        <f t="shared" si="25"/>
        <v>20.5</v>
      </c>
      <c r="AH105" s="10">
        <f t="shared" si="26"/>
        <v>27.6</v>
      </c>
    </row>
    <row r="106" spans="1:34" ht="30" x14ac:dyDescent="0.25">
      <c r="B106" s="6" t="s">
        <v>583</v>
      </c>
      <c r="C106" s="17" t="s">
        <v>322</v>
      </c>
      <c r="D106" s="8" t="s">
        <v>584</v>
      </c>
      <c r="E106" s="9"/>
      <c r="F106" s="8">
        <v>1</v>
      </c>
      <c r="G106" s="10" t="s">
        <v>134</v>
      </c>
      <c r="H106" s="10" t="s">
        <v>585</v>
      </c>
      <c r="I106" s="10" t="s">
        <v>586</v>
      </c>
      <c r="J106" s="9"/>
      <c r="K106" s="8"/>
      <c r="L106" s="8"/>
      <c r="M106" s="8"/>
      <c r="N106" s="8"/>
      <c r="O106" s="11"/>
      <c r="P106" s="8"/>
      <c r="Q106" s="8"/>
      <c r="R106" s="8"/>
      <c r="S106" s="8"/>
      <c r="T106" s="9"/>
      <c r="U106" s="8"/>
      <c r="V106" s="8"/>
      <c r="W106" s="8"/>
      <c r="X106" s="8"/>
      <c r="Y106" s="8"/>
      <c r="Z106" s="8">
        <f t="shared" ref="Z106" si="27">AB106+Y$2</f>
        <v>20</v>
      </c>
      <c r="AA106" s="8">
        <f t="shared" ref="AA106" si="28">Z106+X$2</f>
        <v>18.899999999999999</v>
      </c>
      <c r="AB106" s="8">
        <f t="shared" ref="AB106" si="29">U$2+V$2*(F106-1)</f>
        <v>26</v>
      </c>
      <c r="AC106" s="8">
        <f t="shared" ref="AC106" si="30">AE106+Y$2</f>
        <v>18.600000000000001</v>
      </c>
      <c r="AD106" s="8">
        <f t="shared" ref="AD106" si="31">AC106+X$2</f>
        <v>17.5</v>
      </c>
      <c r="AE106" s="8">
        <f t="shared" ref="AE106" si="32">U$2+V$2*(K106-1)+W$2</f>
        <v>24.6</v>
      </c>
      <c r="AF106" s="8">
        <f t="shared" ref="AF106" si="33">AH106+Y$2</f>
        <v>21.6</v>
      </c>
      <c r="AG106" s="8">
        <f t="shared" ref="AG106" si="34">AF106+X$2</f>
        <v>20.5</v>
      </c>
      <c r="AH106" s="10">
        <f t="shared" ref="AH106" si="35">U$2+V$2*(P106-1)+2*W$2</f>
        <v>27.6</v>
      </c>
    </row>
    <row r="107" spans="1:34" ht="60" x14ac:dyDescent="0.25">
      <c r="B107" s="6" t="s">
        <v>468</v>
      </c>
      <c r="C107" s="17" t="s">
        <v>322</v>
      </c>
      <c r="D107" s="10" t="s">
        <v>109</v>
      </c>
      <c r="E107" s="9"/>
      <c r="F107" s="8">
        <v>1</v>
      </c>
      <c r="G107" s="10" t="s">
        <v>587</v>
      </c>
      <c r="H107" s="10" t="s">
        <v>359</v>
      </c>
      <c r="I107" s="10" t="s">
        <v>469</v>
      </c>
      <c r="J107" s="9"/>
      <c r="K107" s="8">
        <v>5</v>
      </c>
      <c r="L107" s="8" t="s">
        <v>36</v>
      </c>
      <c r="M107" s="8" t="s">
        <v>470</v>
      </c>
      <c r="N107" s="8" t="s">
        <v>471</v>
      </c>
      <c r="O107" s="11"/>
      <c r="P107" s="8"/>
      <c r="Q107" s="8"/>
      <c r="R107" s="8"/>
      <c r="S107" s="8"/>
      <c r="T107" s="9"/>
      <c r="U107" s="8"/>
      <c r="V107" s="8"/>
      <c r="W107" s="8"/>
      <c r="X107" s="8"/>
      <c r="Y107" s="8"/>
      <c r="Z107" s="8">
        <f t="shared" si="18"/>
        <v>20</v>
      </c>
      <c r="AA107" s="8">
        <f t="shared" si="19"/>
        <v>18.899999999999999</v>
      </c>
      <c r="AB107" s="8">
        <f t="shared" si="20"/>
        <v>26</v>
      </c>
      <c r="AC107" s="8">
        <f t="shared" si="21"/>
        <v>40.6</v>
      </c>
      <c r="AD107" s="8">
        <f t="shared" si="22"/>
        <v>39.5</v>
      </c>
      <c r="AE107" s="8">
        <f t="shared" si="23"/>
        <v>46.6</v>
      </c>
      <c r="AF107" s="8">
        <f t="shared" si="24"/>
        <v>21.6</v>
      </c>
      <c r="AG107" s="8">
        <f t="shared" si="25"/>
        <v>20.5</v>
      </c>
      <c r="AH107" s="10">
        <f t="shared" si="26"/>
        <v>27.6</v>
      </c>
    </row>
    <row r="108" spans="1:34" ht="60" x14ac:dyDescent="0.25">
      <c r="A108">
        <v>1</v>
      </c>
      <c r="B108" s="6" t="s">
        <v>472</v>
      </c>
      <c r="C108" s="18" t="s">
        <v>322</v>
      </c>
      <c r="D108" s="10" t="s">
        <v>389</v>
      </c>
      <c r="E108" s="9"/>
      <c r="F108" s="8">
        <v>1</v>
      </c>
      <c r="G108" s="10" t="s">
        <v>39</v>
      </c>
      <c r="H108" s="10" t="s">
        <v>473</v>
      </c>
      <c r="I108" s="10" t="s">
        <v>474</v>
      </c>
      <c r="J108" s="9"/>
      <c r="K108" s="8">
        <v>9</v>
      </c>
      <c r="L108" s="8" t="s">
        <v>36</v>
      </c>
      <c r="M108" s="8" t="s">
        <v>199</v>
      </c>
      <c r="N108" s="10" t="s">
        <v>475</v>
      </c>
      <c r="O108" s="11"/>
      <c r="P108" s="8"/>
      <c r="Q108" s="8"/>
      <c r="R108" s="8"/>
      <c r="S108" s="10"/>
      <c r="T108" s="9"/>
      <c r="U108" s="8"/>
      <c r="V108" s="8"/>
      <c r="W108" s="8"/>
      <c r="X108" s="8"/>
      <c r="Y108" s="8"/>
      <c r="Z108" s="8">
        <f t="shared" si="18"/>
        <v>20</v>
      </c>
      <c r="AA108" s="8">
        <f t="shared" si="19"/>
        <v>18.899999999999999</v>
      </c>
      <c r="AB108" s="8">
        <f t="shared" si="20"/>
        <v>26</v>
      </c>
      <c r="AC108" s="8">
        <f t="shared" si="21"/>
        <v>58.2</v>
      </c>
      <c r="AD108" s="8">
        <f t="shared" si="22"/>
        <v>57.1</v>
      </c>
      <c r="AE108" s="8">
        <f t="shared" si="23"/>
        <v>64.2</v>
      </c>
      <c r="AF108" s="8">
        <f t="shared" si="24"/>
        <v>21.6</v>
      </c>
      <c r="AG108" s="8">
        <f t="shared" si="25"/>
        <v>20.5</v>
      </c>
      <c r="AH108" s="10">
        <f t="shared" si="26"/>
        <v>27.6</v>
      </c>
    </row>
    <row r="109" spans="1:34" ht="45" x14ac:dyDescent="0.25">
      <c r="B109" s="6" t="s">
        <v>476</v>
      </c>
      <c r="C109" s="17" t="s">
        <v>322</v>
      </c>
      <c r="D109" s="8"/>
      <c r="E109" s="9"/>
      <c r="F109" s="8">
        <v>1</v>
      </c>
      <c r="G109" s="10" t="s">
        <v>325</v>
      </c>
      <c r="H109" s="10" t="s">
        <v>477</v>
      </c>
      <c r="I109" s="10" t="s">
        <v>349</v>
      </c>
      <c r="J109" s="9"/>
      <c r="K109" s="8">
        <v>3</v>
      </c>
      <c r="L109" s="8" t="s">
        <v>39</v>
      </c>
      <c r="M109" s="8" t="s">
        <v>478</v>
      </c>
      <c r="N109" s="8" t="s">
        <v>479</v>
      </c>
      <c r="O109" s="11"/>
      <c r="P109" s="8">
        <v>10</v>
      </c>
      <c r="Q109" s="8" t="s">
        <v>328</v>
      </c>
      <c r="R109" s="8" t="s">
        <v>329</v>
      </c>
      <c r="S109" s="8" t="s">
        <v>394</v>
      </c>
      <c r="T109" s="9"/>
      <c r="U109" s="8"/>
      <c r="V109" s="8"/>
      <c r="W109" s="8"/>
      <c r="X109" s="8"/>
      <c r="Y109" s="8"/>
      <c r="Z109" s="8">
        <f t="shared" si="18"/>
        <v>20</v>
      </c>
      <c r="AA109" s="8">
        <f t="shared" si="19"/>
        <v>18.899999999999999</v>
      </c>
      <c r="AB109" s="8">
        <f t="shared" si="20"/>
        <v>26</v>
      </c>
      <c r="AC109" s="8">
        <f t="shared" si="21"/>
        <v>31.799999999999997</v>
      </c>
      <c r="AD109" s="8">
        <f t="shared" si="22"/>
        <v>30.699999999999996</v>
      </c>
      <c r="AE109" s="8">
        <f t="shared" si="23"/>
        <v>37.799999999999997</v>
      </c>
      <c r="AF109" s="8">
        <f t="shared" si="24"/>
        <v>65.599999999999994</v>
      </c>
      <c r="AG109" s="8">
        <f t="shared" si="25"/>
        <v>64.5</v>
      </c>
      <c r="AH109" s="10">
        <f t="shared" si="26"/>
        <v>71.599999999999994</v>
      </c>
    </row>
    <row r="110" spans="1:34" ht="45" x14ac:dyDescent="0.25">
      <c r="B110" s="6" t="s">
        <v>480</v>
      </c>
      <c r="C110" s="17" t="s">
        <v>322</v>
      </c>
      <c r="D110" s="8"/>
      <c r="E110" s="9"/>
      <c r="F110" s="8">
        <v>1</v>
      </c>
      <c r="G110" s="10" t="s">
        <v>325</v>
      </c>
      <c r="H110" s="10" t="s">
        <v>481</v>
      </c>
      <c r="I110" s="10" t="s">
        <v>482</v>
      </c>
      <c r="J110" s="9"/>
      <c r="K110" s="8">
        <v>10</v>
      </c>
      <c r="L110" s="8" t="s">
        <v>328</v>
      </c>
      <c r="M110" s="8" t="s">
        <v>329</v>
      </c>
      <c r="N110" s="8" t="s">
        <v>483</v>
      </c>
      <c r="O110" s="11"/>
      <c r="P110" s="8"/>
      <c r="Q110" s="8"/>
      <c r="R110" s="8"/>
      <c r="S110" s="8"/>
      <c r="T110" s="9"/>
      <c r="U110" s="8"/>
      <c r="V110" s="8"/>
      <c r="W110" s="8"/>
      <c r="X110" s="8"/>
      <c r="Y110" s="8"/>
      <c r="Z110" s="8">
        <f t="shared" si="18"/>
        <v>20</v>
      </c>
      <c r="AA110" s="8">
        <f t="shared" si="19"/>
        <v>18.899999999999999</v>
      </c>
      <c r="AB110" s="8">
        <f t="shared" si="20"/>
        <v>26</v>
      </c>
      <c r="AC110" s="8">
        <f t="shared" si="21"/>
        <v>62.599999999999994</v>
      </c>
      <c r="AD110" s="8">
        <f t="shared" si="22"/>
        <v>61.499999999999993</v>
      </c>
      <c r="AE110" s="8">
        <f t="shared" si="23"/>
        <v>68.599999999999994</v>
      </c>
      <c r="AF110" s="8">
        <f t="shared" si="24"/>
        <v>21.6</v>
      </c>
      <c r="AG110" s="8">
        <f t="shared" si="25"/>
        <v>20.5</v>
      </c>
      <c r="AH110" s="10">
        <f t="shared" si="26"/>
        <v>27.6</v>
      </c>
    </row>
    <row r="111" spans="1:34" ht="45" x14ac:dyDescent="0.25">
      <c r="A111">
        <v>1</v>
      </c>
      <c r="B111" s="6" t="s">
        <v>484</v>
      </c>
      <c r="C111" s="17" t="s">
        <v>322</v>
      </c>
      <c r="D111" s="8"/>
      <c r="E111" s="15"/>
      <c r="F111" s="8">
        <v>1</v>
      </c>
      <c r="G111" s="8" t="s">
        <v>325</v>
      </c>
      <c r="H111" s="8" t="s">
        <v>485</v>
      </c>
      <c r="I111" s="8" t="s">
        <v>486</v>
      </c>
      <c r="J111" s="15"/>
      <c r="K111" s="8"/>
      <c r="L111" s="8"/>
      <c r="M111" s="8"/>
      <c r="N111" s="8"/>
      <c r="O111" s="16"/>
      <c r="P111" s="8"/>
      <c r="Q111" s="8"/>
      <c r="R111" s="8"/>
      <c r="S111" s="8"/>
      <c r="T111" s="15"/>
      <c r="U111" s="10"/>
      <c r="V111" s="10"/>
      <c r="W111" s="8"/>
      <c r="X111" s="8"/>
      <c r="Y111" s="8"/>
      <c r="Z111" s="8">
        <f t="shared" si="18"/>
        <v>20</v>
      </c>
      <c r="AA111" s="8">
        <f t="shared" si="19"/>
        <v>18.899999999999999</v>
      </c>
      <c r="AB111" s="8">
        <f t="shared" si="20"/>
        <v>26</v>
      </c>
      <c r="AC111" s="8">
        <f t="shared" si="21"/>
        <v>18.600000000000001</v>
      </c>
      <c r="AD111" s="8">
        <f t="shared" si="22"/>
        <v>17.5</v>
      </c>
      <c r="AE111" s="8">
        <f t="shared" si="23"/>
        <v>24.6</v>
      </c>
      <c r="AF111" s="8">
        <f t="shared" si="24"/>
        <v>21.6</v>
      </c>
      <c r="AG111" s="8">
        <f t="shared" si="25"/>
        <v>20.5</v>
      </c>
      <c r="AH111" s="10">
        <f t="shared" si="26"/>
        <v>27.6</v>
      </c>
    </row>
    <row r="112" spans="1:34" ht="60" x14ac:dyDescent="0.25">
      <c r="A112">
        <v>1</v>
      </c>
      <c r="B112" s="6" t="s">
        <v>487</v>
      </c>
      <c r="C112" s="17" t="s">
        <v>322</v>
      </c>
      <c r="D112" s="10"/>
      <c r="E112" s="9"/>
      <c r="F112" s="8">
        <v>1</v>
      </c>
      <c r="G112" s="10" t="s">
        <v>325</v>
      </c>
      <c r="H112" s="10" t="s">
        <v>488</v>
      </c>
      <c r="I112" s="10" t="s">
        <v>369</v>
      </c>
      <c r="J112" s="9"/>
      <c r="K112" s="8">
        <v>9</v>
      </c>
      <c r="L112" s="8" t="s">
        <v>328</v>
      </c>
      <c r="M112" s="8" t="s">
        <v>329</v>
      </c>
      <c r="N112" s="10" t="s">
        <v>588</v>
      </c>
      <c r="O112" s="11"/>
      <c r="P112" s="8"/>
      <c r="Q112" s="8"/>
      <c r="R112" s="8"/>
      <c r="S112" s="10"/>
      <c r="T112" s="9"/>
      <c r="U112" s="8"/>
      <c r="V112" s="8"/>
      <c r="W112" s="8"/>
      <c r="X112" s="8"/>
      <c r="Y112" s="8"/>
      <c r="Z112" s="8">
        <f t="shared" si="18"/>
        <v>20</v>
      </c>
      <c r="AA112" s="8">
        <f t="shared" si="19"/>
        <v>18.899999999999999</v>
      </c>
      <c r="AB112" s="8">
        <f t="shared" si="20"/>
        <v>26</v>
      </c>
      <c r="AC112" s="8">
        <f t="shared" si="21"/>
        <v>58.2</v>
      </c>
      <c r="AD112" s="8">
        <f t="shared" si="22"/>
        <v>57.1</v>
      </c>
      <c r="AE112" s="8">
        <f t="shared" si="23"/>
        <v>64.2</v>
      </c>
      <c r="AF112" s="8">
        <f t="shared" si="24"/>
        <v>21.6</v>
      </c>
      <c r="AG112" s="8">
        <f t="shared" si="25"/>
        <v>20.5</v>
      </c>
      <c r="AH112" s="10">
        <f t="shared" si="26"/>
        <v>27.6</v>
      </c>
    </row>
    <row r="113" spans="1:34" ht="45" x14ac:dyDescent="0.25">
      <c r="A113">
        <v>1</v>
      </c>
      <c r="B113" s="6" t="s">
        <v>489</v>
      </c>
      <c r="C113" s="17" t="s">
        <v>322</v>
      </c>
      <c r="D113" s="10"/>
      <c r="E113" s="9"/>
      <c r="F113" s="8">
        <v>1</v>
      </c>
      <c r="G113" s="10" t="s">
        <v>36</v>
      </c>
      <c r="H113" s="10" t="s">
        <v>36</v>
      </c>
      <c r="I113" s="10" t="s">
        <v>490</v>
      </c>
      <c r="J113" s="9"/>
      <c r="K113" s="8">
        <v>5</v>
      </c>
      <c r="L113" s="8" t="s">
        <v>134</v>
      </c>
      <c r="M113" s="8" t="s">
        <v>491</v>
      </c>
      <c r="N113" s="10" t="s">
        <v>492</v>
      </c>
      <c r="O113" s="11"/>
      <c r="P113" s="8"/>
      <c r="Q113" s="8"/>
      <c r="R113" s="8"/>
      <c r="S113" s="10"/>
      <c r="T113" s="9"/>
      <c r="U113" s="8"/>
      <c r="V113" s="8"/>
      <c r="W113" s="8"/>
      <c r="X113" s="8"/>
      <c r="Y113" s="8"/>
      <c r="Z113" s="8">
        <f t="shared" si="18"/>
        <v>20</v>
      </c>
      <c r="AA113" s="8">
        <f t="shared" si="19"/>
        <v>18.899999999999999</v>
      </c>
      <c r="AB113" s="8">
        <f t="shared" si="20"/>
        <v>26</v>
      </c>
      <c r="AC113" s="8">
        <f t="shared" si="21"/>
        <v>40.6</v>
      </c>
      <c r="AD113" s="8">
        <f t="shared" si="22"/>
        <v>39.5</v>
      </c>
      <c r="AE113" s="8">
        <f t="shared" si="23"/>
        <v>46.6</v>
      </c>
      <c r="AF113" s="8">
        <f t="shared" si="24"/>
        <v>21.6</v>
      </c>
      <c r="AG113" s="8">
        <f t="shared" si="25"/>
        <v>20.5</v>
      </c>
      <c r="AH113" s="10">
        <f t="shared" si="26"/>
        <v>27.6</v>
      </c>
    </row>
    <row r="114" spans="1:34" ht="60" x14ac:dyDescent="0.25">
      <c r="B114" s="6" t="s">
        <v>493</v>
      </c>
      <c r="C114" s="17" t="s">
        <v>322</v>
      </c>
      <c r="D114" s="10"/>
      <c r="E114" s="9"/>
      <c r="F114" s="8">
        <v>1</v>
      </c>
      <c r="G114" s="10" t="s">
        <v>325</v>
      </c>
      <c r="H114" s="10" t="s">
        <v>494</v>
      </c>
      <c r="I114" s="10" t="s">
        <v>495</v>
      </c>
      <c r="J114" s="9"/>
      <c r="K114" s="8">
        <v>10</v>
      </c>
      <c r="L114" s="8" t="s">
        <v>328</v>
      </c>
      <c r="M114" s="8" t="s">
        <v>329</v>
      </c>
      <c r="N114" s="10" t="s">
        <v>589</v>
      </c>
      <c r="O114" s="11"/>
      <c r="P114" s="8"/>
      <c r="Q114" s="8"/>
      <c r="R114" s="8"/>
      <c r="S114" s="10"/>
      <c r="T114" s="9"/>
      <c r="U114" s="8"/>
      <c r="V114" s="8"/>
      <c r="W114" s="8"/>
      <c r="X114" s="8"/>
      <c r="Y114" s="8"/>
      <c r="Z114" s="8">
        <f t="shared" si="18"/>
        <v>20</v>
      </c>
      <c r="AA114" s="8">
        <f t="shared" si="19"/>
        <v>18.899999999999999</v>
      </c>
      <c r="AB114" s="8">
        <f t="shared" si="20"/>
        <v>26</v>
      </c>
      <c r="AC114" s="8">
        <f t="shared" si="21"/>
        <v>62.599999999999994</v>
      </c>
      <c r="AD114" s="8">
        <f t="shared" si="22"/>
        <v>61.499999999999993</v>
      </c>
      <c r="AE114" s="8">
        <f t="shared" si="23"/>
        <v>68.599999999999994</v>
      </c>
      <c r="AF114" s="8">
        <f t="shared" si="24"/>
        <v>21.6</v>
      </c>
      <c r="AG114" s="8">
        <f t="shared" si="25"/>
        <v>20.5</v>
      </c>
      <c r="AH114" s="10">
        <f t="shared" si="26"/>
        <v>27.6</v>
      </c>
    </row>
    <row r="115" spans="1:34" ht="60" x14ac:dyDescent="0.25">
      <c r="B115" s="6" t="s">
        <v>496</v>
      </c>
      <c r="C115" s="17" t="s">
        <v>322</v>
      </c>
      <c r="D115" s="10"/>
      <c r="E115" s="9"/>
      <c r="F115" s="8">
        <v>1</v>
      </c>
      <c r="G115" s="10" t="s">
        <v>325</v>
      </c>
      <c r="H115" s="10" t="s">
        <v>497</v>
      </c>
      <c r="I115" s="10" t="s">
        <v>498</v>
      </c>
      <c r="J115" s="9"/>
      <c r="K115" s="8">
        <v>9</v>
      </c>
      <c r="L115" s="8" t="s">
        <v>328</v>
      </c>
      <c r="M115" s="8" t="s">
        <v>329</v>
      </c>
      <c r="N115" s="10" t="s">
        <v>580</v>
      </c>
      <c r="O115" s="11"/>
      <c r="P115" s="8"/>
      <c r="Q115" s="8"/>
      <c r="R115" s="8"/>
      <c r="S115" s="10"/>
      <c r="T115" s="9"/>
      <c r="U115" s="8"/>
      <c r="V115" s="8"/>
      <c r="W115" s="8"/>
      <c r="X115" s="8"/>
      <c r="Y115" s="8"/>
      <c r="Z115" s="8">
        <f t="shared" si="18"/>
        <v>20</v>
      </c>
      <c r="AA115" s="8">
        <f t="shared" si="19"/>
        <v>18.899999999999999</v>
      </c>
      <c r="AB115" s="8">
        <f t="shared" si="20"/>
        <v>26</v>
      </c>
      <c r="AC115" s="8">
        <f t="shared" si="21"/>
        <v>58.2</v>
      </c>
      <c r="AD115" s="8">
        <f t="shared" si="22"/>
        <v>57.1</v>
      </c>
      <c r="AE115" s="8">
        <f t="shared" si="23"/>
        <v>64.2</v>
      </c>
      <c r="AF115" s="8">
        <f t="shared" si="24"/>
        <v>21.6</v>
      </c>
      <c r="AG115" s="8">
        <f t="shared" si="25"/>
        <v>20.5</v>
      </c>
      <c r="AH115" s="10">
        <f t="shared" si="26"/>
        <v>27.6</v>
      </c>
    </row>
    <row r="116" spans="1:34" ht="45" x14ac:dyDescent="0.25">
      <c r="B116" s="6" t="s">
        <v>499</v>
      </c>
      <c r="C116" s="17" t="s">
        <v>322</v>
      </c>
      <c r="D116" s="10"/>
      <c r="E116" s="9"/>
      <c r="F116" s="8">
        <v>1</v>
      </c>
      <c r="G116" s="10" t="s">
        <v>325</v>
      </c>
      <c r="H116" s="10" t="s">
        <v>500</v>
      </c>
      <c r="I116" s="10" t="s">
        <v>451</v>
      </c>
      <c r="J116" s="9"/>
      <c r="K116" s="8">
        <v>9</v>
      </c>
      <c r="L116" s="8" t="s">
        <v>328</v>
      </c>
      <c r="M116" s="8" t="s">
        <v>329</v>
      </c>
      <c r="N116" s="10" t="s">
        <v>501</v>
      </c>
      <c r="O116" s="11"/>
      <c r="P116" s="8"/>
      <c r="Q116" s="8"/>
      <c r="R116" s="8"/>
      <c r="S116" s="10"/>
      <c r="T116" s="9"/>
      <c r="U116" s="8"/>
      <c r="V116" s="8"/>
      <c r="W116" s="8"/>
      <c r="X116" s="8"/>
      <c r="Y116" s="8"/>
      <c r="Z116" s="8">
        <f t="shared" si="18"/>
        <v>20</v>
      </c>
      <c r="AA116" s="8">
        <f t="shared" si="19"/>
        <v>18.899999999999999</v>
      </c>
      <c r="AB116" s="8">
        <f t="shared" si="20"/>
        <v>26</v>
      </c>
      <c r="AC116" s="8">
        <f t="shared" si="21"/>
        <v>58.2</v>
      </c>
      <c r="AD116" s="8">
        <f t="shared" si="22"/>
        <v>57.1</v>
      </c>
      <c r="AE116" s="8">
        <f t="shared" si="23"/>
        <v>64.2</v>
      </c>
      <c r="AF116" s="8">
        <f t="shared" si="24"/>
        <v>21.6</v>
      </c>
      <c r="AG116" s="8">
        <f t="shared" si="25"/>
        <v>20.5</v>
      </c>
      <c r="AH116" s="10">
        <f t="shared" si="26"/>
        <v>27.6</v>
      </c>
    </row>
    <row r="117" spans="1:34" ht="30" x14ac:dyDescent="0.25">
      <c r="B117" s="6" t="s">
        <v>502</v>
      </c>
      <c r="C117" s="17" t="s">
        <v>322</v>
      </c>
      <c r="D117" s="10"/>
      <c r="E117" s="9"/>
      <c r="F117" s="8">
        <v>1</v>
      </c>
      <c r="G117" s="10" t="s">
        <v>325</v>
      </c>
      <c r="H117" s="10" t="s">
        <v>503</v>
      </c>
      <c r="I117" s="10" t="s">
        <v>590</v>
      </c>
      <c r="J117" s="9"/>
      <c r="K117" s="8"/>
      <c r="L117" s="8"/>
      <c r="M117" s="8"/>
      <c r="N117" s="10"/>
      <c r="O117" s="11"/>
      <c r="P117" s="8"/>
      <c r="Q117" s="8"/>
      <c r="R117" s="8"/>
      <c r="S117" s="10"/>
      <c r="T117" s="9"/>
      <c r="U117" s="8"/>
      <c r="V117" s="8"/>
      <c r="W117" s="8"/>
      <c r="X117" s="8"/>
      <c r="Y117" s="8"/>
      <c r="Z117" s="8">
        <f t="shared" si="18"/>
        <v>20</v>
      </c>
      <c r="AA117" s="8">
        <f t="shared" si="19"/>
        <v>18.899999999999999</v>
      </c>
      <c r="AB117" s="8">
        <f t="shared" si="20"/>
        <v>26</v>
      </c>
      <c r="AC117" s="8">
        <f t="shared" si="21"/>
        <v>18.600000000000001</v>
      </c>
      <c r="AD117" s="8">
        <f t="shared" si="22"/>
        <v>17.5</v>
      </c>
      <c r="AE117" s="8">
        <f t="shared" si="23"/>
        <v>24.6</v>
      </c>
      <c r="AF117" s="8">
        <f t="shared" si="24"/>
        <v>21.6</v>
      </c>
      <c r="AG117" s="8">
        <f t="shared" si="25"/>
        <v>20.5</v>
      </c>
      <c r="AH117" s="10">
        <f t="shared" si="26"/>
        <v>27.6</v>
      </c>
    </row>
    <row r="118" spans="1:34" ht="75" x14ac:dyDescent="0.25">
      <c r="B118" s="6" t="s">
        <v>504</v>
      </c>
      <c r="C118" s="17" t="s">
        <v>322</v>
      </c>
      <c r="D118" s="10"/>
      <c r="E118" s="9"/>
      <c r="F118" s="8">
        <v>1</v>
      </c>
      <c r="G118" s="10" t="s">
        <v>325</v>
      </c>
      <c r="H118" s="10" t="s">
        <v>505</v>
      </c>
      <c r="I118" s="10" t="s">
        <v>506</v>
      </c>
      <c r="J118" s="9"/>
      <c r="K118" s="8"/>
      <c r="L118" s="8"/>
      <c r="M118" s="8"/>
      <c r="N118" s="10"/>
      <c r="O118" s="11"/>
      <c r="P118" s="8"/>
      <c r="Q118" s="8"/>
      <c r="R118" s="8"/>
      <c r="S118" s="10"/>
      <c r="T118" s="9"/>
      <c r="U118" s="8"/>
      <c r="V118" s="8"/>
      <c r="W118" s="8"/>
      <c r="X118" s="8"/>
      <c r="Y118" s="8"/>
      <c r="Z118" s="8">
        <f t="shared" si="18"/>
        <v>20</v>
      </c>
      <c r="AA118" s="8">
        <f t="shared" si="19"/>
        <v>18.899999999999999</v>
      </c>
      <c r="AB118" s="8">
        <f t="shared" si="20"/>
        <v>26</v>
      </c>
      <c r="AC118" s="8">
        <f t="shared" si="21"/>
        <v>18.600000000000001</v>
      </c>
      <c r="AD118" s="8">
        <f t="shared" si="22"/>
        <v>17.5</v>
      </c>
      <c r="AE118" s="8">
        <f t="shared" si="23"/>
        <v>24.6</v>
      </c>
      <c r="AF118" s="8">
        <f t="shared" si="24"/>
        <v>21.6</v>
      </c>
      <c r="AG118" s="8">
        <f t="shared" si="25"/>
        <v>20.5</v>
      </c>
      <c r="AH118" s="10">
        <f t="shared" si="26"/>
        <v>27.6</v>
      </c>
    </row>
    <row r="119" spans="1:34" ht="75" x14ac:dyDescent="0.25">
      <c r="B119" s="6" t="s">
        <v>507</v>
      </c>
      <c r="C119" s="17" t="s">
        <v>322</v>
      </c>
      <c r="D119" s="10"/>
      <c r="E119" s="9"/>
      <c r="F119" s="8">
        <v>1</v>
      </c>
      <c r="G119" s="10" t="s">
        <v>39</v>
      </c>
      <c r="H119" s="10" t="s">
        <v>508</v>
      </c>
      <c r="I119" s="10" t="s">
        <v>591</v>
      </c>
      <c r="J119" s="9"/>
      <c r="K119" s="8">
        <v>4</v>
      </c>
      <c r="L119" s="8" t="s">
        <v>325</v>
      </c>
      <c r="M119" s="8" t="s">
        <v>509</v>
      </c>
      <c r="N119" s="10" t="s">
        <v>510</v>
      </c>
      <c r="O119" s="11"/>
      <c r="P119" s="8"/>
      <c r="Q119" s="8"/>
      <c r="R119" s="8"/>
      <c r="S119" s="10"/>
      <c r="T119" s="9"/>
      <c r="U119" s="8"/>
      <c r="V119" s="8"/>
      <c r="W119" s="8"/>
      <c r="X119" s="8"/>
      <c r="Y119" s="8"/>
      <c r="Z119" s="8">
        <f t="shared" si="18"/>
        <v>20</v>
      </c>
      <c r="AA119" s="8">
        <f t="shared" si="19"/>
        <v>18.899999999999999</v>
      </c>
      <c r="AB119" s="8">
        <f t="shared" si="20"/>
        <v>26</v>
      </c>
      <c r="AC119" s="8">
        <f t="shared" si="21"/>
        <v>36.200000000000003</v>
      </c>
      <c r="AD119" s="8">
        <f t="shared" si="22"/>
        <v>35.1</v>
      </c>
      <c r="AE119" s="8">
        <f t="shared" si="23"/>
        <v>42.2</v>
      </c>
      <c r="AF119" s="8">
        <f t="shared" si="24"/>
        <v>21.6</v>
      </c>
      <c r="AG119" s="8">
        <f t="shared" si="25"/>
        <v>20.5</v>
      </c>
      <c r="AH119" s="10">
        <f t="shared" si="26"/>
        <v>27.6</v>
      </c>
    </row>
    <row r="120" spans="1:34" ht="75" x14ac:dyDescent="0.25">
      <c r="B120" s="6" t="s">
        <v>511</v>
      </c>
      <c r="C120" s="17" t="s">
        <v>322</v>
      </c>
      <c r="D120" s="10"/>
      <c r="E120" s="9"/>
      <c r="F120" s="8">
        <v>1</v>
      </c>
      <c r="G120" s="10" t="s">
        <v>325</v>
      </c>
      <c r="H120" s="10" t="s">
        <v>512</v>
      </c>
      <c r="I120" s="10" t="s">
        <v>349</v>
      </c>
      <c r="J120" s="9"/>
      <c r="K120" s="8">
        <v>3</v>
      </c>
      <c r="L120" s="8" t="s">
        <v>36</v>
      </c>
      <c r="M120" s="8" t="s">
        <v>513</v>
      </c>
      <c r="N120" s="10" t="s">
        <v>514</v>
      </c>
      <c r="O120" s="11"/>
      <c r="P120" s="8"/>
      <c r="Q120" s="8"/>
      <c r="R120" s="8"/>
      <c r="S120" s="10"/>
      <c r="T120" s="9"/>
      <c r="U120" s="8"/>
      <c r="V120" s="8"/>
      <c r="W120" s="8"/>
      <c r="X120" s="8"/>
      <c r="Y120" s="8"/>
      <c r="Z120" s="8">
        <f t="shared" si="18"/>
        <v>20</v>
      </c>
      <c r="AA120" s="8">
        <f t="shared" si="19"/>
        <v>18.899999999999999</v>
      </c>
      <c r="AB120" s="8">
        <f t="shared" si="20"/>
        <v>26</v>
      </c>
      <c r="AC120" s="8">
        <f t="shared" si="21"/>
        <v>31.799999999999997</v>
      </c>
      <c r="AD120" s="8">
        <f t="shared" si="22"/>
        <v>30.699999999999996</v>
      </c>
      <c r="AE120" s="8">
        <f t="shared" si="23"/>
        <v>37.799999999999997</v>
      </c>
      <c r="AF120" s="8">
        <f t="shared" si="24"/>
        <v>21.6</v>
      </c>
      <c r="AG120" s="8">
        <f t="shared" si="25"/>
        <v>20.5</v>
      </c>
      <c r="AH120" s="10">
        <f t="shared" si="26"/>
        <v>27.6</v>
      </c>
    </row>
    <row r="121" spans="1:34" ht="45" x14ac:dyDescent="0.25">
      <c r="B121" s="6" t="s">
        <v>515</v>
      </c>
      <c r="C121" s="17" t="s">
        <v>322</v>
      </c>
      <c r="D121" s="10"/>
      <c r="E121" s="9"/>
      <c r="F121" s="8">
        <v>1</v>
      </c>
      <c r="G121" s="10" t="s">
        <v>325</v>
      </c>
      <c r="H121" s="10" t="s">
        <v>516</v>
      </c>
      <c r="I121" s="10" t="s">
        <v>375</v>
      </c>
      <c r="J121" s="9"/>
      <c r="K121" s="8">
        <v>3</v>
      </c>
      <c r="L121" s="8" t="s">
        <v>134</v>
      </c>
      <c r="M121" s="8" t="s">
        <v>517</v>
      </c>
      <c r="N121" s="8" t="s">
        <v>518</v>
      </c>
      <c r="O121" s="11"/>
      <c r="P121" s="8">
        <v>10</v>
      </c>
      <c r="Q121" s="8" t="s">
        <v>328</v>
      </c>
      <c r="R121" s="8" t="s">
        <v>329</v>
      </c>
      <c r="S121" s="10" t="s">
        <v>519</v>
      </c>
      <c r="T121" s="9"/>
      <c r="U121" s="8"/>
      <c r="V121" s="8"/>
      <c r="W121" s="8"/>
      <c r="X121" s="8"/>
      <c r="Y121" s="8"/>
      <c r="Z121" s="8">
        <f t="shared" si="18"/>
        <v>20</v>
      </c>
      <c r="AA121" s="8">
        <f t="shared" si="19"/>
        <v>18.899999999999999</v>
      </c>
      <c r="AB121" s="8">
        <f t="shared" si="20"/>
        <v>26</v>
      </c>
      <c r="AC121" s="8">
        <f t="shared" si="21"/>
        <v>31.799999999999997</v>
      </c>
      <c r="AD121" s="8">
        <f t="shared" si="22"/>
        <v>30.699999999999996</v>
      </c>
      <c r="AE121" s="8">
        <f t="shared" si="23"/>
        <v>37.799999999999997</v>
      </c>
      <c r="AF121" s="8">
        <f t="shared" si="24"/>
        <v>65.599999999999994</v>
      </c>
      <c r="AG121" s="8">
        <f t="shared" si="25"/>
        <v>64.5</v>
      </c>
      <c r="AH121" s="10">
        <f t="shared" si="26"/>
        <v>71.599999999999994</v>
      </c>
    </row>
    <row r="122" spans="1:34" ht="45" x14ac:dyDescent="0.25">
      <c r="B122" s="6" t="s">
        <v>520</v>
      </c>
      <c r="C122" s="17" t="s">
        <v>322</v>
      </c>
      <c r="D122" s="10"/>
      <c r="E122" s="9"/>
      <c r="F122" s="8">
        <v>1</v>
      </c>
      <c r="G122" s="10" t="s">
        <v>325</v>
      </c>
      <c r="H122" s="10" t="s">
        <v>521</v>
      </c>
      <c r="I122" s="10" t="s">
        <v>415</v>
      </c>
      <c r="J122" s="9"/>
      <c r="K122" s="8">
        <v>3</v>
      </c>
      <c r="L122" s="8" t="s">
        <v>39</v>
      </c>
      <c r="M122" s="8" t="s">
        <v>522</v>
      </c>
      <c r="N122" s="8" t="s">
        <v>597</v>
      </c>
      <c r="O122" s="11"/>
      <c r="P122" s="8"/>
      <c r="Q122" s="8"/>
      <c r="R122" s="8"/>
      <c r="S122" s="10"/>
      <c r="T122" s="9"/>
      <c r="U122" s="8"/>
      <c r="V122" s="8"/>
      <c r="W122" s="8"/>
      <c r="X122" s="8"/>
      <c r="Y122" s="8"/>
      <c r="Z122" s="8">
        <f t="shared" si="18"/>
        <v>20</v>
      </c>
      <c r="AA122" s="8">
        <f t="shared" si="19"/>
        <v>18.899999999999999</v>
      </c>
      <c r="AB122" s="8">
        <f t="shared" si="20"/>
        <v>26</v>
      </c>
      <c r="AC122" s="8">
        <f t="shared" si="21"/>
        <v>31.799999999999997</v>
      </c>
      <c r="AD122" s="8">
        <f t="shared" si="22"/>
        <v>30.699999999999996</v>
      </c>
      <c r="AE122" s="8">
        <f t="shared" si="23"/>
        <v>37.799999999999997</v>
      </c>
      <c r="AF122" s="8">
        <f t="shared" si="24"/>
        <v>21.6</v>
      </c>
      <c r="AG122" s="8">
        <f t="shared" si="25"/>
        <v>20.5</v>
      </c>
      <c r="AH122" s="10">
        <f t="shared" si="26"/>
        <v>27.6</v>
      </c>
    </row>
    <row r="123" spans="1:34" ht="45" x14ac:dyDescent="0.25">
      <c r="A123">
        <v>1</v>
      </c>
      <c r="B123" s="6" t="s">
        <v>523</v>
      </c>
      <c r="C123" s="17" t="s">
        <v>322</v>
      </c>
      <c r="D123" s="10"/>
      <c r="E123" s="9"/>
      <c r="F123" s="8">
        <v>1</v>
      </c>
      <c r="G123" s="10" t="s">
        <v>325</v>
      </c>
      <c r="H123" s="10" t="s">
        <v>524</v>
      </c>
      <c r="I123" s="10" t="s">
        <v>525</v>
      </c>
      <c r="J123" s="9"/>
      <c r="K123" s="8"/>
      <c r="L123" s="8"/>
      <c r="M123" s="8"/>
      <c r="N123" s="10"/>
      <c r="O123" s="11"/>
      <c r="P123" s="8"/>
      <c r="Q123" s="8"/>
      <c r="R123" s="8"/>
      <c r="S123" s="10"/>
      <c r="T123" s="9"/>
      <c r="U123" s="8"/>
      <c r="V123" s="8"/>
      <c r="W123" s="8"/>
      <c r="X123" s="8"/>
      <c r="Y123" s="8"/>
      <c r="Z123" s="8">
        <f t="shared" si="18"/>
        <v>20</v>
      </c>
      <c r="AA123" s="8">
        <f t="shared" si="19"/>
        <v>18.899999999999999</v>
      </c>
      <c r="AB123" s="8">
        <f t="shared" si="20"/>
        <v>26</v>
      </c>
      <c r="AC123" s="8">
        <f t="shared" si="21"/>
        <v>18.600000000000001</v>
      </c>
      <c r="AD123" s="8">
        <f t="shared" si="22"/>
        <v>17.5</v>
      </c>
      <c r="AE123" s="8">
        <f t="shared" si="23"/>
        <v>24.6</v>
      </c>
      <c r="AF123" s="8">
        <f t="shared" si="24"/>
        <v>21.6</v>
      </c>
      <c r="AG123" s="8">
        <f t="shared" si="25"/>
        <v>20.5</v>
      </c>
      <c r="AH123" s="10">
        <f t="shared" si="26"/>
        <v>27.6</v>
      </c>
    </row>
    <row r="124" spans="1:34" ht="45" x14ac:dyDescent="0.25">
      <c r="B124" s="6" t="s">
        <v>592</v>
      </c>
      <c r="C124" s="17" t="s">
        <v>322</v>
      </c>
      <c r="D124" s="10" t="s">
        <v>584</v>
      </c>
      <c r="E124" s="9"/>
      <c r="F124" s="8">
        <v>1</v>
      </c>
      <c r="G124" s="10" t="s">
        <v>39</v>
      </c>
      <c r="H124" s="10" t="s">
        <v>593</v>
      </c>
      <c r="I124" s="10" t="s">
        <v>594</v>
      </c>
      <c r="J124" s="9"/>
      <c r="K124" s="8">
        <v>5</v>
      </c>
      <c r="L124" s="8" t="s">
        <v>36</v>
      </c>
      <c r="M124" s="8" t="s">
        <v>595</v>
      </c>
      <c r="N124" s="10" t="s">
        <v>596</v>
      </c>
      <c r="O124" s="11"/>
      <c r="P124" s="8"/>
      <c r="Q124" s="8"/>
      <c r="R124" s="8"/>
      <c r="S124" s="10"/>
      <c r="T124" s="9"/>
      <c r="U124" s="8"/>
      <c r="V124" s="8"/>
      <c r="W124" s="8"/>
      <c r="X124" s="8"/>
      <c r="Y124" s="8"/>
      <c r="Z124" s="8">
        <f t="shared" ref="Z124" si="36">AB124+Y$2</f>
        <v>20</v>
      </c>
      <c r="AA124" s="8">
        <f t="shared" ref="AA124" si="37">Z124+X$2</f>
        <v>18.899999999999999</v>
      </c>
      <c r="AB124" s="8">
        <f t="shared" ref="AB124" si="38">U$2+V$2*(F124-1)</f>
        <v>26</v>
      </c>
      <c r="AC124" s="8">
        <f t="shared" ref="AC124" si="39">AE124+Y$2</f>
        <v>40.6</v>
      </c>
      <c r="AD124" s="8">
        <f t="shared" ref="AD124" si="40">AC124+X$2</f>
        <v>39.5</v>
      </c>
      <c r="AE124" s="8">
        <f t="shared" ref="AE124" si="41">U$2+V$2*(K124-1)+W$2</f>
        <v>46.6</v>
      </c>
      <c r="AF124" s="8">
        <f t="shared" ref="AF124" si="42">AH124+Y$2</f>
        <v>21.6</v>
      </c>
      <c r="AG124" s="8">
        <f t="shared" ref="AG124" si="43">AF124+X$2</f>
        <v>20.5</v>
      </c>
      <c r="AH124" s="10">
        <f t="shared" ref="AH124" si="44">U$2+V$2*(P124-1)+2*W$2</f>
        <v>27.6</v>
      </c>
    </row>
    <row r="125" spans="1:34" x14ac:dyDescent="0.25">
      <c r="B125" s="20"/>
      <c r="C125" s="20"/>
      <c r="D125" s="20"/>
      <c r="E125" s="20"/>
      <c r="F125" s="20"/>
      <c r="G125" s="21"/>
      <c r="H125" s="21"/>
      <c r="I125" s="20"/>
      <c r="J125" s="20"/>
      <c r="K125" s="20"/>
      <c r="L125" s="21"/>
      <c r="M125" s="21"/>
      <c r="N125" s="22"/>
      <c r="O125" s="20"/>
      <c r="P125" s="20"/>
      <c r="Q125" s="21"/>
      <c r="R125" s="21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1"/>
    </row>
    <row r="126" spans="1:34" x14ac:dyDescent="0.25">
      <c r="B126" s="20"/>
      <c r="C126" s="20"/>
      <c r="D126" s="20"/>
      <c r="E126" s="20"/>
      <c r="F126" s="20"/>
      <c r="G126" s="21"/>
      <c r="H126" s="21"/>
      <c r="I126" s="20"/>
      <c r="J126" s="20"/>
      <c r="K126" s="20"/>
      <c r="L126" s="21"/>
      <c r="M126" s="21"/>
      <c r="N126" s="22"/>
      <c r="O126" s="20"/>
      <c r="P126" s="20"/>
      <c r="Q126" s="21"/>
      <c r="R126" s="21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1"/>
    </row>
    <row r="127" spans="1:34" x14ac:dyDescent="0.25">
      <c r="B127" s="20"/>
      <c r="C127" s="20"/>
      <c r="D127" s="20"/>
      <c r="E127" s="20"/>
      <c r="F127" s="20"/>
      <c r="G127" s="21"/>
      <c r="H127" s="21"/>
      <c r="I127" s="20"/>
      <c r="J127" s="20"/>
      <c r="K127" s="20"/>
      <c r="L127" s="21"/>
      <c r="M127" s="21"/>
      <c r="N127" s="22"/>
      <c r="O127" s="20"/>
      <c r="P127" s="20"/>
      <c r="Q127" s="21"/>
      <c r="R127" s="21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1"/>
    </row>
    <row r="128" spans="1:34" x14ac:dyDescent="0.25">
      <c r="B128" s="20"/>
      <c r="C128" s="20"/>
      <c r="D128" s="20"/>
      <c r="E128" s="20"/>
      <c r="F128" s="20"/>
      <c r="G128" s="21"/>
      <c r="H128" s="21"/>
      <c r="I128" s="20"/>
      <c r="J128" s="20"/>
      <c r="K128" s="20"/>
      <c r="L128" s="21"/>
      <c r="M128" s="21"/>
      <c r="N128" s="22"/>
      <c r="O128" s="20"/>
      <c r="P128" s="20"/>
      <c r="Q128" s="21"/>
      <c r="R128" s="21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1"/>
    </row>
    <row r="129" spans="2:34" x14ac:dyDescent="0.25">
      <c r="B129" s="20"/>
      <c r="C129" s="20"/>
      <c r="D129" s="20"/>
      <c r="E129" s="20"/>
      <c r="F129" s="20"/>
      <c r="G129" s="21"/>
      <c r="H129" s="21"/>
      <c r="I129" s="20"/>
      <c r="J129" s="20"/>
      <c r="K129" s="20"/>
      <c r="L129" s="21"/>
      <c r="M129" s="21"/>
      <c r="N129" s="22"/>
      <c r="O129" s="20"/>
      <c r="P129" s="20"/>
      <c r="Q129" s="21"/>
      <c r="R129" s="21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1"/>
    </row>
    <row r="130" spans="2:34" x14ac:dyDescent="0.25">
      <c r="B130" s="20"/>
      <c r="C130" s="20"/>
      <c r="D130" s="20"/>
      <c r="E130" s="20"/>
      <c r="F130" s="20"/>
      <c r="G130" s="21"/>
      <c r="H130" s="21"/>
      <c r="I130" s="20"/>
      <c r="J130" s="20"/>
      <c r="K130" s="20"/>
      <c r="L130" s="21"/>
      <c r="M130" s="21"/>
      <c r="N130" s="22"/>
      <c r="O130" s="20"/>
      <c r="P130" s="20"/>
      <c r="Q130" s="21"/>
      <c r="R130" s="21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1"/>
    </row>
    <row r="131" spans="2:34" x14ac:dyDescent="0.25">
      <c r="B131" s="20"/>
      <c r="C131" s="20"/>
      <c r="D131" s="20"/>
      <c r="E131" s="20"/>
      <c r="F131" s="20"/>
      <c r="G131" s="21"/>
      <c r="H131" s="21"/>
      <c r="I131" s="20"/>
      <c r="J131" s="20"/>
      <c r="K131" s="20"/>
      <c r="L131" s="21"/>
      <c r="M131" s="21"/>
      <c r="N131" s="22"/>
      <c r="O131" s="20"/>
      <c r="P131" s="20"/>
      <c r="Q131" s="21"/>
      <c r="R131" s="21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1"/>
    </row>
    <row r="132" spans="2:34" x14ac:dyDescent="0.25">
      <c r="B132" s="20"/>
      <c r="C132" s="20"/>
      <c r="D132" s="20"/>
      <c r="E132" s="20"/>
      <c r="F132" s="20"/>
      <c r="G132" s="21"/>
      <c r="H132" s="21"/>
      <c r="I132" s="20"/>
      <c r="J132" s="20"/>
      <c r="K132" s="20"/>
      <c r="L132" s="21"/>
      <c r="M132" s="21"/>
      <c r="N132" s="22"/>
      <c r="O132" s="20"/>
      <c r="P132" s="20"/>
      <c r="Q132" s="21"/>
      <c r="R132" s="21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1"/>
    </row>
    <row r="133" spans="2:34" x14ac:dyDescent="0.25">
      <c r="B133" s="20"/>
      <c r="C133" s="20"/>
      <c r="D133" s="20"/>
      <c r="E133" s="20"/>
      <c r="F133" s="20"/>
      <c r="G133" s="21"/>
      <c r="H133" s="21"/>
      <c r="I133" s="20"/>
      <c r="J133" s="20"/>
      <c r="K133" s="20"/>
      <c r="L133" s="21"/>
      <c r="M133" s="21"/>
      <c r="N133" s="22"/>
      <c r="O133" s="20"/>
      <c r="P133" s="20"/>
      <c r="Q133" s="21"/>
      <c r="R133" s="21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1"/>
    </row>
    <row r="134" spans="2:34" x14ac:dyDescent="0.25">
      <c r="B134" s="20"/>
      <c r="C134" s="20"/>
      <c r="D134" s="20"/>
      <c r="E134" s="20"/>
      <c r="F134" s="20"/>
      <c r="G134" s="21"/>
      <c r="H134" s="21"/>
      <c r="I134" s="20"/>
      <c r="J134" s="20"/>
      <c r="K134" s="20"/>
      <c r="L134" s="21"/>
      <c r="M134" s="21"/>
      <c r="N134" s="22"/>
      <c r="O134" s="20"/>
      <c r="P134" s="20"/>
      <c r="Q134" s="21"/>
      <c r="R134" s="21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1"/>
    </row>
    <row r="135" spans="2:34" x14ac:dyDescent="0.25">
      <c r="B135" s="20"/>
      <c r="C135" s="20"/>
      <c r="D135" s="20"/>
      <c r="E135" s="20"/>
      <c r="F135" s="20"/>
      <c r="G135" s="21"/>
      <c r="H135" s="21"/>
      <c r="I135" s="20"/>
      <c r="J135" s="20"/>
      <c r="K135" s="20"/>
      <c r="L135" s="21"/>
      <c r="M135" s="21"/>
      <c r="N135" s="22"/>
      <c r="O135" s="20"/>
      <c r="P135" s="20"/>
      <c r="Q135" s="21"/>
      <c r="R135" s="21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1"/>
    </row>
    <row r="136" spans="2:34" x14ac:dyDescent="0.25">
      <c r="B136" s="20"/>
      <c r="C136" s="20"/>
      <c r="D136" s="20"/>
      <c r="E136" s="20"/>
      <c r="F136" s="20"/>
      <c r="G136" s="21"/>
      <c r="H136" s="21"/>
      <c r="I136" s="20"/>
      <c r="J136" s="20"/>
      <c r="K136" s="20"/>
      <c r="L136" s="21"/>
      <c r="M136" s="21"/>
      <c r="N136" s="22"/>
      <c r="O136" s="20"/>
      <c r="P136" s="20"/>
      <c r="Q136" s="21"/>
      <c r="R136" s="21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1"/>
    </row>
    <row r="137" spans="2:34" x14ac:dyDescent="0.25">
      <c r="B137" s="20"/>
      <c r="C137" s="20"/>
      <c r="D137" s="20"/>
      <c r="E137" s="20"/>
      <c r="F137" s="20"/>
      <c r="G137" s="21"/>
      <c r="H137" s="21"/>
      <c r="I137" s="20"/>
      <c r="J137" s="20"/>
      <c r="K137" s="20"/>
      <c r="L137" s="21"/>
      <c r="M137" s="21"/>
      <c r="N137" s="22"/>
      <c r="O137" s="20"/>
      <c r="P137" s="20"/>
      <c r="Q137" s="21"/>
      <c r="R137" s="21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1"/>
    </row>
    <row r="138" spans="2:34" x14ac:dyDescent="0.25">
      <c r="B138" s="20"/>
      <c r="C138" s="20"/>
      <c r="D138" s="20"/>
      <c r="E138" s="20"/>
      <c r="F138" s="20"/>
      <c r="G138" s="21"/>
      <c r="H138" s="21"/>
      <c r="I138" s="20"/>
      <c r="J138" s="20"/>
      <c r="K138" s="20"/>
      <c r="L138" s="21"/>
      <c r="M138" s="21"/>
      <c r="N138" s="22"/>
      <c r="O138" s="20"/>
      <c r="P138" s="20"/>
      <c r="Q138" s="21"/>
      <c r="R138" s="21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1"/>
    </row>
    <row r="139" spans="2:34" x14ac:dyDescent="0.25">
      <c r="B139" s="20"/>
      <c r="C139" s="20"/>
      <c r="D139" s="20"/>
      <c r="E139" s="20"/>
      <c r="F139" s="20"/>
      <c r="G139" s="21"/>
      <c r="H139" s="21"/>
      <c r="I139" s="20"/>
      <c r="J139" s="20"/>
      <c r="K139" s="20"/>
      <c r="L139" s="21"/>
      <c r="M139" s="21"/>
      <c r="N139" s="22"/>
      <c r="O139" s="20"/>
      <c r="P139" s="20"/>
      <c r="Q139" s="21"/>
      <c r="R139" s="21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1"/>
    </row>
    <row r="140" spans="2:34" x14ac:dyDescent="0.25">
      <c r="B140" s="20"/>
      <c r="C140" s="20"/>
      <c r="D140" s="20"/>
      <c r="E140" s="20"/>
      <c r="F140" s="20"/>
      <c r="G140" s="21"/>
      <c r="H140" s="21"/>
      <c r="I140" s="20"/>
      <c r="J140" s="20"/>
      <c r="K140" s="20"/>
      <c r="L140" s="21"/>
      <c r="M140" s="21"/>
      <c r="N140" s="22"/>
      <c r="O140" s="20"/>
      <c r="P140" s="20"/>
      <c r="Q140" s="21"/>
      <c r="R140" s="21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1"/>
    </row>
    <row r="141" spans="2:34" x14ac:dyDescent="0.25">
      <c r="B141" s="20"/>
      <c r="C141" s="20"/>
      <c r="D141" s="20"/>
      <c r="E141" s="20"/>
      <c r="F141" s="20"/>
      <c r="G141" s="21"/>
      <c r="H141" s="21"/>
      <c r="I141" s="20"/>
      <c r="J141" s="20"/>
      <c r="K141" s="20"/>
      <c r="L141" s="21"/>
      <c r="M141" s="21"/>
      <c r="N141" s="22"/>
      <c r="O141" s="20"/>
      <c r="P141" s="20"/>
      <c r="Q141" s="21"/>
      <c r="R141" s="21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1"/>
    </row>
    <row r="142" spans="2:34" x14ac:dyDescent="0.25">
      <c r="B142" s="20"/>
      <c r="C142" s="20"/>
      <c r="D142" s="20"/>
      <c r="E142" s="20"/>
      <c r="F142" s="20"/>
      <c r="G142" s="21"/>
      <c r="H142" s="21"/>
      <c r="I142" s="20"/>
      <c r="J142" s="20"/>
      <c r="K142" s="20"/>
      <c r="L142" s="21"/>
      <c r="M142" s="21"/>
      <c r="N142" s="22"/>
      <c r="O142" s="20"/>
      <c r="P142" s="20"/>
      <c r="Q142" s="21"/>
      <c r="R142" s="21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1"/>
    </row>
    <row r="143" spans="2:34" x14ac:dyDescent="0.25">
      <c r="B143" s="20"/>
      <c r="C143" s="20"/>
      <c r="D143" s="20"/>
      <c r="E143" s="20"/>
      <c r="F143" s="20"/>
      <c r="G143" s="21"/>
      <c r="H143" s="21"/>
      <c r="I143" s="20"/>
      <c r="J143" s="20"/>
      <c r="K143" s="20"/>
      <c r="L143" s="21"/>
      <c r="M143" s="21"/>
      <c r="N143" s="22"/>
      <c r="O143" s="20"/>
      <c r="P143" s="20"/>
      <c r="Q143" s="21"/>
      <c r="R143" s="21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1"/>
    </row>
    <row r="144" spans="2:34" x14ac:dyDescent="0.25">
      <c r="B144" s="20"/>
      <c r="C144" s="20"/>
      <c r="D144" s="20"/>
      <c r="E144" s="20"/>
      <c r="F144" s="20"/>
      <c r="G144" s="21"/>
      <c r="H144" s="21"/>
      <c r="I144" s="20"/>
      <c r="J144" s="20"/>
      <c r="K144" s="20"/>
      <c r="L144" s="21"/>
      <c r="M144" s="21"/>
      <c r="N144" s="22"/>
      <c r="O144" s="20"/>
      <c r="P144" s="20"/>
      <c r="Q144" s="21"/>
      <c r="R144" s="21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1"/>
    </row>
    <row r="145" spans="2:34" x14ac:dyDescent="0.25">
      <c r="B145" s="20"/>
      <c r="C145" s="20"/>
      <c r="D145" s="20"/>
      <c r="E145" s="20"/>
      <c r="F145" s="20"/>
      <c r="G145" s="21"/>
      <c r="H145" s="21"/>
      <c r="I145" s="20"/>
      <c r="J145" s="20"/>
      <c r="K145" s="20"/>
      <c r="L145" s="21"/>
      <c r="M145" s="21"/>
      <c r="N145" s="22"/>
      <c r="O145" s="20"/>
      <c r="P145" s="20"/>
      <c r="Q145" s="21"/>
      <c r="R145" s="21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1"/>
    </row>
    <row r="146" spans="2:34" x14ac:dyDescent="0.25">
      <c r="B146" s="20"/>
      <c r="C146" s="20"/>
      <c r="D146" s="20"/>
      <c r="E146" s="20"/>
      <c r="F146" s="20"/>
      <c r="G146" s="21"/>
      <c r="H146" s="21"/>
      <c r="I146" s="20"/>
      <c r="J146" s="20"/>
      <c r="K146" s="20"/>
      <c r="L146" s="21"/>
      <c r="M146" s="21"/>
      <c r="N146" s="22"/>
      <c r="O146" s="20"/>
      <c r="P146" s="20"/>
      <c r="Q146" s="21"/>
      <c r="R146" s="21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1"/>
    </row>
    <row r="147" spans="2:34" x14ac:dyDescent="0.25">
      <c r="B147" s="20"/>
      <c r="C147" s="20"/>
      <c r="D147" s="20"/>
      <c r="E147" s="20"/>
      <c r="F147" s="20"/>
      <c r="G147" s="21"/>
      <c r="H147" s="21"/>
      <c r="I147" s="20"/>
      <c r="J147" s="20"/>
      <c r="K147" s="20"/>
      <c r="L147" s="21"/>
      <c r="M147" s="21"/>
      <c r="N147" s="22"/>
      <c r="O147" s="20"/>
      <c r="P147" s="20"/>
      <c r="Q147" s="21"/>
      <c r="R147" s="21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1"/>
    </row>
    <row r="148" spans="2:34" x14ac:dyDescent="0.25">
      <c r="B148" s="20"/>
      <c r="C148" s="20"/>
      <c r="D148" s="20"/>
      <c r="E148" s="20"/>
      <c r="F148" s="20"/>
      <c r="G148" s="21"/>
      <c r="H148" s="21"/>
      <c r="I148" s="20"/>
      <c r="J148" s="20"/>
      <c r="K148" s="20"/>
      <c r="L148" s="21"/>
      <c r="M148" s="21"/>
      <c r="N148" s="22"/>
      <c r="O148" s="20"/>
      <c r="P148" s="20"/>
      <c r="Q148" s="21"/>
      <c r="R148" s="21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1"/>
    </row>
    <row r="149" spans="2:34" x14ac:dyDescent="0.25">
      <c r="B149" s="20"/>
      <c r="C149" s="20"/>
      <c r="D149" s="20"/>
      <c r="E149" s="20"/>
      <c r="F149" s="20"/>
      <c r="G149" s="21"/>
      <c r="H149" s="21"/>
      <c r="I149" s="20"/>
      <c r="J149" s="20"/>
      <c r="K149" s="20"/>
      <c r="L149" s="21"/>
      <c r="M149" s="21"/>
      <c r="N149" s="22"/>
      <c r="O149" s="20"/>
      <c r="P149" s="20"/>
      <c r="Q149" s="21"/>
      <c r="R149" s="21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1"/>
    </row>
    <row r="150" spans="2:34" x14ac:dyDescent="0.25">
      <c r="B150" s="20"/>
      <c r="C150" s="20"/>
      <c r="D150" s="20"/>
      <c r="E150" s="20"/>
      <c r="F150" s="20"/>
      <c r="G150" s="21"/>
      <c r="H150" s="21"/>
      <c r="I150" s="20"/>
      <c r="J150" s="20"/>
      <c r="K150" s="20"/>
      <c r="L150" s="21"/>
      <c r="M150" s="21"/>
      <c r="N150" s="22"/>
      <c r="O150" s="20"/>
      <c r="P150" s="20"/>
      <c r="Q150" s="21"/>
      <c r="R150" s="21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1"/>
    </row>
    <row r="151" spans="2:34" x14ac:dyDescent="0.25">
      <c r="B151" s="20"/>
      <c r="C151" s="20"/>
      <c r="D151" s="20"/>
      <c r="E151" s="20"/>
      <c r="F151" s="20"/>
      <c r="G151" s="21"/>
      <c r="H151" s="21"/>
      <c r="I151" s="20"/>
      <c r="J151" s="20"/>
      <c r="K151" s="20"/>
      <c r="L151" s="21"/>
      <c r="M151" s="21"/>
      <c r="N151" s="22"/>
      <c r="O151" s="20"/>
      <c r="P151" s="20"/>
      <c r="Q151" s="21"/>
      <c r="R151" s="21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1"/>
    </row>
    <row r="152" spans="2:34" x14ac:dyDescent="0.25">
      <c r="B152" s="20"/>
      <c r="C152" s="20"/>
      <c r="D152" s="20"/>
      <c r="E152" s="20"/>
      <c r="F152" s="20"/>
      <c r="G152" s="21"/>
      <c r="H152" s="21"/>
      <c r="I152" s="20"/>
      <c r="J152" s="20"/>
      <c r="K152" s="20"/>
      <c r="L152" s="21"/>
      <c r="M152" s="21"/>
      <c r="N152" s="22"/>
      <c r="O152" s="20"/>
      <c r="P152" s="20"/>
      <c r="Q152" s="21"/>
      <c r="R152" s="21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1"/>
    </row>
    <row r="153" spans="2:34" x14ac:dyDescent="0.25">
      <c r="B153" s="20"/>
      <c r="C153" s="20"/>
      <c r="D153" s="20"/>
      <c r="E153" s="20"/>
      <c r="F153" s="20"/>
      <c r="G153" s="21"/>
      <c r="H153" s="21"/>
      <c r="I153" s="20"/>
      <c r="J153" s="20"/>
      <c r="K153" s="20"/>
      <c r="L153" s="21"/>
      <c r="M153" s="21"/>
      <c r="N153" s="22"/>
      <c r="O153" s="20"/>
      <c r="P153" s="20"/>
      <c r="Q153" s="21"/>
      <c r="R153" s="21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1"/>
    </row>
    <row r="154" spans="2:34" x14ac:dyDescent="0.25">
      <c r="B154" s="20"/>
      <c r="C154" s="20"/>
      <c r="D154" s="20"/>
      <c r="E154" s="20"/>
      <c r="F154" s="20"/>
      <c r="G154" s="21"/>
      <c r="H154" s="21"/>
      <c r="I154" s="20"/>
      <c r="J154" s="20"/>
      <c r="K154" s="20"/>
      <c r="L154" s="21"/>
      <c r="M154" s="21"/>
      <c r="N154" s="22"/>
      <c r="O154" s="20"/>
      <c r="P154" s="20"/>
      <c r="Q154" s="21"/>
      <c r="R154" s="21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1"/>
    </row>
    <row r="155" spans="2:34" x14ac:dyDescent="0.25">
      <c r="B155" s="20"/>
      <c r="C155" s="20"/>
      <c r="D155" s="20"/>
      <c r="E155" s="20"/>
      <c r="F155" s="20"/>
      <c r="G155" s="21"/>
      <c r="H155" s="21"/>
      <c r="I155" s="20"/>
      <c r="J155" s="20"/>
      <c r="K155" s="20"/>
      <c r="L155" s="21"/>
      <c r="M155" s="21"/>
      <c r="N155" s="22"/>
      <c r="O155" s="20"/>
      <c r="P155" s="20"/>
      <c r="Q155" s="21"/>
      <c r="R155" s="21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1"/>
    </row>
    <row r="156" spans="2:34" x14ac:dyDescent="0.25">
      <c r="B156" s="20"/>
      <c r="C156" s="20"/>
      <c r="D156" s="20"/>
      <c r="E156" s="20"/>
      <c r="F156" s="20"/>
      <c r="G156" s="21"/>
      <c r="H156" s="21"/>
      <c r="I156" s="20"/>
      <c r="J156" s="20"/>
      <c r="K156" s="20"/>
      <c r="L156" s="21"/>
      <c r="M156" s="21"/>
      <c r="N156" s="22"/>
      <c r="O156" s="20"/>
      <c r="P156" s="20"/>
      <c r="Q156" s="21"/>
      <c r="R156" s="21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1"/>
    </row>
    <row r="157" spans="2:34" x14ac:dyDescent="0.25">
      <c r="B157" s="20"/>
      <c r="C157" s="20"/>
      <c r="D157" s="20"/>
      <c r="E157" s="20"/>
      <c r="F157" s="20"/>
      <c r="G157" s="21"/>
      <c r="H157" s="21"/>
      <c r="I157" s="20"/>
      <c r="J157" s="20"/>
      <c r="K157" s="20"/>
      <c r="L157" s="21"/>
      <c r="M157" s="21"/>
      <c r="N157" s="22"/>
      <c r="O157" s="20"/>
      <c r="P157" s="20"/>
      <c r="Q157" s="21"/>
      <c r="R157" s="21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1"/>
    </row>
    <row r="158" spans="2:34" x14ac:dyDescent="0.25">
      <c r="B158" s="20"/>
      <c r="C158" s="20"/>
      <c r="D158" s="20"/>
      <c r="E158" s="20"/>
      <c r="F158" s="20"/>
      <c r="G158" s="21"/>
      <c r="H158" s="21"/>
      <c r="I158" s="20"/>
      <c r="J158" s="20"/>
      <c r="K158" s="20"/>
      <c r="L158" s="21"/>
      <c r="M158" s="21"/>
      <c r="N158" s="22"/>
      <c r="O158" s="20"/>
      <c r="P158" s="20"/>
      <c r="Q158" s="21"/>
      <c r="R158" s="21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1"/>
    </row>
    <row r="159" spans="2:34" x14ac:dyDescent="0.25">
      <c r="B159" s="20"/>
      <c r="C159" s="20"/>
      <c r="D159" s="20"/>
      <c r="E159" s="20"/>
      <c r="F159" s="20"/>
      <c r="G159" s="21"/>
      <c r="H159" s="21"/>
      <c r="I159" s="20"/>
      <c r="J159" s="20"/>
      <c r="K159" s="20"/>
      <c r="L159" s="21"/>
      <c r="M159" s="21"/>
      <c r="N159" s="22"/>
      <c r="O159" s="20"/>
      <c r="P159" s="20"/>
      <c r="Q159" s="21"/>
      <c r="R159" s="21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1"/>
    </row>
    <row r="160" spans="2:34" x14ac:dyDescent="0.25">
      <c r="B160" s="20"/>
      <c r="C160" s="20"/>
      <c r="D160" s="20"/>
      <c r="E160" s="20"/>
      <c r="F160" s="20"/>
      <c r="G160" s="21"/>
      <c r="H160" s="21"/>
      <c r="I160" s="20"/>
      <c r="J160" s="20"/>
      <c r="K160" s="20"/>
      <c r="L160" s="21"/>
      <c r="M160" s="21"/>
      <c r="N160" s="22"/>
      <c r="O160" s="20"/>
      <c r="P160" s="20"/>
      <c r="Q160" s="21"/>
      <c r="R160" s="21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1"/>
    </row>
    <row r="161" spans="2:34" x14ac:dyDescent="0.25">
      <c r="B161" s="20"/>
      <c r="C161" s="20"/>
      <c r="D161" s="20"/>
      <c r="E161" s="20"/>
      <c r="F161" s="20"/>
      <c r="G161" s="21"/>
      <c r="H161" s="21"/>
      <c r="I161" s="20"/>
      <c r="J161" s="20"/>
      <c r="K161" s="20"/>
      <c r="L161" s="21"/>
      <c r="M161" s="21"/>
      <c r="N161" s="22"/>
      <c r="O161" s="20"/>
      <c r="P161" s="20"/>
      <c r="Q161" s="21"/>
      <c r="R161" s="21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1"/>
    </row>
    <row r="162" spans="2:34" x14ac:dyDescent="0.25">
      <c r="B162" s="20"/>
      <c r="C162" s="20"/>
      <c r="D162" s="20"/>
      <c r="E162" s="20"/>
      <c r="F162" s="20"/>
      <c r="G162" s="21"/>
      <c r="H162" s="21"/>
      <c r="I162" s="20"/>
      <c r="J162" s="20"/>
      <c r="K162" s="20"/>
      <c r="L162" s="21"/>
      <c r="M162" s="21"/>
      <c r="N162" s="22"/>
      <c r="O162" s="20"/>
      <c r="P162" s="20"/>
      <c r="Q162" s="21"/>
      <c r="R162" s="21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1"/>
    </row>
    <row r="163" spans="2:34" x14ac:dyDescent="0.25">
      <c r="B163" s="20"/>
      <c r="C163" s="20"/>
      <c r="D163" s="20"/>
      <c r="E163" s="20"/>
      <c r="F163" s="20"/>
      <c r="G163" s="21"/>
      <c r="H163" s="21"/>
      <c r="I163" s="20"/>
      <c r="J163" s="20"/>
      <c r="K163" s="20"/>
      <c r="L163" s="21"/>
      <c r="M163" s="21"/>
      <c r="N163" s="22"/>
      <c r="O163" s="20"/>
      <c r="P163" s="20"/>
      <c r="Q163" s="21"/>
      <c r="R163" s="21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1"/>
    </row>
    <row r="164" spans="2:34" x14ac:dyDescent="0.25">
      <c r="B164" s="20"/>
      <c r="C164" s="20"/>
      <c r="D164" s="20"/>
      <c r="E164" s="20"/>
      <c r="F164" s="20"/>
      <c r="G164" s="21"/>
      <c r="H164" s="21"/>
      <c r="I164" s="20"/>
      <c r="J164" s="20"/>
      <c r="K164" s="20"/>
      <c r="L164" s="21"/>
      <c r="M164" s="21"/>
      <c r="N164" s="22"/>
      <c r="O164" s="20"/>
      <c r="P164" s="20"/>
      <c r="Q164" s="21"/>
      <c r="R164" s="21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1"/>
    </row>
    <row r="165" spans="2:34" x14ac:dyDescent="0.25">
      <c r="B165" s="20"/>
      <c r="C165" s="20"/>
      <c r="D165" s="20"/>
      <c r="E165" s="20"/>
      <c r="F165" s="20"/>
      <c r="G165" s="21"/>
      <c r="H165" s="21"/>
      <c r="I165" s="20"/>
      <c r="J165" s="20"/>
      <c r="K165" s="20"/>
      <c r="L165" s="21"/>
      <c r="M165" s="21"/>
      <c r="N165" s="22"/>
      <c r="O165" s="20"/>
      <c r="P165" s="20"/>
      <c r="Q165" s="21"/>
      <c r="R165" s="21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1"/>
    </row>
    <row r="166" spans="2:34" x14ac:dyDescent="0.25">
      <c r="B166" s="20"/>
      <c r="C166" s="20"/>
      <c r="D166" s="20"/>
      <c r="E166" s="20"/>
      <c r="F166" s="20"/>
      <c r="G166" s="21"/>
      <c r="H166" s="21"/>
      <c r="I166" s="20"/>
      <c r="J166" s="20"/>
      <c r="K166" s="20"/>
      <c r="L166" s="21"/>
      <c r="M166" s="21"/>
      <c r="N166" s="22"/>
      <c r="O166" s="20"/>
      <c r="P166" s="20"/>
      <c r="Q166" s="21"/>
      <c r="R166" s="21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1"/>
    </row>
    <row r="167" spans="2:34" x14ac:dyDescent="0.25">
      <c r="B167" s="20"/>
      <c r="C167" s="20"/>
      <c r="D167" s="20"/>
      <c r="E167" s="20"/>
      <c r="F167" s="20"/>
      <c r="G167" s="21"/>
      <c r="H167" s="21"/>
      <c r="I167" s="20"/>
      <c r="J167" s="20"/>
      <c r="K167" s="20"/>
      <c r="L167" s="21"/>
      <c r="M167" s="21"/>
      <c r="N167" s="22"/>
      <c r="O167" s="20"/>
      <c r="P167" s="20"/>
      <c r="Q167" s="21"/>
      <c r="R167" s="21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1"/>
    </row>
    <row r="168" spans="2:34" x14ac:dyDescent="0.25">
      <c r="B168" s="20"/>
      <c r="C168" s="20"/>
      <c r="D168" s="20"/>
      <c r="E168" s="20"/>
      <c r="F168" s="20"/>
      <c r="G168" s="21"/>
      <c r="H168" s="21"/>
      <c r="I168" s="20"/>
      <c r="J168" s="20"/>
      <c r="K168" s="20"/>
      <c r="L168" s="21"/>
      <c r="M168" s="21"/>
      <c r="N168" s="22"/>
      <c r="O168" s="20"/>
      <c r="P168" s="20"/>
      <c r="Q168" s="21"/>
      <c r="R168" s="21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1"/>
    </row>
    <row r="169" spans="2:34" x14ac:dyDescent="0.25">
      <c r="B169" s="20"/>
      <c r="C169" s="20"/>
      <c r="D169" s="20"/>
      <c r="E169" s="20"/>
      <c r="F169" s="20"/>
      <c r="G169" s="21"/>
      <c r="H169" s="21"/>
      <c r="I169" s="20"/>
      <c r="J169" s="20"/>
      <c r="K169" s="20"/>
      <c r="L169" s="21"/>
      <c r="M169" s="21"/>
      <c r="N169" s="22"/>
      <c r="O169" s="20"/>
      <c r="P169" s="20"/>
      <c r="Q169" s="21"/>
      <c r="R169" s="21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1"/>
    </row>
    <row r="170" spans="2:34" x14ac:dyDescent="0.25">
      <c r="B170" s="20"/>
      <c r="C170" s="20"/>
      <c r="D170" s="20"/>
      <c r="E170" s="20"/>
      <c r="F170" s="20"/>
      <c r="G170" s="21"/>
      <c r="H170" s="21"/>
      <c r="I170" s="20"/>
      <c r="J170" s="20"/>
      <c r="K170" s="20"/>
      <c r="L170" s="21"/>
      <c r="M170" s="21"/>
      <c r="N170" s="22"/>
      <c r="O170" s="20"/>
      <c r="P170" s="20"/>
      <c r="Q170" s="21"/>
      <c r="R170" s="21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1"/>
    </row>
    <row r="171" spans="2:34" x14ac:dyDescent="0.25">
      <c r="B171" s="20"/>
      <c r="C171" s="20"/>
      <c r="D171" s="20"/>
      <c r="E171" s="20"/>
      <c r="F171" s="20"/>
      <c r="G171" s="21"/>
      <c r="H171" s="21"/>
      <c r="I171" s="20"/>
      <c r="J171" s="20"/>
      <c r="K171" s="20"/>
      <c r="L171" s="21"/>
      <c r="M171" s="21"/>
      <c r="N171" s="22"/>
      <c r="O171" s="20"/>
      <c r="P171" s="20"/>
      <c r="Q171" s="21"/>
      <c r="R171" s="21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1"/>
    </row>
    <row r="172" spans="2:34" x14ac:dyDescent="0.25">
      <c r="B172" s="20"/>
      <c r="C172" s="20"/>
      <c r="D172" s="20"/>
      <c r="E172" s="20"/>
      <c r="F172" s="20"/>
      <c r="G172" s="21"/>
      <c r="H172" s="21"/>
      <c r="I172" s="20"/>
      <c r="J172" s="20"/>
      <c r="K172" s="20"/>
      <c r="L172" s="21"/>
      <c r="M172" s="21"/>
      <c r="N172" s="22"/>
      <c r="O172" s="20"/>
      <c r="P172" s="20"/>
      <c r="Q172" s="21"/>
      <c r="R172" s="21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1"/>
    </row>
    <row r="173" spans="2:34" x14ac:dyDescent="0.25">
      <c r="B173" s="20"/>
      <c r="C173" s="20"/>
      <c r="D173" s="20"/>
      <c r="E173" s="20"/>
      <c r="F173" s="20"/>
      <c r="G173" s="21"/>
      <c r="H173" s="21"/>
      <c r="I173" s="20"/>
      <c r="J173" s="20"/>
      <c r="K173" s="20"/>
      <c r="L173" s="21"/>
      <c r="M173" s="21"/>
      <c r="N173" s="22"/>
      <c r="O173" s="20"/>
      <c r="P173" s="20"/>
      <c r="Q173" s="21"/>
      <c r="R173" s="21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1"/>
    </row>
    <row r="174" spans="2:34" x14ac:dyDescent="0.25">
      <c r="B174" s="20"/>
      <c r="C174" s="20"/>
      <c r="D174" s="20"/>
      <c r="E174" s="20"/>
      <c r="F174" s="20"/>
      <c r="G174" s="21"/>
      <c r="H174" s="21"/>
      <c r="I174" s="20"/>
      <c r="J174" s="20"/>
      <c r="K174" s="20"/>
      <c r="L174" s="21"/>
      <c r="M174" s="21"/>
      <c r="N174" s="22"/>
      <c r="O174" s="20"/>
      <c r="P174" s="20"/>
      <c r="Q174" s="21"/>
      <c r="R174" s="21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1"/>
    </row>
    <row r="175" spans="2:34" x14ac:dyDescent="0.25">
      <c r="B175" s="20"/>
      <c r="C175" s="20"/>
      <c r="D175" s="20"/>
      <c r="E175" s="20"/>
      <c r="F175" s="20"/>
      <c r="G175" s="21"/>
      <c r="H175" s="21"/>
      <c r="I175" s="20"/>
      <c r="J175" s="20"/>
      <c r="K175" s="20"/>
      <c r="L175" s="21"/>
      <c r="M175" s="21"/>
      <c r="N175" s="22"/>
      <c r="O175" s="20"/>
      <c r="P175" s="20"/>
      <c r="Q175" s="21"/>
      <c r="R175" s="21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1"/>
    </row>
    <row r="176" spans="2:34" x14ac:dyDescent="0.25">
      <c r="B176" s="20"/>
      <c r="C176" s="20"/>
      <c r="D176" s="20"/>
      <c r="E176" s="20"/>
      <c r="F176" s="20"/>
      <c r="G176" s="21"/>
      <c r="H176" s="21"/>
      <c r="I176" s="20"/>
      <c r="J176" s="20"/>
      <c r="K176" s="20"/>
      <c r="L176" s="21"/>
      <c r="M176" s="21"/>
      <c r="N176" s="22"/>
      <c r="O176" s="20"/>
      <c r="P176" s="20"/>
      <c r="Q176" s="21"/>
      <c r="R176" s="21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1"/>
    </row>
    <row r="177" spans="2:34" x14ac:dyDescent="0.25">
      <c r="B177" s="20"/>
      <c r="C177" s="20"/>
      <c r="D177" s="20"/>
      <c r="E177" s="20"/>
      <c r="F177" s="20"/>
      <c r="G177" s="21"/>
      <c r="H177" s="21"/>
      <c r="I177" s="20"/>
      <c r="J177" s="20"/>
      <c r="K177" s="20"/>
      <c r="L177" s="21"/>
      <c r="M177" s="21"/>
      <c r="N177" s="22"/>
      <c r="O177" s="20"/>
      <c r="P177" s="20"/>
      <c r="Q177" s="21"/>
      <c r="R177" s="21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1"/>
    </row>
    <row r="178" spans="2:34" x14ac:dyDescent="0.25">
      <c r="B178" s="20"/>
      <c r="C178" s="20"/>
      <c r="D178" s="20"/>
      <c r="E178" s="20"/>
      <c r="F178" s="20"/>
      <c r="G178" s="21"/>
      <c r="H178" s="21"/>
      <c r="I178" s="20"/>
      <c r="J178" s="20"/>
      <c r="K178" s="20"/>
      <c r="L178" s="21"/>
      <c r="M178" s="21"/>
      <c r="N178" s="22"/>
      <c r="O178" s="20"/>
      <c r="P178" s="20"/>
      <c r="Q178" s="21"/>
      <c r="R178" s="21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1"/>
    </row>
    <row r="179" spans="2:34" x14ac:dyDescent="0.25">
      <c r="B179" s="20"/>
      <c r="C179" s="20"/>
      <c r="D179" s="20"/>
      <c r="E179" s="20"/>
      <c r="F179" s="20"/>
      <c r="G179" s="21"/>
      <c r="H179" s="21"/>
      <c r="I179" s="20"/>
      <c r="J179" s="20"/>
      <c r="K179" s="20"/>
      <c r="L179" s="21"/>
      <c r="M179" s="21"/>
      <c r="N179" s="22"/>
      <c r="O179" s="20"/>
      <c r="P179" s="20"/>
      <c r="Q179" s="21"/>
      <c r="R179" s="21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1"/>
    </row>
    <row r="180" spans="2:34" x14ac:dyDescent="0.25">
      <c r="B180" s="20"/>
      <c r="C180" s="20"/>
      <c r="D180" s="20"/>
      <c r="E180" s="20"/>
      <c r="F180" s="20"/>
      <c r="G180" s="21"/>
      <c r="H180" s="21"/>
      <c r="I180" s="20"/>
      <c r="J180" s="20"/>
      <c r="K180" s="20"/>
      <c r="L180" s="21"/>
      <c r="M180" s="21"/>
      <c r="N180" s="22"/>
      <c r="O180" s="20"/>
      <c r="P180" s="20"/>
      <c r="Q180" s="21"/>
      <c r="R180" s="21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1"/>
    </row>
    <row r="181" spans="2:34" x14ac:dyDescent="0.25">
      <c r="B181" s="20"/>
      <c r="C181" s="20"/>
      <c r="D181" s="20"/>
      <c r="E181" s="20"/>
      <c r="F181" s="20"/>
      <c r="G181" s="21"/>
      <c r="H181" s="21"/>
      <c r="I181" s="20"/>
      <c r="J181" s="20"/>
      <c r="K181" s="20"/>
      <c r="L181" s="21"/>
      <c r="M181" s="21"/>
      <c r="N181" s="22"/>
      <c r="O181" s="20"/>
      <c r="P181" s="20"/>
      <c r="Q181" s="21"/>
      <c r="R181" s="21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1"/>
    </row>
    <row r="182" spans="2:34" x14ac:dyDescent="0.25">
      <c r="B182" s="20"/>
      <c r="C182" s="20"/>
      <c r="D182" s="20"/>
      <c r="E182" s="20"/>
      <c r="F182" s="20"/>
      <c r="G182" s="21"/>
      <c r="H182" s="21"/>
      <c r="I182" s="20"/>
      <c r="J182" s="20"/>
      <c r="K182" s="20"/>
      <c r="L182" s="21"/>
      <c r="M182" s="21"/>
      <c r="N182" s="22"/>
      <c r="O182" s="20"/>
      <c r="P182" s="20"/>
      <c r="Q182" s="21"/>
      <c r="R182" s="21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1"/>
    </row>
    <row r="183" spans="2:34" x14ac:dyDescent="0.25">
      <c r="B183" s="20"/>
      <c r="C183" s="20"/>
      <c r="D183" s="20"/>
      <c r="E183" s="20"/>
      <c r="F183" s="20"/>
      <c r="G183" s="21"/>
      <c r="H183" s="21"/>
      <c r="I183" s="20"/>
      <c r="J183" s="20"/>
      <c r="K183" s="20"/>
      <c r="L183" s="21"/>
      <c r="M183" s="21"/>
      <c r="N183" s="22"/>
      <c r="O183" s="20"/>
      <c r="P183" s="20"/>
      <c r="Q183" s="21"/>
      <c r="R183" s="21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1"/>
    </row>
    <row r="184" spans="2:34" x14ac:dyDescent="0.25">
      <c r="B184" s="20"/>
      <c r="C184" s="20"/>
      <c r="D184" s="20"/>
      <c r="E184" s="20"/>
      <c r="F184" s="20"/>
      <c r="G184" s="21"/>
      <c r="H184" s="21"/>
      <c r="I184" s="20"/>
      <c r="J184" s="20"/>
      <c r="K184" s="20"/>
      <c r="L184" s="21"/>
      <c r="M184" s="21"/>
      <c r="N184" s="22"/>
      <c r="O184" s="20"/>
      <c r="P184" s="20"/>
      <c r="Q184" s="21"/>
      <c r="R184" s="21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1"/>
    </row>
    <row r="185" spans="2:34" x14ac:dyDescent="0.25">
      <c r="B185" s="20"/>
      <c r="C185" s="20"/>
      <c r="D185" s="20"/>
      <c r="E185" s="20"/>
      <c r="F185" s="20"/>
      <c r="G185" s="21"/>
      <c r="H185" s="21"/>
      <c r="I185" s="20"/>
      <c r="J185" s="20"/>
      <c r="K185" s="20"/>
      <c r="L185" s="21"/>
      <c r="M185" s="21"/>
      <c r="N185" s="22"/>
      <c r="O185" s="20"/>
      <c r="P185" s="20"/>
      <c r="Q185" s="21"/>
      <c r="R185" s="21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1"/>
    </row>
    <row r="186" spans="2:34" x14ac:dyDescent="0.25">
      <c r="B186" s="20"/>
      <c r="C186" s="20"/>
      <c r="D186" s="20"/>
      <c r="E186" s="20"/>
      <c r="F186" s="20"/>
      <c r="G186" s="21"/>
      <c r="H186" s="21"/>
      <c r="I186" s="20"/>
      <c r="J186" s="20"/>
      <c r="K186" s="20"/>
      <c r="L186" s="21"/>
      <c r="M186" s="21"/>
      <c r="N186" s="22"/>
      <c r="O186" s="20"/>
      <c r="P186" s="20"/>
      <c r="Q186" s="21"/>
      <c r="R186" s="21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1"/>
    </row>
    <row r="187" spans="2:34" x14ac:dyDescent="0.25">
      <c r="B187" s="20"/>
      <c r="C187" s="20"/>
      <c r="D187" s="20"/>
      <c r="E187" s="20"/>
      <c r="F187" s="20"/>
      <c r="G187" s="21"/>
      <c r="H187" s="21"/>
      <c r="I187" s="20"/>
      <c r="J187" s="20"/>
      <c r="K187" s="20"/>
      <c r="L187" s="21"/>
      <c r="M187" s="21"/>
      <c r="N187" s="22"/>
      <c r="O187" s="20"/>
      <c r="P187" s="20"/>
      <c r="Q187" s="21"/>
      <c r="R187" s="21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1"/>
    </row>
    <row r="188" spans="2:34" x14ac:dyDescent="0.25">
      <c r="B188" s="20"/>
      <c r="C188" s="20"/>
      <c r="D188" s="20"/>
      <c r="E188" s="20"/>
      <c r="F188" s="20"/>
      <c r="G188" s="21"/>
      <c r="H188" s="21"/>
      <c r="I188" s="20"/>
      <c r="J188" s="20"/>
      <c r="K188" s="20"/>
      <c r="L188" s="21"/>
      <c r="M188" s="21"/>
      <c r="N188" s="22"/>
      <c r="O188" s="20"/>
      <c r="P188" s="20"/>
      <c r="Q188" s="21"/>
      <c r="R188" s="21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1"/>
    </row>
    <row r="189" spans="2:34" x14ac:dyDescent="0.25">
      <c r="B189" s="20"/>
      <c r="C189" s="20"/>
      <c r="D189" s="20"/>
      <c r="E189" s="20"/>
      <c r="F189" s="20"/>
      <c r="G189" s="21"/>
      <c r="H189" s="21"/>
      <c r="I189" s="20"/>
      <c r="J189" s="20"/>
      <c r="K189" s="20"/>
      <c r="L189" s="21"/>
      <c r="M189" s="21"/>
      <c r="N189" s="22"/>
      <c r="O189" s="20"/>
      <c r="P189" s="20"/>
      <c r="Q189" s="21"/>
      <c r="R189" s="21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1"/>
    </row>
    <row r="190" spans="2:34" x14ac:dyDescent="0.25">
      <c r="B190" s="20"/>
      <c r="C190" s="20"/>
      <c r="D190" s="20"/>
      <c r="E190" s="20"/>
      <c r="F190" s="20"/>
      <c r="G190" s="21"/>
      <c r="H190" s="21"/>
      <c r="I190" s="20"/>
      <c r="J190" s="20"/>
      <c r="K190" s="20"/>
      <c r="L190" s="21"/>
      <c r="M190" s="21"/>
      <c r="N190" s="22"/>
      <c r="O190" s="20"/>
      <c r="P190" s="20"/>
      <c r="Q190" s="21"/>
      <c r="R190" s="21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1"/>
    </row>
    <row r="191" spans="2:34" x14ac:dyDescent="0.25">
      <c r="B191" s="20"/>
      <c r="C191" s="20"/>
      <c r="D191" s="20"/>
      <c r="E191" s="20"/>
      <c r="F191" s="20"/>
      <c r="G191" s="21"/>
      <c r="H191" s="21"/>
      <c r="I191" s="20"/>
      <c r="J191" s="20"/>
      <c r="K191" s="20"/>
      <c r="L191" s="21"/>
      <c r="M191" s="21"/>
      <c r="N191" s="22"/>
      <c r="O191" s="20"/>
      <c r="P191" s="20"/>
      <c r="Q191" s="21"/>
      <c r="R191" s="21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1"/>
    </row>
    <row r="192" spans="2:34" x14ac:dyDescent="0.25">
      <c r="B192" s="20"/>
      <c r="C192" s="20"/>
      <c r="D192" s="20"/>
      <c r="E192" s="20"/>
      <c r="F192" s="20"/>
      <c r="G192" s="21"/>
      <c r="H192" s="21"/>
      <c r="I192" s="20"/>
      <c r="J192" s="20"/>
      <c r="K192" s="20"/>
      <c r="L192" s="21"/>
      <c r="M192" s="21"/>
      <c r="N192" s="22"/>
      <c r="O192" s="20"/>
      <c r="P192" s="20"/>
      <c r="Q192" s="21"/>
      <c r="R192" s="21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1"/>
    </row>
    <row r="193" spans="2:34" x14ac:dyDescent="0.25">
      <c r="B193" s="20"/>
      <c r="C193" s="20"/>
      <c r="D193" s="20"/>
      <c r="E193" s="20"/>
      <c r="F193" s="20"/>
      <c r="G193" s="21"/>
      <c r="H193" s="21"/>
      <c r="I193" s="20"/>
      <c r="J193" s="20"/>
      <c r="K193" s="20"/>
      <c r="L193" s="21"/>
      <c r="M193" s="21"/>
      <c r="N193" s="22"/>
      <c r="O193" s="20"/>
      <c r="P193" s="20"/>
      <c r="Q193" s="21"/>
      <c r="R193" s="21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1"/>
    </row>
    <row r="194" spans="2:34" x14ac:dyDescent="0.25">
      <c r="B194" s="20"/>
      <c r="C194" s="20"/>
      <c r="D194" s="20"/>
      <c r="E194" s="20"/>
      <c r="F194" s="20"/>
      <c r="G194" s="21"/>
      <c r="H194" s="21"/>
      <c r="I194" s="20"/>
      <c r="J194" s="20"/>
      <c r="K194" s="20"/>
      <c r="L194" s="21"/>
      <c r="M194" s="21"/>
      <c r="N194" s="22"/>
      <c r="O194" s="20"/>
      <c r="P194" s="20"/>
      <c r="Q194" s="21"/>
      <c r="R194" s="21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1"/>
    </row>
    <row r="195" spans="2:34" x14ac:dyDescent="0.25">
      <c r="B195" s="20"/>
      <c r="C195" s="20"/>
      <c r="D195" s="20"/>
      <c r="E195" s="20"/>
      <c r="F195" s="20"/>
      <c r="G195" s="21"/>
      <c r="H195" s="21"/>
      <c r="I195" s="20"/>
      <c r="J195" s="20"/>
      <c r="K195" s="20"/>
      <c r="L195" s="21"/>
      <c r="M195" s="21"/>
      <c r="N195" s="22"/>
      <c r="O195" s="20"/>
      <c r="P195" s="20"/>
      <c r="Q195" s="21"/>
      <c r="R195" s="21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1"/>
    </row>
    <row r="196" spans="2:34" x14ac:dyDescent="0.25">
      <c r="B196" s="20"/>
      <c r="C196" s="20"/>
      <c r="D196" s="20"/>
      <c r="E196" s="20"/>
      <c r="F196" s="20"/>
      <c r="G196" s="21"/>
      <c r="H196" s="21"/>
      <c r="I196" s="20"/>
      <c r="J196" s="20"/>
      <c r="K196" s="20"/>
      <c r="L196" s="21"/>
      <c r="M196" s="21"/>
      <c r="N196" s="22"/>
      <c r="O196" s="20"/>
      <c r="P196" s="20"/>
      <c r="Q196" s="21"/>
      <c r="R196" s="21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1"/>
    </row>
    <row r="197" spans="2:34" x14ac:dyDescent="0.25">
      <c r="B197" s="20"/>
      <c r="C197" s="20"/>
      <c r="D197" s="20"/>
      <c r="E197" s="20"/>
      <c r="F197" s="20"/>
      <c r="G197" s="21"/>
      <c r="H197" s="21"/>
      <c r="I197" s="20"/>
      <c r="J197" s="20"/>
      <c r="K197" s="20"/>
      <c r="L197" s="21"/>
      <c r="M197" s="21"/>
      <c r="N197" s="22"/>
      <c r="O197" s="20"/>
      <c r="P197" s="20"/>
      <c r="Q197" s="21"/>
      <c r="R197" s="21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1"/>
    </row>
    <row r="198" spans="2:34" x14ac:dyDescent="0.25">
      <c r="B198" s="20"/>
      <c r="C198" s="20"/>
      <c r="D198" s="20"/>
      <c r="E198" s="20"/>
      <c r="F198" s="20"/>
      <c r="G198" s="21"/>
      <c r="H198" s="21"/>
      <c r="I198" s="20"/>
      <c r="J198" s="20"/>
      <c r="K198" s="20"/>
      <c r="L198" s="21"/>
      <c r="M198" s="21"/>
      <c r="N198" s="22"/>
      <c r="O198" s="20"/>
      <c r="P198" s="20"/>
      <c r="Q198" s="21"/>
      <c r="R198" s="21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1"/>
    </row>
  </sheetData>
  <autoFilter ref="A1:AH139" xr:uid="{00000000-0009-0000-0000-000000000000}">
    <sortState xmlns:xlrd2="http://schemas.microsoft.com/office/spreadsheetml/2017/richdata2" ref="A2:AH139">
      <sortCondition ref="C1:C139"/>
    </sortState>
  </autoFilter>
  <conditionalFormatting sqref="B1:AH1 C2:C94">
    <cfRule type="containsText" dxfId="14" priority="17" operator="containsText" text="Accessory">
      <formula>NOT(ISERROR(SEARCH("Accessory",B1)))</formula>
    </cfRule>
    <cfRule type="containsText" dxfId="13" priority="18" operator="containsText" text="Armour">
      <formula>NOT(ISERROR(SEARCH("Armour",B1)))</formula>
    </cfRule>
    <cfRule type="containsText" dxfId="12" priority="19" operator="containsText" text="Equipment">
      <formula>NOT(ISERROR(SEARCH("Equipment",B1)))</formula>
    </cfRule>
    <cfRule type="containsText" dxfId="11" priority="20" operator="containsText" text="Impression">
      <formula>NOT(ISERROR(SEARCH("Impression",B1)))</formula>
    </cfRule>
    <cfRule type="containsText" dxfId="10" priority="21" operator="containsText" text="Spell">
      <formula>NOT(ISERROR(SEARCH("Spell",B1)))</formula>
    </cfRule>
  </conditionalFormatting>
  <conditionalFormatting sqref="C125:C198">
    <cfRule type="containsText" dxfId="9" priority="7" operator="containsText" text="Accessory">
      <formula>NOT(ISERROR(SEARCH("Accessory",C125)))</formula>
    </cfRule>
    <cfRule type="containsText" dxfId="8" priority="8" operator="containsText" text="Armour">
      <formula>NOT(ISERROR(SEARCH("Armour",C125)))</formula>
    </cfRule>
    <cfRule type="containsText" dxfId="7" priority="9" operator="containsText" text="Equipment">
      <formula>NOT(ISERROR(SEARCH("Equipment",C125)))</formula>
    </cfRule>
    <cfRule type="containsText" dxfId="6" priority="10" operator="containsText" text="Impression">
      <formula>NOT(ISERROR(SEARCH("Impression",C125)))</formula>
    </cfRule>
    <cfRule type="containsText" dxfId="5" priority="11" operator="containsText" text="Spell">
      <formula>NOT(ISERROR(SEARCH("Spell",C125)))</formula>
    </cfRule>
  </conditionalFormatting>
  <conditionalFormatting sqref="D18">
    <cfRule type="containsText" dxfId="4" priority="12" operator="containsText" text="Accessory">
      <formula>NOT(ISERROR(SEARCH("Accessory",D18)))</formula>
    </cfRule>
    <cfRule type="containsText" dxfId="3" priority="13" operator="containsText" text="Armour">
      <formula>NOT(ISERROR(SEARCH("Armour",D18)))</formula>
    </cfRule>
    <cfRule type="containsText" dxfId="2" priority="14" operator="containsText" text="Equipment">
      <formula>NOT(ISERROR(SEARCH("Equipment",D18)))</formula>
    </cfRule>
    <cfRule type="containsText" dxfId="1" priority="15" operator="containsText" text="Impression">
      <formula>NOT(ISERROR(SEARCH("Impression",D18)))</formula>
    </cfRule>
    <cfRule type="containsText" dxfId="0" priority="16" operator="containsText" text="Spell">
      <formula>NOT(ISERROR(SEARCH("Spell",D18)))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BD9A44-7659-4E3D-A8AD-0FE8F40955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NTK</dc:creator>
  <dc:description/>
  <cp:lastModifiedBy>NTK</cp:lastModifiedBy>
  <cp:revision>24</cp:revision>
  <dcterms:created xsi:type="dcterms:W3CDTF">2025-06-22T09:18:10Z</dcterms:created>
  <dcterms:modified xsi:type="dcterms:W3CDTF">2026-04-12T07:18:51Z</dcterms:modified>
  <dc:language>en-NZ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0x010100B72EB742E1A5654587064A46DDB6CD15</vt:lpwstr>
  </property>
</Properties>
</file>