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<sst xmlns="http://schemas.openxmlformats.org/spreadsheetml/2006/main" count="959" uniqueCount="574">
  <si>
    <t xml:space="preserve">Name</t>
  </si>
  <si>
    <t xml:space="preserve">Type</t>
  </si>
  <si>
    <t xml:space="preserve">Charges</t>
  </si>
  <si>
    <t xml:space="preserve">Column1</t>
  </si>
  <si>
    <t xml:space="preserve">Effect 1 Y</t>
  </si>
  <si>
    <t xml:space="preserve">Effect 1 Type</t>
  </si>
  <si>
    <t xml:space="preserve">Effect 1 Title</t>
  </si>
  <si>
    <t xml:space="preserve">Effect 1</t>
  </si>
  <si>
    <t xml:space="preserve">.</t>
  </si>
  <si>
    <t xml:space="preserve">Effect 2 Y</t>
  </si>
  <si>
    <t xml:space="preserve">Effect 2 Type</t>
  </si>
  <si>
    <t xml:space="preserve">Effect 2 Title</t>
  </si>
  <si>
    <t xml:space="preserve">Effect 2</t>
  </si>
  <si>
    <t xml:space="preserve">.2</t>
  </si>
  <si>
    <t xml:space="preserve">Effect 3 Y</t>
  </si>
  <si>
    <t xml:space="preserve">Effect 3 Type</t>
  </si>
  <si>
    <t xml:space="preserve">Effect 3 Title</t>
  </si>
  <si>
    <t xml:space="preserve">Effect 3</t>
  </si>
  <si>
    <t xml:space="preserve">.3</t>
  </si>
  <si>
    <t xml:space="preserve">Ypos</t>
  </si>
  <si>
    <t xml:space="preserve">Linewidth</t>
  </si>
  <si>
    <t xml:space="preserve">Ability Offset</t>
  </si>
  <si>
    <t xml:space="preserve">Border Offset</t>
  </si>
  <si>
    <t xml:space="preserve">Title Offset</t>
  </si>
  <si>
    <t xml:space="preserve">E1TY</t>
  </si>
  <si>
    <t xml:space="preserve">E1BY</t>
  </si>
  <si>
    <t xml:space="preserve">E1Y</t>
  </si>
  <si>
    <t xml:space="preserve">E2TY</t>
  </si>
  <si>
    <t xml:space="preserve">E2BY</t>
  </si>
  <si>
    <t xml:space="preserve">E2Y</t>
  </si>
  <si>
    <t xml:space="preserve">E3TY</t>
  </si>
  <si>
    <t xml:space="preserve">E3BY</t>
  </si>
  <si>
    <t xml:space="preserve">E3Y</t>
  </si>
  <si>
    <t xml:space="preserve">Ancient One</t>
  </si>
  <si>
    <t xml:space="preserve">Form</t>
  </si>
  <si>
    <t xml:space="preserve">Passive</t>
  </si>
  <si>
    <t xml:space="preserve">&lt;b&gt;&lt;i&gt;Pain to Power&lt;/i&gt;&lt;/b&gt;</t>
  </si>
  <si>
    <r>
      <rPr>
        <sz val="11"/>
        <color theme="1"/>
        <rFont val="Aptos Narrow"/>
        <family val="2"/>
        <charset val="1"/>
      </rPr>
      <t xml:space="preserve">Whenever you take damage, 
&lt;b</t>
    </r>
    <r>
      <rPr>
        <sz val="11"/>
        <color theme="1"/>
        <rFont val="Aptos Narrow"/>
        <family val="2"/>
      </rPr>
      <t xml:space="preserve">r /&gt;</t>
    </r>
    <r>
      <rPr>
        <sz val="11"/>
        <color theme="1"/>
        <rFont val="Aptos Narrow"/>
        <family val="2"/>
        <charset val="1"/>
      </rPr>
      <t xml:space="preserve">refresh 1 WeirdT.</t>
    </r>
  </si>
  <si>
    <t xml:space="preserve">&lt;b&gt;&lt;i&gt;Reckless&lt;/i&gt;&lt;/b&gt;</t>
  </si>
  <si>
    <t xml:space="preserve">Whenever you inflict a status effect, you may set that creatures composure to 1.</t>
  </si>
  <si>
    <t xml:space="preserve">Beast</t>
  </si>
  <si>
    <t xml:space="preserve">&lt;b&gt;Increase damage taken by 1.&lt;/b&gt;
&lt;br /&gt;+1 Movement Speed.</t>
  </si>
  <si>
    <t xml:space="preserve">&lt;b&gt;&lt;i&gt;Relentless&lt;/i&gt;&lt;/b&gt;</t>
  </si>
  <si>
    <t xml:space="preserve">You get an extra AP at the end of each turn, if you are &lt;b&gt;Monstrous&lt;/b&gt;.</t>
  </si>
  <si>
    <t xml:space="preserve">&lt;b&gt;&lt;i&gt;Victorious&lt;/i&gt;&lt;/b&gt;</t>
  </si>
  <si>
    <t xml:space="preserve">Your attacks have the Crit option
&lt;br /&gt;&lt;b&gt;Howl: &lt;/b&gt;Gain &lt;b&gt;Monstrous&lt;/b&gt;.</t>
  </si>
  <si>
    <t xml:space="preserve">Carcinous</t>
  </si>
  <si>
    <t xml:space="preserve">Shape = Hex2wide</t>
  </si>
  <si>
    <t xml:space="preserve">&lt;b&gt;&lt;i&gt;Chiten&lt;/i&gt;&lt;/b&gt;</t>
  </si>
  <si>
    <t xml:space="preserve">Reduce damage taken by 2.</t>
  </si>
  <si>
    <t xml:space="preserve">Active</t>
  </si>
  <si>
    <t xml:space="preserve">&lt;b&gt;Sidesteps:&lt;/b&gt; 1AP</t>
  </si>
  <si>
    <t xml:space="preserve">You may only move sideways.
&lt;br /&gt;Swivel on a point you're standing on, then move as many tiles as you like in a straight line aligned with the hexes. </t>
  </si>
  <si>
    <t xml:space="preserve">&lt;span style="color:#e74c3c"&gt;&lt;b&gt;Flesh&lt;/b&gt;&lt;/span&gt;</t>
  </si>
  <si>
    <t xml:space="preserve">Crystalline</t>
  </si>
  <si>
    <t xml:space="preserve">chargeBigchargeBig</t>
  </si>
  <si>
    <t xml:space="preserve">&lt;b&gt;Labyrinth:&lt;/b&gt; chargeT or weirdT</t>
  </si>
  <si>
    <t xml:space="preserve">Make a 2 tile wall Hex2wide of Crystal. It can not be climbed and is &lt;b&gt;destructible.&lt;/b&gt; Then gain up to two tempct.</t>
  </si>
  <si>
    <t xml:space="preserve">&lt;b&gt;&lt;i&gt;Budding Growth&lt;/i&gt;&lt;/b&gt;</t>
  </si>
  <si>
    <t xml:space="preserve">Whenever you spend chargeT on any card, refresh 1 spent token.</t>
  </si>
  <si>
    <t xml:space="preserve">&lt;span style="color:#3366cc"&gt;&lt;b&gt;Weird&lt;/b&gt;&lt;/span&gt;</t>
  </si>
  <si>
    <t xml:space="preserve">Fungal</t>
  </si>
  <si>
    <t xml:space="preserve">&lt;b&gt;&lt;i&gt;Spores&lt;/i&gt;&lt;/b&gt;</t>
  </si>
  <si>
    <t xml:space="preserve">Whenever you are struck by a melee attack, after damage is resolved, deal 2 damage to all adjacent beings and refresh your composure.</t>
  </si>
  <si>
    <t xml:space="preserve">&lt;span style="color:#27ae60"&gt;&lt;b&gt;Jazz&lt;/b&gt;&lt;/span&gt;</t>
  </si>
  <si>
    <t xml:space="preserve">Giant</t>
  </si>
  <si>
    <t xml:space="preserve">Shape = Hex1b</t>
  </si>
  <si>
    <t xml:space="preserve">Attack</t>
  </si>
  <si>
    <t xml:space="preserve">&lt;b&gt;Squash:&lt;/b&gt;  2 AP</t>
  </si>
  <si>
    <t xml:space="preserve">&lt;b&gt;Damage = 3, Close&lt;/b&gt;
&lt;br /&gt;On a hit, you may move to any hex adjacent to the target.</t>
  </si>
  <si>
    <t xml:space="preserve">&lt;b&gt;&lt;i&gt;Massive Limbs&lt;/i&gt;&lt;/b&gt;</t>
  </si>
  <si>
    <t xml:space="preserve">Attacks that cost more than 2 AP cost 1 less and have &lt;b&gt;Reach&lt;/b&gt;.</t>
  </si>
  <si>
    <t xml:space="preserve">Glowing Kintsugi</t>
  </si>
  <si>
    <t xml:space="preserve">&lt;b&gt;&lt;i&gt;Warm Glow&lt;/i&gt;&lt;/b&gt;</t>
  </si>
  <si>
    <t xml:space="preserve">At the start of your turn, gain 
&lt;br /&gt;tempct tempct. Temporary composure can stack from any source up to 5.</t>
  </si>
  <si>
    <t xml:space="preserve">&lt;b&gt;Light Beam:&lt;/b&gt; 1 tempct</t>
  </si>
  <si>
    <t xml:space="preserve">Do one of the following:
&lt;br /&gt;&lt;b&gt;Scamper:&lt;/b&gt; Move 1 tile.
&lt;br /&gt;&lt;b&gt;Focus:&lt;/b&gt; Increase your attack roll by 1. Once per attack.
&lt;br /&gt;&lt;b&gt;Calm:&lt;/b&gt; Restore comptcompt.</t>
  </si>
  <si>
    <t xml:space="preserve">Hag</t>
  </si>
  <si>
    <t xml:space="preserve">&lt;b&gt;&lt;i&gt;Decrepit&lt;/i&gt;&lt;/b&gt;</t>
  </si>
  <si>
    <t xml:space="preserve">&lt;b&gt;Increase damage taken by 1.&lt;/b&gt;
&lt;br /&gt;- 1 Movement Speed.</t>
  </si>
  <si>
    <t xml:space="preserve">&lt;b&gt;&lt;i&gt;Twisted&lt;/i&gt;&lt;/b&gt;</t>
  </si>
  <si>
    <t xml:space="preserve">For every status effect you are afflicted with, reduce damage taken from all sources by 1.</t>
  </si>
  <si>
    <t xml:space="preserve">&lt;b&gt;&lt;i&gt;Wretched&lt;/i&gt;&lt;/b&gt;</t>
  </si>
  <si>
    <t xml:space="preserve">You may clear a status effect (except &lt;b&gt;Exhausted&lt;/b&gt;) to refresh a token of your choice.</t>
  </si>
  <si>
    <t xml:space="preserve">Hollow</t>
  </si>
  <si>
    <t xml:space="preserve">&lt;b&gt;&lt;i&gt;Odd structure&lt;/i&gt;&lt;/b&gt;</t>
  </si>
  <si>
    <t xml:space="preserve">Your composure is equal to &lt;b&gt;twice&lt;/b&gt; your &lt;span style="color:#3366cc"&gt;&lt;strong&gt;Weird&lt;/strong&gt;&lt;/span&gt;.</t>
  </si>
  <si>
    <t xml:space="preserve">&lt;b&gt;&lt;i&gt;Fragile&lt;/i&gt;&lt;/b&gt;</t>
  </si>
  <si>
    <t xml:space="preserve">If you take a wound during combat, you &lt;b&gt;die.&lt;/b&gt;</t>
  </si>
  <si>
    <t xml:space="preserve">Hulking</t>
  </si>
  <si>
    <t xml:space="preserve">&lt;b&gt;&lt;i&gt;Immense&lt;/i&gt;&lt;/b&gt;</t>
  </si>
  <si>
    <t xml:space="preserve">Reduce damage taken by 1.
&lt;br /&gt;- 1 Movement Speed.</t>
  </si>
  <si>
    <t xml:space="preserve">&lt;b&gt;&lt;i&gt;Punk Rock&lt;/i&gt;&lt;/b&gt;</t>
  </si>
  <si>
    <t xml:space="preserve">Your melee attacks have the Crit option
&lt;br /&gt;&lt;b&gt;Hurl: &lt;/b&gt;Throw the victim in a straight line tiles equal to your &lt;span style="color:#e74c3c"&gt;&lt;strong&gt;Flesh&lt;/strong&gt;&lt;/span&gt;. If they hit terrain or another being, both take 3 damage.</t>
  </si>
  <si>
    <t xml:space="preserve">Human</t>
  </si>
  <si>
    <t xml:space="preserve">&lt;b&gt;&lt;i&gt;Two Legs&lt;/i&gt;&lt;/b&gt;</t>
  </si>
  <si>
    <t xml:space="preserve">+1 Movement Speed.</t>
  </si>
  <si>
    <t xml:space="preserve">&lt;b&gt;&lt;i&gt;Two Arms&lt;/i&gt;&lt;/b&gt;</t>
  </si>
  <si>
    <t xml:space="preserve">Terrain interactions cost 1 less AP.</t>
  </si>
  <si>
    <t xml:space="preserve">&lt;b&gt;Plot Armour:&lt;/b&gt; chargeT</t>
  </si>
  <si>
    <t xml:space="preserve">Prevent all damage from an attack that would kill you.</t>
  </si>
  <si>
    <t xml:space="preserve">Hungry Clay</t>
  </si>
  <si>
    <t xml:space="preserve">&lt;b&gt;&lt;i&gt;Consuming&lt;/i&gt;&lt;/b&gt;</t>
  </si>
  <si>
    <t xml:space="preserve">Your attacks have the Crit option:
&lt;br /&gt;&lt;b&gt;Absorb:&lt;/b&gt; Heal a wound of the same stat you wounded.</t>
  </si>
  <si>
    <t xml:space="preserve">&lt;b&gt;&lt;i&gt;Regenerative&lt;/i&gt;&lt;/b&gt;</t>
  </si>
  <si>
    <t xml:space="preserve">When you take a wound, replenish a spent token of the same stat.</t>
  </si>
  <si>
    <t xml:space="preserve">Lanky</t>
  </si>
  <si>
    <t xml:space="preserve">&lt;b&gt;&lt;i&gt;Long Limbed&lt;/i&gt;&lt;/b&gt;</t>
  </si>
  <si>
    <t xml:space="preserve">You have +1 range on all melee attacks and terrain interactions.</t>
  </si>
  <si>
    <t xml:space="preserve">&lt;b&gt;&lt;i&gt;Sweeper&lt;/i&gt;&lt;/b&gt;</t>
  </si>
  <si>
    <t xml:space="preserve">Your melee attacks target all possible targets in range, roll once for the attack.</t>
  </si>
  <si>
    <t xml:space="preserve">&lt;b&gt;&lt;i&gt;Butter Cutter&lt;/i&gt;&lt;/b&gt;</t>
  </si>
  <si>
    <t xml:space="preserve">When you hit two or more creatures with a single attack, replenish a spent token.</t>
  </si>
  <si>
    <t xml:space="preserve">Liquid Lightning</t>
  </si>
  <si>
    <t xml:space="preserve">chargeBig</t>
  </si>
  <si>
    <t xml:space="preserve">&lt;b&gt;Dampen:&lt;/b&gt; chargeT</t>
  </si>
  <si>
    <t xml:space="preserve">Reduce damage taken by 3 until the start of your next turn.</t>
  </si>
  <si>
    <t xml:space="preserve">&lt;b&gt;Beam:&lt;/b&gt; chargeT or weirdTweirdT</t>
  </si>
  <si>
    <t xml:space="preserve">Teleport to any hex inside a starting zone.</t>
  </si>
  <si>
    <t xml:space="preserve">&lt;b&gt;&lt;i&gt;Recharge&lt;/i&gt;&lt;/b&gt;</t>
  </si>
  <si>
    <t xml:space="preserve">Your attacks have the Crit option:
&lt;br /&gt;&lt;b&gt;Extract energy:&lt;/b&gt; Refresh 1 chargeT.</t>
  </si>
  <si>
    <t xml:space="preserve">Mechanical</t>
  </si>
  <si>
    <t xml:space="preserve">&lt;b&gt;&lt;i&gt;Modal&lt;/b&gt;&lt;/i&gt;</t>
  </si>
  <si>
    <t xml:space="preserve">At the start of your turn, put a counter on an empty mode, then use that effect.</t>
  </si>
  <si>
    <t xml:space="preserve">Mob of Deep Ones</t>
  </si>
  <si>
    <t xml:space="preserve">hex1big   hex1big   hex1big</t>
  </si>
  <si>
    <t xml:space="preserve">&lt;b&gt;&lt;i&gt;Very Fast&lt;/i&gt;&lt;/b&gt;</t>
  </si>
  <si>
    <t xml:space="preserve">+2 Movement Speed.</t>
  </si>
  <si>
    <t xml:space="preserve">&lt;b&gt;&lt;i&gt;Multitudinous&lt;/i&gt;&lt;/b&gt;</t>
  </si>
  <si>
    <t xml:space="preserve">You have 3 bodies, each 1 hex1a in size. You may distribute movement between them when moving. All bodies attack when you make a melee attack.</t>
  </si>
  <si>
    <t xml:space="preserve">&lt;b&gt;&lt;i&gt;Shared Mind&lt;/i&gt;&lt;/b&gt;</t>
  </si>
  <si>
    <t xml:space="preserve">Damage taken by any of your bodies is taken in full. </t>
  </si>
  <si>
    <t xml:space="preserve">Overlord</t>
  </si>
  <si>
    <t xml:space="preserve">&lt;b&gt;Coerce:&lt;/b&gt; 1 AP or WeirdT</t>
  </si>
  <si>
    <t xml:space="preserve">Give an ally 1 AP.</t>
  </si>
  <si>
    <t xml:space="preserve">&lt;b&gt;Command:&lt;/b&gt; 1 AP or WeirdT</t>
  </si>
  <si>
    <t xml:space="preserve">Target creature moves one tile under your control.</t>
  </si>
  <si>
    <t xml:space="preserve">&lt;b&gt;&lt;i&gt;Consume&lt;/i&gt;&lt;/b&gt;</t>
  </si>
  <si>
    <t xml:space="preserve">Whenever you land a killing blow (including death by command), restore all wounds to one stat of your choice.</t>
  </si>
  <si>
    <t xml:space="preserve">Phantom</t>
  </si>
  <si>
    <t xml:space="preserve">&lt;b&gt;&lt;i&gt;Ghostly&lt;/i&gt;&lt;/b&gt;</t>
  </si>
  <si>
    <t xml:space="preserve">Whenever you spend a weirdT, for your next move that turn you may pass through solid objects freely and ignore terrain penalties. You may not stop inside terrain.</t>
  </si>
  <si>
    <t xml:space="preserve">&lt;b&gt;Chilling Presence:&lt;/b&gt; weirdT</t>
  </si>
  <si>
    <t xml:space="preserve">Reduce the composure of a being you have moved through this turn by 3 (minimum 1).</t>
  </si>
  <si>
    <t xml:space="preserve">Serpentine</t>
  </si>
  <si>
    <t xml:space="preserve">&lt;b&gt;&lt;i&gt;Just a Tail&lt;/i&gt;&lt;/b&gt;</t>
  </si>
  <si>
    <t xml:space="preserve">While you have at most 1 limb equipped, you refresh 1 WeirdT at the start of each of your turns.</t>
  </si>
  <si>
    <t xml:space="preserve">&lt;b&gt;&lt;i&gt;Fast&lt;/i&gt;&lt;/b&gt;</t>
  </si>
  <si>
    <t xml:space="preserve">Your move speed is increased by 1.</t>
  </si>
  <si>
    <t xml:space="preserve">Siltwood Sapling</t>
  </si>
  <si>
    <t xml:space="preserve">&lt;b&gt;Heart Bulb:&lt;/b&gt; 1 AP</t>
  </si>
  <si>
    <t xml:space="preserve">&lt;p style="font-size:12px;"&gt;Once per game, you may place a heart bulb on an adjacent hex. This is your weak point and can be damaged normally. It has your impressions but not your limbs. &lt;b&gt;Your body takes 4 less damage from all sources&lt;/b&gt; after you have placed the heart bulb. Both your heart and body can be inflicted with status effects. Status effects apply to both beings.</t>
  </si>
  <si>
    <t xml:space="preserve">&lt;b&gt;Transplant:&lt;/b&gt; 1 AP + (weirdT or chargeT)</t>
  </si>
  <si>
    <t xml:space="preserve">Swap the location of your body and the heart bulb.</t>
  </si>
  <si>
    <t xml:space="preserve">Sticky</t>
  </si>
  <si>
    <t xml:space="preserve">&lt;b&gt;&lt;i&gt;Easy as Walking&lt;/i&gt;&lt;/b&gt;</t>
  </si>
  <si>
    <t xml:space="preserve">Climbing does not cost you jazzT.</t>
  </si>
  <si>
    <t xml:space="preserve">&lt;b&gt;&lt;i&gt;Like Glue&lt;/i&gt;&lt;/b&gt;</t>
  </si>
  <si>
    <t xml:space="preserve">You cannot be made to move against your will.</t>
  </si>
  <si>
    <t xml:space="preserve">&lt;b&gt;&lt;i&gt;Moving is Optional&lt;/i&gt;&lt;/b&gt;</t>
  </si>
  <si>
    <t xml:space="preserve">At the end of your turn, if you did not move, gain up to 4 tempct.</t>
  </si>
  <si>
    <t xml:space="preserve">Stone Plated</t>
  </si>
  <si>
    <t xml:space="preserve">&lt;b&gt;&lt;i&gt;Stone Flesh&lt;/i&gt;&lt;/b&gt;</t>
  </si>
  <si>
    <t xml:space="preserve">Reduce damage taken by 1.
&lt;br /&gt;-2 Movement Speed.</t>
  </si>
  <si>
    <t xml:space="preserve">&lt;b&gt;&lt;i&gt;Impervious Plates&lt;/i&gt;&lt;/b&gt;</t>
  </si>
  <si>
    <t xml:space="preserve">Reduce damage from non-adjacent beings to 0.</t>
  </si>
  <si>
    <t xml:space="preserve">&lt;b&gt;&lt;i&gt;Behemoth&lt;/i&gt;&lt;/b&gt;</t>
  </si>
  <si>
    <t xml:space="preserve">You cannot be move or be made to move except with the move action.
&lt;br /&gt;Moving into a 1 hex wide space counts as moving 2 hexes.</t>
  </si>
  <si>
    <t xml:space="preserve">Unstable</t>
  </si>
  <si>
    <t xml:space="preserve">&lt;b&gt;&lt;i&gt;Radioactive&lt;/i&gt;&lt;/b&gt;</t>
  </si>
  <si>
    <t xml:space="preserve">Whenever you spend weirdt, adjacent beings take 2 damage.</t>
  </si>
  <si>
    <t xml:space="preserve">&lt;b&gt;&lt;i&gt;Decay&lt;/b&gt;&lt;/i&gt; </t>
  </si>
  <si>
    <t xml:space="preserve">At the end of each of your turns, take 2 damage and refresh 1 weirdT.</t>
  </si>
  <si>
    <t xml:space="preserve">Volcanic</t>
  </si>
  <si>
    <t xml:space="preserve">&lt;b&gt;&lt;i&gt;Furnace&lt;/i&gt;&lt;/b&gt;</t>
  </si>
  <si>
    <t xml:space="preserve">Reduce damage taken by 1.
&lt;br /&gt;-1 Movement Speed.</t>
  </si>
  <si>
    <t xml:space="preserve">&lt;b&gt;Breathe Fire:&lt;/b&gt; 3 AP + weirdT</t>
  </si>
  <si>
    <t xml:space="preserve">Emit an inferno of fire, all other beings within 3 hexes take 7 damage.
&lt;br /&gt;You and all adjacent beings suffer the &lt;b&gt;Burning&lt;/b&gt; status.</t>
  </si>
  <si>
    <t xml:space="preserve">Worm Nest</t>
  </si>
  <si>
    <r>
      <rPr>
        <sz val="11"/>
        <color theme="1"/>
        <rFont val="Aptos Narrow"/>
        <family val="2"/>
        <charset val="1"/>
      </rPr>
      <t xml:space="preserve">chargebigx Playe</t>
    </r>
    <r>
      <rPr>
        <sz val="11"/>
        <color theme="1"/>
        <rFont val="Aptos Narrow"/>
        <family val="2"/>
      </rPr>
      <t xml:space="preserve">rs</t>
    </r>
  </si>
  <si>
    <t xml:space="preserve">&lt;b&gt;Infect&lt;/b&gt;</t>
  </si>
  <si>
    <t xml:space="preserve">Your attacks have the Crit option &lt;b&gt;Infect:&lt;/b&gt; Spend one chargeT, target takes the chargeT and is infected.</t>
  </si>
  <si>
    <t xml:space="preserve">&lt;b&gt;&lt;i&gt;Writhe and Revel&lt;/i&gt;&lt;/b&gt;</t>
  </si>
  <si>
    <t xml:space="preserve">At the start of your turn, gain 1 temporary composure for each infected being including you.</t>
  </si>
  <si>
    <t xml:space="preserve">&lt;b&gt;Feast&lt;/b&gt;</t>
  </si>
  <si>
    <t xml:space="preserve">Remove an infected token from a being, and use one of your abilities spending their tokens.</t>
  </si>
  <si>
    <t xml:space="preserve">Wreathed in Flame</t>
  </si>
  <si>
    <t xml:space="preserve">&lt;b&gt;&lt;i&gt;Enflamed&lt;/b&gt;&lt;/i&gt;</t>
  </si>
  <si>
    <t xml:space="preserve">&lt;b&gt;Fire&lt;/b&gt; and &lt;b&gt;Burning&lt;/b&gt; give you temporary composure instead of dealing damage.</t>
  </si>
  <si>
    <t xml:space="preserve">&lt;b&gt;&lt;i&gt;Flame Geysers&lt;/i&gt;&lt;/b&gt;</t>
  </si>
  <si>
    <t xml:space="preserve">At the start of each turn, gain the &lt;b&gt;Burning&lt;/b&gt; status effect.</t>
  </si>
  <si>
    <t xml:space="preserve">&lt;b&gt;&lt;i&gt;Through Fire&lt;/i&gt;&lt;/b&gt;</t>
  </si>
  <si>
    <t xml:space="preserve">Your attacks have the Crit option &lt;b&gt;Purification:&lt;/b&gt; Remove one of your status effects and inflict it.</t>
  </si>
  <si>
    <t xml:space="preserve">Writhing Mass</t>
  </si>
  <si>
    <t xml:space="preserve">&lt;b&gt;&lt;i&gt;Generative&lt;/b&gt;&lt;/i&gt;</t>
  </si>
  <si>
    <t xml:space="preserve">At the start of your turn, if you have less than 4 limbs equipped, draw and equip a limb.</t>
  </si>
  <si>
    <t xml:space="preserve">&lt;b&gt;Regenerative&lt;/b&gt;</t>
  </si>
  <si>
    <t xml:space="preserve">You may destroy an equipped limb to replenish a spent token.</t>
  </si>
  <si>
    <t xml:space="preserve">Adaptive</t>
  </si>
  <si>
    <t xml:space="preserve">Impression</t>
  </si>
  <si>
    <t xml:space="preserve">&lt;b&gt;Mimic:&lt;/b&gt; WeirdT + 1AP</t>
  </si>
  <si>
    <t xml:space="preserve">Adaptive becomes a copy of any Limb or Impression in play, except it also retains the &lt;b&gt;Mimic&lt;/b&gt; ability. If it would be destroyed, so is Adaptive.</t>
  </si>
  <si>
    <t xml:space="preserve">Ambidextrous</t>
  </si>
  <si>
    <t xml:space="preserve">&lt;b&gt;&lt;i&gt;Dual Wielder&lt;/i&gt;&lt;/b&gt;</t>
  </si>
  <si>
    <t xml:space="preserve">Your second attack each turn costs 1 less AP.</t>
  </si>
  <si>
    <t xml:space="preserve">&lt;b&gt;&lt;i&gt;Creative Duelist&lt;/i&gt;&lt;/b&gt;</t>
  </si>
  <si>
    <t xml:space="preserve">You may use Crit options available to any of your limbs on all attacks.</t>
  </si>
  <si>
    <t xml:space="preserve">Assertive</t>
  </si>
  <si>
    <t xml:space="preserve">&lt;b&gt;&lt;i&gt;Charger&lt;/i&gt;&lt;/b&gt;</t>
  </si>
  <si>
    <t xml:space="preserve">When you make an attack, you may move 2 tiles before attacking.</t>
  </si>
  <si>
    <t xml:space="preserve">Balanced</t>
  </si>
  <si>
    <t xml:space="preserve">&lt;b&gt;&lt;i&gt;Passive&lt;/i&gt;&lt;/b&gt;</t>
  </si>
  <si>
    <t xml:space="preserve">At the start of your turn, if you have an equal number of unspent tokens in each stat, refresh two spent stat tokens.
&lt;br /&gt;
&lt;br /&gt;They must be different tokens.</t>
  </si>
  <si>
    <t xml:space="preserve">Blood Mage</t>
  </si>
  <si>
    <t xml:space="preserve">Once per turn you may suffer a wound to a stat of your choice to refresh 2 spent tokens in that stat.</t>
  </si>
  <si>
    <t xml:space="preserve">Confident</t>
  </si>
  <si>
    <t xml:space="preserve">While you are unwounded, gain 1 additional AP at the start of each turn.</t>
  </si>
  <si>
    <t xml:space="preserve">Coward</t>
  </si>
  <si>
    <t xml:space="preserve">Reaction</t>
  </si>
  <si>
    <t xml:space="preserve">&lt;b&gt;Flee:&lt;/b&gt; jazzT</t>
  </si>
  <si>
    <t xml:space="preserve">When an enemy moves into an adjacent tile, you may take a free move action immediately.</t>
  </si>
  <si>
    <t xml:space="preserve">Creative</t>
  </si>
  <si>
    <t xml:space="preserve">At the start of your first turn, draw an impression and equip it over creative.
&lt;br /&gt;At the end of your each turn, you &lt;b&gt;may&lt;/b&gt; discard that impression to draw and equip a new impression over creative.</t>
  </si>
  <si>
    <t xml:space="preserve">Dancer</t>
  </si>
  <si>
    <t xml:space="preserve">&lt;b&gt;&lt;i&gt; Flow State&lt;/b&gt;&lt;/i&gt;</t>
  </si>
  <si>
    <t xml:space="preserve">Your attacks have the Crit Option &lt;br /&gt;&lt;b&gt;Pirouette:&lt;/b&gt; Move hexes up to your  &lt;span style="color:#27ae60"&gt;&lt;strong&gt;Jazz&lt;/strong&gt;&lt;/span&gt;.</t>
  </si>
  <si>
    <t xml:space="preserve">&lt;b&gt;&lt;i&gt;On the Move&lt;/b&gt;&lt;/i&gt;</t>
  </si>
  <si>
    <t xml:space="preserve">Whenever you gain temporary composure, you may move that many hexes.</t>
  </si>
  <si>
    <t xml:space="preserve">Disciplined</t>
  </si>
  <si>
    <t xml:space="preserve">When you the the &lt;b&gt;chill out&lt;/b&gt; action, also gain up to 2 temporary composure.</t>
  </si>
  <si>
    <t xml:space="preserve">Dormant</t>
  </si>
  <si>
    <t xml:space="preserve">The first time a being dies in combat, draw 4 impressions and equip 2 of them.</t>
  </si>
  <si>
    <t xml:space="preserve">Energetic</t>
  </si>
  <si>
    <t xml:space="preserve">chargemidchargemidchargemid</t>
  </si>
  <si>
    <t xml:space="preserve">&lt;b&gt;Burst:&lt;/b&gt; chargeT or weirdT</t>
  </si>
  <si>
    <t xml:space="preserve">Replenish a jazzt or flesht.</t>
  </si>
  <si>
    <t xml:space="preserve">Grandiose</t>
  </si>
  <si>
    <t xml:space="preserve">&lt;b&gt;Mold Earth:&lt;/b&gt; weirdTweirdT</t>
  </si>
  <si>
    <t xml:space="preserve">Create a large pillar Hex1b in target empty location.
&lt;br /&gt;&lt;br /&gt;Pillars can be climbed by spending 3 AP or jazzT. Beings take 8 damage if they fall off.</t>
  </si>
  <si>
    <t xml:space="preserve">&lt;b&gt;&lt;i&gt;World Sculptor&lt;/i&gt;&lt;/b&gt;</t>
  </si>
  <si>
    <t xml:space="preserve">Whenever you spend weirdt, create a small pillar Hex1a in target empty hex.</t>
  </si>
  <si>
    <t xml:space="preserve">Hardy</t>
  </si>
  <si>
    <t xml:space="preserve">You can't be affected by the &lt;b&gt;Targeted Strike&lt;/b&gt; Critical effect.</t>
  </si>
  <si>
    <t xml:space="preserve">Heroic</t>
  </si>
  <si>
    <t xml:space="preserve">Your attacks have the Crit option
&lt;br /&gt;&lt;b&gt;Rally:&lt;/b&gt; You and one ally gain up to 1 temporary composure.</t>
  </si>
  <si>
    <t xml:space="preserve">I'm Normal</t>
  </si>
  <si>
    <t xml:space="preserve">&lt;b&gt;&lt;i&gt;Normality&lt;/i&gt;&lt;/b&gt;</t>
  </si>
  <si>
    <t xml:space="preserve">Replace your  &lt;span style="color:#3366cc"&gt;&lt;strong&gt;Weird&lt;/strong&gt;&lt;/span&gt; with &lt;span style="color:#d964d4"&gt;&lt;strong&gt;Normal&lt;/strong&gt;&lt;/span&gt;. You cannot spend weirdt any more.</t>
  </si>
  <si>
    <t xml:space="preserve">&lt;b&gt;What?:&lt;/b&gt; 1 &lt;span style="color:#d964d4"&gt;&lt;strong&gt;Normal&lt;/strong&gt;&lt;/span&gt;</t>
  </si>
  <si>
    <t xml:space="preserve">Ignore the effects of an ability with weirdt in its cost (even if no weirdT was spent).</t>
  </si>
  <si>
    <t xml:space="preserve">&lt;b&gt;Cup of Tea:&lt;/b&gt; 1 AP + 1 &lt;span style="color:#d964d4"&gt;&lt;strong&gt;Normal&lt;/strong&gt;&lt;/span&gt;</t>
  </si>
  <si>
    <t xml:space="preserve">Gain the &lt;b&gt;Well rested&lt;/b&gt; status effect.</t>
  </si>
  <si>
    <t xml:space="preserve">Kind</t>
  </si>
  <si>
    <t xml:space="preserve">&lt;b&gt;Alliance:&lt;/b&gt; 3 AP</t>
  </si>
  <si>
    <t xml:space="preserve">Declare target being your ally (if they consent), you both win if you are the only beings left in the room. You may only use this ability if 4 players are alive.</t>
  </si>
  <si>
    <t xml:space="preserve">&lt;b&gt;&lt;i&gt;No Stand-offs&lt;/b&gt;&lt;/i&gt;</t>
  </si>
  <si>
    <t xml:space="preserve">You may only use Kind in a 4 or more player game, if drawn in a 3 player game replace immediately.</t>
  </si>
  <si>
    <t xml:space="preserve">Liar</t>
  </si>
  <si>
    <t xml:space="preserve">chargeBIGchargeBIG</t>
  </si>
  <si>
    <t xml:space="preserve">&lt;b&gt;Change of Luck:&lt;/b&gt; chargeT</t>
  </si>
  <si>
    <t xml:space="preserve">After any die is rolled by any being you can see, you may force it to be re-rolled after seeing the result.</t>
  </si>
  <si>
    <t xml:space="preserve">Loot Goblin</t>
  </si>
  <si>
    <t xml:space="preserve">&lt;b&gt;&lt;i&gt;Magic Touch&lt;/i&gt;&lt;/b&gt;</t>
  </si>
  <si>
    <t xml:space="preserve">Your attacks have the Crit option
&lt;br /&gt;&lt;b&gt;Imbue:&lt;/b&gt; Gain the &lt;b&gt;Imbued&lt;/b&gt; status effect.</t>
  </si>
  <si>
    <t xml:space="preserve">&lt;b&gt;&lt;i&gt;Treasure!&lt;/b&gt;&lt;/i&gt;</t>
  </si>
  <si>
    <t xml:space="preserve">During map creation, search the boons deck for any card. You may place this on the map in addition to your allotted terrain cards.</t>
  </si>
  <si>
    <t xml:space="preserve">Lucky</t>
  </si>
  <si>
    <t xml:space="preserve">Whenever a 12 is rolled by any being during the game, replenish 1 spent stat token of your choice.</t>
  </si>
  <si>
    <t xml:space="preserve">Malevolent</t>
  </si>
  <si>
    <t xml:space="preserve">&lt;b&gt;&lt;i&gt;Twisted Kindness&lt;/b&gt;&lt;/i&gt;</t>
  </si>
  <si>
    <t xml:space="preserve">Whenever you would give another creature temporary composure, you may deal that much damage instead.</t>
  </si>
  <si>
    <t xml:space="preserve">&lt;b&gt;Cackle:&lt;/b&gt; WeirdT</t>
  </si>
  <si>
    <t xml:space="preserve">Give yourself and an ally up to 1 temporary composure.</t>
  </si>
  <si>
    <t xml:space="preserve">Melancholic</t>
  </si>
  <si>
    <t xml:space="preserve">&lt;b&gt;Apathy:&lt;/b&gt; WeirdT</t>
  </si>
  <si>
    <t xml:space="preserve">Put a counter on a limb of target being. The next time that limb deals damage, it deals 2 less. This doesn't stack.</t>
  </si>
  <si>
    <t xml:space="preserve">Morbid</t>
  </si>
  <si>
    <t xml:space="preserve">&lt;b&gt;&lt;i&gt;Fatebender&lt;/b&gt;&lt;/i&gt;</t>
  </si>
  <si>
    <t xml:space="preserve">At the stat of combat, gain the &lt;b&gt;Portent&lt;/b&gt; status effect.</t>
  </si>
  <si>
    <t xml:space="preserve">&lt;b&gt;&lt;i&gt;Uncanny&lt;/i&gt;&lt;/b&gt;</t>
  </si>
  <si>
    <t xml:space="preserve">At the beginning of combat secretly choose the next being to die and write it down. If you are correct, gain the &lt;b&gt;Portent&lt;/b&gt; status and repeat this ability.</t>
  </si>
  <si>
    <t xml:space="preserve">Musical</t>
  </si>
  <si>
    <t xml:space="preserve">&lt;b&gt;Rally Song:&lt;/b&gt; 2 AP or weirdT</t>
  </si>
  <si>
    <t xml:space="preserve">You and any number of target allies gain up to 3 temporary composure.</t>
  </si>
  <si>
    <t xml:space="preserve">Negotiator</t>
  </si>
  <si>
    <t xml:space="preserve">&lt;b&gt;Pact:&lt;/b&gt; 1 AP + WeirdT</t>
  </si>
  <si>
    <t xml:space="preserve">Offer a deal to a player. If they accept they gain one temporary stat token.
&lt;br /&gt;If they then break the deal, they take 8 damage.
&lt;br /&gt;If they reject the deal, you gain the temporary stat token.</t>
  </si>
  <si>
    <t xml:space="preserve">Nimble</t>
  </si>
  <si>
    <t xml:space="preserve">&lt;b&gt;Dash:&lt;/b&gt; jazzt</t>
  </si>
  <si>
    <t xml:space="preserve">Take a move action.</t>
  </si>
  <si>
    <t xml:space="preserve">Obscene</t>
  </si>
  <si>
    <t xml:space="preserve">&lt;b&gt;Slander:&lt;/b&gt; 1AP + WeirdT</t>
  </si>
  <si>
    <t xml:space="preserve">Mark a target, your attacks against marked target deal +1 damage.</t>
  </si>
  <si>
    <t xml:space="preserve">&lt;b&gt;&lt;i&gt;Vulgarity&lt;/i&gt;&lt;/b&gt;</t>
  </si>
  <si>
    <t xml:space="preserve">Whenever you spend a weirdt, all marked targets lose 1 composure, down to a minimum of 1.</t>
  </si>
  <si>
    <t xml:space="preserve">Pathetic</t>
  </si>
  <si>
    <t xml:space="preserve">When you take the &lt;b&gt;Cower&lt;/b&gt; reaction, you can reduce damage taken by 2 instead of 1.</t>
  </si>
  <si>
    <t xml:space="preserve">Patient</t>
  </si>
  <si>
    <t xml:space="preserve">&lt;b&gt;&lt;i&gt;Inhale&lt;br /&gt;&lt;/i&gt;&lt;/b&gt;</t>
  </si>
  <si>
    <t xml:space="preserve">At the end of your turn, for each unspent action point add charget to this card, up to max of your &lt;span style="color: #1563da;"&gt;Weird&lt;/span&gt;.</t>
  </si>
  <si>
    <t xml:space="preserve">&lt;b&gt;Exhale:&lt;/b&gt; Remove all charget</t>
  </si>
  <si>
    <t xml:space="preserve">Gain 1 AP for each charget removed. This turn inhale won't trigger.</t>
  </si>
  <si>
    <t xml:space="preserve">Protector</t>
  </si>
  <si>
    <t xml:space="preserve">&lt;b&gt;Good Clay:&lt;/b&gt; weirdtweirdt or 2 AP + weirdT</t>
  </si>
  <si>
    <t xml:space="preserve">You and up to 1 adjacent being restore 1 wound.</t>
  </si>
  <si>
    <t xml:space="preserve">&lt;b&gt;&lt;i&gt;Aura of Earth&lt;/i&gt;&lt;/b&gt;</t>
  </si>
  <si>
    <t xml:space="preserve">Whenever you spend weirdt, you and up to 1 target ally gain up to 1 temporary composure.</t>
  </si>
  <si>
    <t xml:space="preserve">Relentless</t>
  </si>
  <si>
    <t xml:space="preserve">&lt;b&gt;&lt;i&gt;Relish in battle&lt;/i&gt;&lt;/b&gt;</t>
  </si>
  <si>
    <t xml:space="preserve">Whenever you Critically hit, restore 2 composure or gain up to 2 temporary composure.</t>
  </si>
  <si>
    <t xml:space="preserve">&lt;b&gt;Double Down:&lt;/b&gt; jazzTjazzT</t>
  </si>
  <si>
    <t xml:space="preserve">Re-roll an attack roll you have made.</t>
  </si>
  <si>
    <t xml:space="preserve">Restless</t>
  </si>
  <si>
    <t xml:space="preserve">When you take the &lt;b&gt;Reposition&lt;/b&gt; reaction you can move your speed instead of 1 hex.</t>
  </si>
  <si>
    <t xml:space="preserve">Sly</t>
  </si>
  <si>
    <t xml:space="preserve">&lt;b&gt;Billowing Dark:&lt;/b&gt; 1 AP + weirdT</t>
  </si>
  <si>
    <t xml:space="preserve">Create a 3 hex area of darkness Hex1b
&lt;br /&gt;This blocks line of sight. Melee attacks against beings inside darkness will only hit on a 7 or higher and miss otherwise, they only Crit on a 12.</t>
  </si>
  <si>
    <t xml:space="preserve">&lt;b&gt;&lt;i&gt;Creature of the Shadows&lt;/i&gt;&lt;/b&gt;</t>
  </si>
  <si>
    <t xml:space="preserve">Terrain that does not block movement does not block your line of sight.</t>
  </si>
  <si>
    <t xml:space="preserve">Spiteful</t>
  </si>
  <si>
    <t xml:space="preserve">Your attacks deal bonus damage equal to the number of &lt;span style="color: #1563da;"&gt;Weird&lt;/span&gt; wounds you have.</t>
  </si>
  <si>
    <t xml:space="preserve">Stalwart</t>
  </si>
  <si>
    <t xml:space="preserve">&lt;b&gt;Protect:&lt;/b&gt; FleshT or WeirdT</t>
  </si>
  <si>
    <t xml:space="preserve">When target ally takes damage, reduce that damage by 2. Activate only once per instance of damage.</t>
  </si>
  <si>
    <t xml:space="preserve">Stoic</t>
  </si>
  <si>
    <t xml:space="preserve">&lt;b&gt;Unfazed:&lt;/b&gt; WeirdT</t>
  </si>
  <si>
    <t xml:space="preserve">When you would take a status effect (except &lt;b&gt;Exhausted&lt;/b&gt;), ignore it instead.</t>
  </si>
  <si>
    <t xml:space="preserve">Strange</t>
  </si>
  <si>
    <t xml:space="preserve">&lt;b&gt;Secret Technique:&lt;/b&gt; 1AP or weirdT</t>
  </si>
  <si>
    <t xml:space="preserve">Add your &lt;span style="color: #1563da;"&gt;Weird&lt;/span&gt; to the range of your next melee attack this turn.</t>
  </si>
  <si>
    <t xml:space="preserve">&lt;b&gt;&lt;i&gt;Pressure Points&lt;/b&gt;&lt;/i&gt;</t>
  </si>
  <si>
    <t xml:space="preserve">Your attacks have the Crit option
&lt;br /&gt;&lt;b&gt;Puppeteer:&lt;/b&gt; Move the target 2 hexes in any direction.</t>
  </si>
  <si>
    <t xml:space="preserve">Strong Heartbeat</t>
  </si>
  <si>
    <t xml:space="preserve">Whenever you would heal or refresh a token, heal or refresh one more. </t>
  </si>
  <si>
    <t xml:space="preserve">Treacherous</t>
  </si>
  <si>
    <t xml:space="preserve">&lt;b&gt;Snigger:&lt;/b&gt; WeirdT or &lt;b&gt;Exhasusted&lt;/b&gt;</t>
  </si>
  <si>
    <t xml:space="preserve">When you see a being take damage from a source other than you, you may increase that damage by 2. This does not stack.</t>
  </si>
  <si>
    <t xml:space="preserve">&lt;b&gt;&lt;i&gt;Minion&lt;/b&gt;&lt;/i&gt;</t>
  </si>
  <si>
    <t xml:space="preserve">The boss does not consider you a target unless you are the last alive.</t>
  </si>
  <si>
    <t xml:space="preserve">Trickster</t>
  </si>
  <si>
    <t xml:space="preserve">&lt;b&gt;Switcheroo:&lt;/b&gt; 1 AP + weirdT</t>
  </si>
  <si>
    <t xml:space="preserve">After taking damage, you may activate this to swap places with any being.</t>
  </si>
  <si>
    <t xml:space="preserve">Wanderer</t>
  </si>
  <si>
    <t xml:space="preserve">&lt;b&gt;Push Through Pain:&lt;/b&gt; JazzTFleshTweirdT</t>
  </si>
  <si>
    <t xml:space="preserve">When you are non-lethally wounded, you may ignore the wound.</t>
  </si>
  <si>
    <t xml:space="preserve">&lt;b&gt;&lt;i&gt;Sure Footed&lt;/i&gt;&lt;/b&gt;</t>
  </si>
  <si>
    <t xml:space="preserve">Effects from enemy abilities and terrain cannot reduce your movement speed. </t>
  </si>
  <si>
    <t xml:space="preserve">Wilful</t>
  </si>
  <si>
    <t xml:space="preserve">&lt;b&gt;Overexert:&lt;/b&gt; Gain &lt;b&gt;Exhausted&lt;/b&gt;</t>
  </si>
  <si>
    <t xml:space="preserve">Gain the &lt;b&gt;Well Rested&lt;/b&gt; status effect.</t>
  </si>
  <si>
    <t xml:space="preserve">Baleful Eye</t>
  </si>
  <si>
    <t xml:space="preserve">Limb</t>
  </si>
  <si>
    <t xml:space="preserve">&lt;b&gt;Rancor:&lt;/b&gt; 2 AP + weirdTJazzT</t>
  </si>
  <si>
    <t xml:space="preserve">Mark a target as your hated target. You can only have one target at a time.</t>
  </si>
  <si>
    <t xml:space="preserve">&lt;b&gt;Scorn:&lt;/b&gt; 2 AP</t>
  </si>
  <si>
    <t xml:space="preserve">&lt;b&gt;Damage = 4, Ranged&lt;/b&gt;
&lt;br /&gt;This attack can only target your hated target.</t>
  </si>
  <si>
    <t xml:space="preserve">Crit</t>
  </si>
  <si>
    <t xml:space="preserve">&lt;center&gt;Critical Options&lt;/center&gt;</t>
  </si>
  <si>
    <t xml:space="preserve">&lt;b&gt;Omen:&lt;/b&gt; inflict the &lt;b&gt;Cursed&lt;/b&gt; status effect.</t>
  </si>
  <si>
    <t xml:space="preserve">Bladed Fingers</t>
  </si>
  <si>
    <t xml:space="preserve">&lt;b&gt;1000 Cuts:&lt;/b&gt; 2 AP</t>
  </si>
  <si>
    <t xml:space="preserve">&lt;b&gt;Damage = 3, Close&lt;/b&gt;</t>
  </si>
  <si>
    <t xml:space="preserve">&lt;b&gt;Flurry:&lt;/b&gt; Your next attack costs 1 less AP.
&lt;br /&gt;&lt;b&gt;Strike:&lt;/b&gt; +1 Damage.</t>
  </si>
  <si>
    <t xml:space="preserve">Chalk Vein</t>
  </si>
  <si>
    <t xml:space="preserve">&lt;b&gt;Create Sigil:&lt;/b&gt; 1 AP</t>
  </si>
  <si>
    <t xml:space="preserve">Draw a sigil on an adjacent tile. You may have a maximum of 3 sigils. Other players may spend 3AP to destroy an adjacent sigil</t>
  </si>
  <si>
    <t xml:space="preserve">&lt;b&gt;Siphon:&lt;/b&gt; 2 AP + weirdT</t>
  </si>
  <si>
    <t xml:space="preserve">If there are 3 sigils, deal a random wound to all creatures within the triangle of sigils (edges count). Heal a wound of your choice.</t>
  </si>
  <si>
    <t xml:space="preserve">Cicada Wings</t>
  </si>
  <si>
    <t xml:space="preserve">&lt;b&gt;Fly:&lt;/b&gt; 2 AP or weirdT</t>
  </si>
  <si>
    <t xml:space="preserve">Make a move action with + 1 speed, ignore terrain during this move (within reason).</t>
  </si>
  <si>
    <t xml:space="preserve">&lt;b&gt;Chirp Tune:&lt;/b&gt; 3 AP</t>
  </si>
  <si>
    <t xml:space="preserve">You and any number of target allies each gain up to 3 temporary composure.</t>
  </si>
  <si>
    <t xml:space="preserve">Clay Exuder</t>
  </si>
  <si>
    <t xml:space="preserve">&lt;b&gt;Coat in Clay:&lt;/b&gt; 1 AP + weirdT</t>
  </si>
  <si>
    <t xml:space="preserve">A target gains up to 4 temporary composure and -2 speed until the end of their next turn.</t>
  </si>
  <si>
    <t xml:space="preserve">&lt;b&gt;&lt;i&gt;Spreading Clay&lt;/i&gt;&lt;/b&gt;</t>
  </si>
  <si>
    <t xml:space="preserve">Whenever you spend weirdt, gain up to 1 temporary composure.</t>
  </si>
  <si>
    <t xml:space="preserve">Clayling</t>
  </si>
  <si>
    <t xml:space="preserve">&lt;b&gt;Flail:&lt;/b&gt; Automatic</t>
  </si>
  <si>
    <t xml:space="preserve">&lt;b&gt;Damage = 4, Close&lt;/b&gt;</t>
  </si>
  <si>
    <t xml:space="preserve">&lt;b&gt;&lt;i&gt;Autonomous Limb&lt;/i&gt;&lt;/b&gt;</t>
  </si>
  <si>
    <t xml:space="preserve">At the end of your turn, this limb uses &lt;b&gt;Flail&lt;/b&gt; for free, it will target you if there are no other targets available.</t>
  </si>
  <si>
    <t xml:space="preserve">Cloven Hoof</t>
  </si>
  <si>
    <t xml:space="preserve">&lt;b&gt;Back-kick:&lt;/b&gt; 2 AP</t>
  </si>
  <si>
    <t xml:space="preserve">&lt;b&gt;Dash:&lt;/b&gt; Take a move action.
&lt;br /&gt;&lt;b&gt;Mighty Shove:&lt;/b&gt; Push the target 2 hexes.</t>
  </si>
  <si>
    <t xml:space="preserve">Crackling Geode</t>
  </si>
  <si>
    <t xml:space="preserve">&lt;b&gt;Shock:&lt;/b&gt; 2 AP</t>
  </si>
  <si>
    <t xml:space="preserve">&lt;b&gt;Damage = 1, Reach&lt;/b&gt;
&lt;br /&gt;This damage cannot be reduced.</t>
  </si>
  <si>
    <t xml:space="preserve">&lt;b&gt;&lt;i&gt;Sparks&lt;/i&gt;&lt;/b&gt;</t>
  </si>
  <si>
    <t xml:space="preserve">Whenever you spend weirdt, deal 1 damage to any target. This damage cannot be reduced.</t>
  </si>
  <si>
    <t xml:space="preserve">Crystal of the Deep</t>
  </si>
  <si>
    <t xml:space="preserve">&lt;b&gt;Embed:&lt;/b &gt; weirdT</t>
  </si>
  <si>
    <t xml:space="preserve">Place a 1 hex crystal on an adjacent hex. The crystal breaks if it takes damage.</t>
  </si>
  <si>
    <t xml:space="preserve">&lt;b&gt;&lt;i&gt;Radiance&lt;/b&gt;&lt;/i&gt;</t>
  </si>
  <si>
    <t xml:space="preserve">At the end of your turn, if you are adjacent to a crystal, choose one of the following status effects to gain:
&lt;br /&gt;&lt;b&gt;Monstrous, Well Rested, Imbued&lt;/b&gt;.</t>
  </si>
  <si>
    <t xml:space="preserve">Dolem Piston</t>
  </si>
  <si>
    <t xml:space="preserve">&lt;b&gt;Smash:&lt;/b&gt; 2 AP + 3 Composure</t>
  </si>
  <si>
    <t xml:space="preserve">&lt;b&gt;Damage = 5, Close&lt;/b&gt;</t>
  </si>
  <si>
    <t xml:space="preserve">&lt;b&gt;Drive-Power:&lt;/b&gt; weirdt</t>
  </si>
  <si>
    <t xml:space="preserve">Add +1 damage and +1 range to attacks this turn. Use only once each turn.</t>
  </si>
  <si>
    <t xml:space="preserve">Doomtouch</t>
  </si>
  <si>
    <t xml:space="preserve">&lt;b&gt;Thwack:&lt;/b&gt; 1 AP</t>
  </si>
  <si>
    <t xml:space="preserve">&lt;b&gt;Damage = 1, Close&lt;/b&gt;</t>
  </si>
  <si>
    <t xml:space="preserve">&lt;b&gt;Smear:&lt;/b&gt; 2 AP + weirdTweirdT</t>
  </si>
  <si>
    <t xml:space="preserve">Inflict the &lt;b&gt;Cursed&lt;/b&gt; status effect on a target in Melee.</t>
  </si>
  <si>
    <t xml:space="preserve">&lt;b&gt;Omen:&lt;/b&gt; Inflict the &lt;b&gt;Cursed&lt;/b&gt; status effect.</t>
  </si>
  <si>
    <t xml:space="preserve">Enflamed Lash</t>
  </si>
  <si>
    <t xml:space="preserve">&lt;b&gt;Flay:&lt;/b&gt; 2 AP</t>
  </si>
  <si>
    <t xml:space="preserve">&lt;b&gt;Stoke the Flames:&lt;/b&gt; WeirdT</t>
  </si>
  <si>
    <t xml:space="preserve">Your attacks this turn inflict the &lt;b&gt;Burning&lt;/b&gt; status effect on a hit and have + 1 range.</t>
  </si>
  <si>
    <t xml:space="preserve">&lt;b&gt;Burn:&lt;/b&gt; Inflict the &lt;b&gt;Burning&lt;/b&gt; status effect.</t>
  </si>
  <si>
    <t xml:space="preserve">Engraved Slab</t>
  </si>
  <si>
    <t xml:space="preserve">&lt;b&gt;Read the Runes:&lt;/b weirdT</t>
  </si>
  <si>
    <t xml:space="preserve">Target being has half speed until the start of you next turn. (Each hex costs 2 move points)</t>
  </si>
  <si>
    <t xml:space="preserve">&lt;B&gt;Slam:&lt;/b&gt; 4 AP</t>
  </si>
  <si>
    <t xml:space="preserve">&lt;b&gt;Damage = 8, Close&lt;/b&gt;</t>
  </si>
  <si>
    <t xml:space="preserve">Explosive Lesion</t>
  </si>
  <si>
    <t xml:space="preserve">&lt;b&gt;Burst Block:&lt;/b&gt; Destroy this card</t>
  </si>
  <si>
    <t xml:space="preserve">Completely block an incoming attack and deal 5 damage to all adjacent beings.</t>
  </si>
  <si>
    <t xml:space="preserve">Explosive Polyps</t>
  </si>
  <si>
    <t xml:space="preserve">&lt;b&gt;Lay Egg:&lt;/b&gt; 1 AP + (chargeT or  weirdT)</t>
  </si>
  <si>
    <t xml:space="preserve">Place an explosive egg on an adjacent hex.</t>
  </si>
  <si>
    <t xml:space="preserve">&lt;b&gt;Detonate: Exhaust&lt;/b&gt;</t>
  </si>
  <si>
    <t xml:space="preserve">All eggs on the map explode, adjacent beings take 5 damage and terrain is destroyed, including walls.</t>
  </si>
  <si>
    <t xml:space="preserve">Granite Fists</t>
  </si>
  <si>
    <t xml:space="preserve">&lt;b&gt;Crush:&lt;/b&gt; 4 AP or (2 AP + fleshTfleshT)</t>
  </si>
  <si>
    <t xml:space="preserve">&lt;b&gt;Concuss:&lt;/b&gt; Inflict the &lt;b&gt;Stunned&lt;/b&gt; status effect.</t>
  </si>
  <si>
    <t xml:space="preserve">Grasp of Mud</t>
  </si>
  <si>
    <t xml:space="preserve">&lt;b&gt;Bludgeon:&lt;/b&gt; 3 AP</t>
  </si>
  <si>
    <t xml:space="preserve">&lt;b&gt;Damage = 6, Close&lt;/b&gt;</t>
  </si>
  <si>
    <t xml:space="preserve">&lt;b&gt;Whelm:&lt;/b&gt; 1 AP + weirdT</t>
  </si>
  <si>
    <t xml:space="preserve">&lt;b&gt;Damage = 3, Close&lt;/b&gt;
&lt;br /&gt;Inflicts the &lt;b&gt;Entangled&lt;/b&gt; status effect on a hit.</t>
  </si>
  <si>
    <t xml:space="preserve">Hammer and Chisel</t>
  </si>
  <si>
    <t xml:space="preserve">&lt;b&gt;Vandalise:&lt;/b&gt; 2 AP</t>
  </si>
  <si>
    <t xml:space="preserve">&lt;b&gt;Damage = 2, Close&lt;/b&gt;
&lt;br /&gt;On a hit, you may destroy this card to destroy any equipped Limb or Impression from the target.</t>
  </si>
  <si>
    <t xml:space="preserve">Horns</t>
  </si>
  <si>
    <t xml:space="preserve">&lt;b&gt;Charge!:&lt;/b&gt; 2 AP</t>
  </si>
  <si>
    <t xml:space="preserve">&lt;b&gt;Damage = hexes moved, Close&lt;/b&gt;
&lt;br /&gt;Charge any number of hexes in a straight line as part of making the attack.&lt;br /&gt; hornshexes</t>
  </si>
  <si>
    <t xml:space="preserve">&lt;b&gt; Shove:&lt;/b&gt;  1 AP + fleshT</t>
  </si>
  <si>
    <t xml:space="preserve">&lt;b&gt;Damage = 2, Close&lt;/b&gt;
&lt;br /&gt;On a hit, the target is pushed back hexes equal to your &lt;span style="color:#e74c3c"&gt;&lt;strong&gt;Flesh&lt;/strong&gt;&lt;/span&gt;.</t>
  </si>
  <si>
    <t xml:space="preserve">Humming Moonstone</t>
  </si>
  <si>
    <t xml:space="preserve">&lt;b&gt;Crush:&lt;/b&gt; 3 AP</t>
  </si>
  <si>
    <t xml:space="preserve">&lt;b&gt;Reverberate:&lt;/b&gt; 1 AP or weirdT</t>
  </si>
  <si>
    <t xml:space="preserve">You and any number of target allies gain the &lt;b&gt;Monstrous&lt;/b&gt; status effect.</t>
  </si>
  <si>
    <t xml:space="preserve">Hungering Hand</t>
  </si>
  <si>
    <t xml:space="preserve">&lt;b&gt;Bite:&lt;/b&gt; 2 AP</t>
  </si>
  <si>
    <t xml:space="preserve">&lt;b&gt;Phage:&lt;/b&gt; 2 AP</t>
  </si>
  <si>
    <t xml:space="preserve">&lt;b&gt;Damage = 7, Ranged&lt;/b&gt;
&lt;br /&gt;Throw this limb at your target as part of the attack, regardless of attack outcome, they now have Hungering Hand equipped .</t>
  </si>
  <si>
    <t xml:space="preserve">Lanceflower Bloom</t>
  </si>
  <si>
    <t xml:space="preserve">&lt;b&gt;Impale:&lt;/b&gt; 2 AP</t>
  </si>
  <si>
    <t xml:space="preserve">&lt;b&gt;Damage = 4, Reach&lt;/b&gt;</t>
  </si>
  <si>
    <t xml:space="preserve">&lt;b&gt;Bloom:&lt;/b&gt;  WeirdT</t>
  </si>
  <si>
    <t xml:space="preserve">Competely ignore damage from falling.</t>
  </si>
  <si>
    <t xml:space="preserve">Lithium Geode</t>
  </si>
  <si>
    <t xml:space="preserve">ChargeBIGchargebigchargebig</t>
  </si>
  <si>
    <t xml:space="preserve">&lt;b&gt;Splinter Trail:&lt;/b&gt; 1 AP + (chargeT or weirdT)</t>
  </si>
  <si>
    <t xml:space="preserve">For the rest of your turn, leave a conductive trail behind in any hex you move out of.</t>
  </si>
  <si>
    <t xml:space="preserve">&lt;b&gt;Electrify:&lt;/b&gt; 2 AP</t>
  </si>
  <si>
    <t xml:space="preserve">Electrify an adjacent hex and all connected conductive hexes. All beings electrified take 3 damage. This damage cannot be reduced. Hexes with water are also conductive.</t>
  </si>
  <si>
    <t xml:space="preserve">Locked Scream Mouth</t>
  </si>
  <si>
    <t xml:space="preserve">&lt;b&gt;Headbutt:&lt;/b&gt; 2 AP</t>
  </si>
  <si>
    <t xml:space="preserve">&lt;b&gt;&lt;i&gt;Release&lt;/i&gt;&lt;/b&gt;</t>
  </si>
  <si>
    <t xml:space="preserve">When you hit with this limb, you may spend flesht as though it were weirdt until the end of your turn.</t>
  </si>
  <si>
    <t xml:space="preserve">Mandibles</t>
  </si>
  <si>
    <t xml:space="preserve">&lt;b&gt;Gnaw:&lt;/b&gt; 1 AP</t>
  </si>
  <si>
    <t xml:space="preserve">&lt;b&gt;Damage = 1, Close&lt;/b&gt;
&lt;br /&gt;This attack always hits, do not roll.</t>
  </si>
  <si>
    <t xml:space="preserve">&lt;b&gt;&lt;i&gt;Snack&lt;/i&gt;&lt;/b&gt;</t>
  </si>
  <si>
    <t xml:space="preserve">Whenever you inflict a wound with Mandibles, refresh a spent token of the same type as the wound</t>
  </si>
  <si>
    <t xml:space="preserve">Mantid Scythe</t>
  </si>
  <si>
    <t xml:space="preserve">&lt;b&gt;Nasty Stab:&lt;/b&gt; 3 AP</t>
  </si>
  <si>
    <t xml:space="preserve">&lt;b&gt;Armour Piercing:&lt;/b&gt; Ignore damage reduction effects.</t>
  </si>
  <si>
    <t xml:space="preserve">Monolith of Pain</t>
  </si>
  <si>
    <t xml:space="preserve">&lt;b&gt;Salt the Wound:&lt;/b&gt; weirdT</t>
  </si>
  <si>
    <t xml:space="preserve">Whenever an adjacent creature takes a wound, you may activate this and inflict the &lt;b&gt;Stunned&lt;/b&gt; status effect on them.</t>
  </si>
  <si>
    <t xml:space="preserve">&lt;b&gt;&lt;i&gt;Fuelled by Pain&lt;/i&gt;&lt;/b&gt;</t>
  </si>
  <si>
    <t xml:space="preserve">Whenever you suffer a wound, gain the &lt;b&gt;Well Rested&lt;/b&gt; status effect.</t>
  </si>
  <si>
    <t xml:space="preserve">Needle Mouthed</t>
  </si>
  <si>
    <t xml:space="preserve">&lt;b&gt;Nip:&lt;/b&gt; 2 AP</t>
  </si>
  <si>
    <t xml:space="preserve">&lt;b&gt;&lt;i&gt;Precise&lt;/b&gt;&lt;/i&gt;</t>
  </si>
  <si>
    <t xml:space="preserve">Wounds inflicted by this limb's attacks always target the stat of your choice.</t>
  </si>
  <si>
    <t xml:space="preserve">&lt;b&gt;Strike:&lt;/b&gt; +1 damage.</t>
  </si>
  <si>
    <t xml:space="preserve">Noxious Trunk</t>
  </si>
  <si>
    <t xml:space="preserve">&lt;b&gt;Corrosive Spit:&lt;/b&gt; 2 AP + weirdT</t>
  </si>
  <si>
    <t xml:space="preserve">&lt;b&gt;Damage = 4, Ranged&lt;/b&gt;
&lt;br /&gt;Ignores damage reduction effects.</t>
  </si>
  <si>
    <t xml:space="preserve">Oversized Claw</t>
  </si>
  <si>
    <t xml:space="preserve">&lt;b&gt;Snap:&lt;/b&gt; 3 AP + &lt;b&gt;Exhaust&lt;/b&gt;</t>
  </si>
  <si>
    <t xml:space="preserve">&lt;b&gt;Damage = 6, Reach&lt;/b&gt;</t>
  </si>
  <si>
    <t xml:space="preserve">Painted Slab</t>
  </si>
  <si>
    <t xml:space="preserve">&lt;b&gt;Slam:&lt;/b&gt; 4 AP</t>
  </si>
  <si>
    <t xml:space="preserve">&lt;b&gt;Wall of Splendour:&lt;/b&gt; 1 AP</t>
  </si>
  <si>
    <t xml:space="preserve">Place the slab down on an adjacent hex. It extends straight on each side to become a three hex wall, if there is space. This wall blocks vision and is indestructible.</t>
  </si>
  <si>
    <t xml:space="preserve">&lt;b&gt;Reclaim:&lt;/b&gt; 3 AP or fleshtfleshtfleshT</t>
  </si>
  <si>
    <t xml:space="preserve">Pick up a deployed painted slab, any adjacent being can do this.</t>
  </si>
  <si>
    <t xml:space="preserve">Pincer Grips</t>
  </si>
  <si>
    <t xml:space="preserve">&lt;b&gt;Damage = &lt;span style="color:#e74c3c"&gt;Flesh&lt;/span&gt;, Close&lt;/b&gt;</t>
  </si>
  <si>
    <t xml:space="preserve">&lt;b&gt;Restrain:&lt;/b&gt; Inflict the &lt;b&gt;Entangled&lt;/b&gt; status effect.</t>
  </si>
  <si>
    <t xml:space="preserve">Projectile Spines</t>
  </si>
  <si>
    <t xml:space="preserve">&lt;b&gt;Volley:&lt;/b&gt; 2 AP</t>
  </si>
  <si>
    <t xml:space="preserve">&lt;b&gt;Damage = 4, Ranged&lt;/b&gt;
&lt;br /&gt;You take 1 damage when you use this attack, this damage cannot be reduced.</t>
  </si>
  <si>
    <t xml:space="preserve">Pulsing Heartstone</t>
  </si>
  <si>
    <t xml:space="preserve">&lt;b&gt;Embed:&lt;/b&gt; weirdt</t>
  </si>
  <si>
    <t xml:space="preserve">Place a 1 hex sized heartstone on an adjacent hex. It will break if it takes damage.</t>
  </si>
  <si>
    <t xml:space="preserve">&lt;b&gt;&lt;i&gt;Living Rhythm&lt;/i&gt;&lt;/b&gt;</t>
  </si>
  <si>
    <t xml:space="preserve">While there is at least 1 heartstone on the map, you gain up to 3 temporary composure at the end of your turn.</t>
  </si>
  <si>
    <t xml:space="preserve">Quartz Seed</t>
  </si>
  <si>
    <t xml:space="preserve">chargebigchargebig</t>
  </si>
  <si>
    <t xml:space="preserve">&lt;b&gt;Sprout Spire:&lt;/b&gt; 2 AP + (weirdt or charget)</t>
  </si>
  <si>
    <t xml:space="preserve">Place a &lt;b&gt;crystal spire&lt;/b&gt; on an adjacent hex, it has a two hex radius aura, blocks line of sight, and is &lt;b&gt;destructible&lt;/b&gt;.
&lt;br /&gt;Whiskey_Xplo</t>
  </si>
  <si>
    <t xml:space="preserve">Other beings that start their turn inside a &lt;b&gt;crystal spire&lt;/b&gt; aura or enter it take 3 damage.</t>
  </si>
  <si>
    <t xml:space="preserve">Rock Pouch</t>
  </si>
  <si>
    <t xml:space="preserve">&lt;b&gt;Throw:&lt;/b&gt; 1 AP + charget</t>
  </si>
  <si>
    <t xml:space="preserve">&lt;b&gt;Damage = &lt;span style="color:#e74c3c"&gt;&lt;strong&gt;Flesh&lt;/strong&gt;&lt;/span&gt;, Ranged&lt;/b&gt;</t>
  </si>
  <si>
    <t xml:space="preserve">&lt;b&gt;Rummage:&lt;/b&gt; 3 AP + fleshT</t>
  </si>
  <si>
    <t xml:space="preserve">Recharge this item.</t>
  </si>
  <si>
    <t xml:space="preserve">Shovelling Talons</t>
  </si>
  <si>
    <t xml:space="preserve">&lt;b&gt;Thump:&lt;/b&gt; 2 AP</t>
  </si>
  <si>
    <t xml:space="preserve">&lt;b&gt;Dig:&lt;/b&gt; 1 AP or fleshT</t>
  </si>
  <si>
    <t xml:space="preserve">Clear an adjacent hex of any terrain. This can cause beings to fall if they were on top of it.</t>
  </si>
  <si>
    <t xml:space="preserve">Sinuous Lash</t>
  </si>
  <si>
    <t xml:space="preserve">&lt;b&gt;Yoink:&lt;/b&gt; 1 AP</t>
  </si>
  <si>
    <t xml:space="preserve">&lt;b&gt;Damage = 0, Ranged&lt;/b&gt;
&lt;br /&gt;Pull the target to an adjacent hex on a hit</t>
  </si>
  <si>
    <t xml:space="preserve">&lt;b&gt;Entangle:&lt;/b&gt; Inflict the &lt;b&gt;Entangled&lt;/b&gt; status effect.</t>
  </si>
  <si>
    <t xml:space="preserve">Slime Shooter</t>
  </si>
  <si>
    <t xml:space="preserve">&lt;b&gt;Slime Glob: 2 AP</t>
  </si>
  <si>
    <t xml:space="preserve">&lt;b&gt;Damage = 2, Reach&lt;/b&gt;
&lt;br /&gt;Inflicts the &lt;b&gt;Entangled&lt;/b&gt; status effect on a hit.</t>
  </si>
  <si>
    <t xml:space="preserve">&lt;b&gt;&lt;i&gt;Secretions&lt;/b&gt;&lt;/i&gt;   </t>
  </si>
  <si>
    <t xml:space="preserve">When you take a move action, you may spend weirdt to leave a trail of goo in all hexes moved out of. Moving through this goo costs 2 hexes of movement per hex.</t>
  </si>
  <si>
    <t xml:space="preserve">Sneak Spurs</t>
  </si>
  <si>
    <t xml:space="preserve">&lt;b&gt;Ping!:&lt;/b&gt; 1 AP</t>
  </si>
  <si>
    <t xml:space="preserve">&lt;b&gt;Damage = 1, Reach&lt;/b&gt;</t>
  </si>
  <si>
    <t xml:space="preserve">&lt;b&gt;Dash:&lt;/b&gt; Take a move action for free.
&lt;br /&gt;&lt;b&gt;Brutal Strike:&lt;/b&gt; +2 damage.</t>
  </si>
  <si>
    <t xml:space="preserve">Stalagmite</t>
  </si>
  <si>
    <t xml:space="preserve">&lt;b&gt;Prod:&lt;/b&gt; 2 AP</t>
  </si>
  <si>
    <t xml:space="preserve">&lt;b&gt;Damage = 4, Reach&lt;/b&gt;
&lt;br /&gt;This can only target non-adjacent beings.</t>
  </si>
  <si>
    <t xml:space="preserve">Steam Vent</t>
  </si>
  <si>
    <t xml:space="preserve">&lt;b&gt;Geyser:&lt;/b&gt; 2 AP</t>
  </si>
  <si>
    <t xml:space="preserve">&lt;b&gt;Damage = 2, Reach&lt;/b&gt;
&lt;br /&gt;On a hit, remove all &lt;b&gt;temporary composure&lt;/b&gt; from the target before dealing damage.</t>
  </si>
  <si>
    <t xml:space="preserve">&lt;b&gt;Armour Piercing:&lt;/b&gt; Damage from this attack cannot be reduced.</t>
  </si>
  <si>
    <t xml:space="preserve">Stone-Swivel Hinge</t>
  </si>
  <si>
    <t xml:space="preserve">&lt;b&gt;Smash:&lt;/b&gt; 3 AP + comptcompt</t>
  </si>
  <si>
    <t xml:space="preserve">&lt;b&gt;Damage = 7, Reach&lt;/b&gt;</t>
  </si>
  <si>
    <t xml:space="preserve">Storm Conduit</t>
  </si>
  <si>
    <t xml:space="preserve">&lt;b&gt;Channel Storm:&lt;/b&gt; 2AP + weirdT</t>
  </si>
  <si>
    <t xml:space="preserve">Create a 1 hex storm cloud at target empty hex.</t>
  </si>
  <si>
    <t xml:space="preserve">&lt;b&gt;&lt;i&gt;Growing Storm&lt;/i&gt;&lt;/b&gt;</t>
  </si>
  <si>
    <t xml:space="preserve">At the start of your turn, each storm cloud grows by one hex in all direction</t>
  </si>
  <si>
    <t xml:space="preserve">&lt;B&gt;&lt;i&gt;Electrified&lt;/b&gt;&lt;/i&gt;</t>
  </si>
  <si>
    <t xml:space="preserve">Whenever you spend weirdT, all beings underneath a storm cloud take 4 damage. This damage cannot be reduced.</t>
  </si>
  <si>
    <t xml:space="preserve">Thermal Funnel</t>
  </si>
  <si>
    <t xml:space="preserve">&lt;b&gt;Flameball:&lt;/b&gt; 3 AP</t>
  </si>
  <si>
    <t xml:space="preserve">&lt;b&gt;Damage = 5, Ranged&lt;/b&gt;
&lt;br /&gt;On a hit, inflict the &lt;b&gt;burning&lt;/b&gt; status effect.
&lt;br /&gt;On a miss, inflict the &lt;b&gt;burning&lt;/b&gt; status effect on you.</t>
  </si>
  <si>
    <t xml:space="preserve">Torsion Ribs</t>
  </si>
  <si>
    <t xml:space="preserve">&lt;b&gt;Winch:&lt;/b&gt; 1 AP</t>
  </si>
  <si>
    <t xml:space="preserve">Add chargeT to this card. Activate only once each turn.</t>
  </si>
  <si>
    <t xml:space="preserve">&lt;b&gt;Release:&lt;/b&gt; 5 x chargeT</t>
  </si>
  <si>
    <t xml:space="preserve">Automatically activates upon reaching 5 charget.
&lt;br /&gt;Deal 8 damage to all beings in a straight line from you. No attack roll required.</t>
  </si>
  <si>
    <t xml:space="preserve">Twitching Talons</t>
  </si>
  <si>
    <t xml:space="preserve">&lt;b&gt;Scour:&lt;/b&gt; 2 AP</t>
  </si>
  <si>
    <t xml:space="preserve">&lt;b&gt;&lt;i&gt;Snatch&lt;/i&gt;&lt;/b&gt;</t>
  </si>
  <si>
    <t xml:space="preserve">Whenever a being leaves your attack range, you may spend jazzT to make an attack with any limb against them. If the attack would cost 3 or more AP, &lt;b&gt;Exhaust&lt;/b&gt;.</t>
  </si>
  <si>
    <t xml:space="preserve">Venomous Tail</t>
  </si>
  <si>
    <t xml:space="preserve">&lt;b&gt;Lance:&lt;/b&gt; 2 AP</t>
  </si>
  <si>
    <t xml:space="preserve">&lt;b&gt;Damage = 3, Reach&lt;/b&gt;</t>
  </si>
  <si>
    <t xml:space="preserve">&lt;b&gt;Jab:&lt;/b&gt; jazzt</t>
  </si>
  <si>
    <t xml:space="preserve">Use the Lance attack on a being that has entered your attack range for the first time on their turn.</t>
  </si>
  <si>
    <t xml:space="preserve">&lt;b&gt;Venom: &lt;/b&gt;Inflict the &lt;b&gt;Stunned&lt;/b&gt; status effect.</t>
  </si>
  <si>
    <t xml:space="preserve">Willow Parasite</t>
  </si>
  <si>
    <t xml:space="preserve">&lt;b&gt;Lash Out:&lt;/b&gt; 2 AP</t>
  </si>
  <si>
    <t xml:space="preserve">&lt;b&gt;Summon Saplings:&lt;/b&gt; weirdtweirdT</t>
  </si>
  <si>
    <t xml:space="preserve">Fill 3 target connected empty hexes with a willow tree which blocks movement and vision. Each hex can be individually destroyed by dealing damage.</t>
  </si>
  <si>
    <t xml:space="preserve">Withered Hand</t>
  </si>
  <si>
    <t xml:space="preserve">&lt;b&gt;Anhedonia:&lt;/b&gt; 3 AP</t>
  </si>
  <si>
    <t xml:space="preserve">&lt;b&gt;Damage = 5, Close&lt;/b&gt;
&lt;br /&gt;Inflict the &lt;b&gt;Exhausted&lt;/b&gt; status effect on a hit.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</si>
</sst>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1"/>
      <color theme="1"/>
      <name val="Aptos Narrow"/>
      <family val="2"/>
    </font>
  </fonts>
  <fills count="11">
    <fill>
      <patternFill patternType="none"/>
    </fill>
    <fill>
      <patternFill patternType="gray125"/>
    </fill>
    <fill>
      <patternFill patternType="solid">
        <fgColor rgb="FFB4C7DC"/>
        <bgColor rgb="FFB4C6E7"/>
      </patternFill>
    </fill>
    <fill>
      <patternFill patternType="solid">
        <fgColor rgb="FF808080"/>
        <bgColor rgb="FF969696"/>
      </patternFill>
    </fill>
    <fill>
      <patternFill patternType="solid">
        <fgColor rgb="FFEEEEEE"/>
        <bgColor rgb="FFFFFFFF"/>
      </patternFill>
    </fill>
    <fill>
      <patternFill patternType="solid">
        <fgColor rgb="FFFFFFA6"/>
        <bgColor rgb="FFFFE699"/>
      </patternFill>
    </fill>
    <fill>
      <patternFill patternType="solid">
        <fgColor rgb="FFFF0000"/>
        <bgColor rgb="FF993300"/>
      </patternFill>
    </fill>
    <fill>
      <patternFill patternType="solid">
        <fgColor theme="3" tint="0.4998"/>
        <bgColor rgb="FF3366FF"/>
      </patternFill>
    </fill>
    <fill>
      <patternFill patternType="solid">
        <fgColor theme="9" tint="0.3998"/>
        <bgColor rgb="FFC6E0B4"/>
      </patternFill>
    </fill>
    <fill>
      <patternFill patternType="solid">
        <fgColor rgb="FFFFA6A6"/>
        <bgColor rgb="FFF6B0DD"/>
      </patternFill>
    </fill>
    <fill>
      <patternFill patternType="solid">
        <fgColor theme="0"/>
        <bgColor rgb="FFEEEEEE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3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5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2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3" borderId="2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3" borderId="3" xfId="0" applyFont="fals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6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7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8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4" borderId="0" xfId="0" applyFont="true" applyBorder="fals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3" borderId="2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3" borderId="3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9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9" borderId="2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10" borderId="2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7">
    <dxf>
      <fill>
        <patternFill patternType="solid">
          <fgColor rgb="FFB4C7DC"/>
          <bgColor rgb="FF000000"/>
        </patternFill>
      </fill>
    </dxf>
    <dxf>
      <fill>
        <patternFill patternType="solid">
          <fgColor rgb="FFEEEEE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0B4"/>
          <bgColor rgb="FF000000"/>
        </patternFill>
      </fill>
    </dxf>
    <dxf>
      <fill>
        <patternFill patternType="solid">
          <fgColor rgb="FFFFA6A6"/>
          <bgColor rgb="FF000000"/>
        </patternFill>
      </fill>
    </dxf>
    <dxf>
      <fill>
        <patternFill patternType="solid">
          <fgColor rgb="FFFFFFA6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E95D9"/>
          <bgColor rgb="FF000000"/>
        </patternFill>
      </fill>
    </dxf>
    <dxf>
      <fill>
        <patternFill patternType="solid">
          <fgColor rgb="FF8ED973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EEEEEE"/>
      <rgbColor rgb="FFFFE699"/>
      <rgbColor rgb="FF660066"/>
      <rgbColor rgb="FFFF8080"/>
      <rgbColor rgb="FF0066CC"/>
      <rgbColor rgb="FFB4C6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A6"/>
      <rgbColor rgb="FF99CCFF"/>
      <rgbColor rgb="FFFFA6A6"/>
      <rgbColor rgb="FFF6B0DD"/>
      <rgbColor rgb="FFF8CBAD"/>
      <rgbColor rgb="FF3366FF"/>
      <rgbColor rgb="FF33CCCC"/>
      <rgbColor rgb="FF8ED973"/>
      <rgbColor rgb="FFFFCC00"/>
      <rgbColor rgb="FFFF9900"/>
      <rgbColor rgb="FFFF6600"/>
      <rgbColor rgb="FF666699"/>
      <rgbColor rgb="FF969696"/>
      <rgbColor rgb="FF003366"/>
      <rgbColor rgb="FF4E95D9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3" displayName="Table3" ref="A1:AG199" headerRowCount="1" totalsRowCount="0" totalsRowShown="0">
  <autoFilter ref="A1:AG199"/>
  <tableColumns count="33">
    <tableColumn id="1" name="Name"/>
    <tableColumn id="2" name="Type"/>
    <tableColumn id="3" name="Charges"/>
    <tableColumn id="4" name="Column1"/>
    <tableColumn id="5" name="Effect 1 Y"/>
    <tableColumn id="6" name="Effect 1 Type"/>
    <tableColumn id="7" name="Effect 1 Title"/>
    <tableColumn id="8" name="Effect 1"/>
    <tableColumn id="9" name="."/>
    <tableColumn id="10" name="Effect 2 Y"/>
    <tableColumn id="11" name="Effect 2 Type"/>
    <tableColumn id="12" name="Effect 2 Title"/>
    <tableColumn id="13" name="Effect 2"/>
    <tableColumn id="14" name=".2"/>
    <tableColumn id="15" name="Effect 3 Y"/>
    <tableColumn id="16" name="Effect 3 Type"/>
    <tableColumn id="17" name="Effect 3 Title"/>
    <tableColumn id="18" name="Effect 3"/>
    <tableColumn id="19" name=".3"/>
    <tableColumn id="20" name="Ypos"/>
    <tableColumn id="21" name="Linewidth"/>
    <tableColumn id="22" name="Ability Offset"/>
    <tableColumn id="23" name="Border Offset"/>
    <tableColumn id="24" name="Title Offset"/>
    <tableColumn id="25" name="E1TY"/>
    <tableColumn id="26" name="E1BY"/>
    <tableColumn id="27" name="E1Y"/>
    <tableColumn id="28" name="E2TY"/>
    <tableColumn id="29" name="E2BY"/>
    <tableColumn id="30" name="E2Y"/>
    <tableColumn id="31" name="E3TY"/>
    <tableColumn id="32" name="E3BY"/>
    <tableColumn id="33" name="E3Y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199"/>
  <sheetViews>
    <sheetView showFormulas="false" showGridLines="true" showRowColHeaders="true" showZeros="true" rightToLeft="false" tabSelected="true" showOutlineSymbols="true" defaultGridColor="true" view="normal" topLeftCell="A1" colorId="64" zoomScale="130" zoomScaleNormal="130" zoomScalePageLayoutView="100" workbookViewId="0">
      <pane xSplit="2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L2" activeCellId="0" sqref="L2"/>
    </sheetView>
  </sheetViews>
  <sheetFormatPr defaultColWidth="8.5625" defaultRowHeight="15" customHeight="true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10"/>
    <col collapsed="false" customWidth="true" hidden="false" outlineLevel="0" max="3" min="3" style="1" width="17.1"/>
    <col collapsed="false" customWidth="true" hidden="false" outlineLevel="0" max="4" min="4" style="1" width="1.44"/>
    <col collapsed="false" customWidth="true" hidden="false" outlineLevel="0" max="5" min="5" style="1" width="4.34"/>
    <col collapsed="false" customWidth="true" hidden="false" outlineLevel="0" max="6" min="6" style="1" width="8.34"/>
    <col collapsed="false" customWidth="true" hidden="false" outlineLevel="0" max="7" min="7" style="1" width="33"/>
    <col collapsed="false" customWidth="true" hidden="false" outlineLevel="0" max="8" min="8" style="1" width="42.44"/>
    <col collapsed="false" customWidth="true" hidden="false" outlineLevel="0" max="9" min="9" style="1" width="1.44"/>
    <col collapsed="false" customWidth="true" hidden="false" outlineLevel="0" max="10" min="10" style="1" width="6.89"/>
    <col collapsed="false" customWidth="true" hidden="false" outlineLevel="0" max="11" min="11" style="1" width="14.88"/>
    <col collapsed="false" customWidth="true" hidden="false" outlineLevel="0" max="12" min="12" style="1" width="31.66"/>
    <col collapsed="false" customWidth="true" hidden="false" outlineLevel="0" max="13" min="13" style="2" width="37.88"/>
    <col collapsed="false" customWidth="true" hidden="false" outlineLevel="0" max="14" min="14" style="1" width="1.44"/>
    <col collapsed="false" customWidth="true" hidden="false" outlineLevel="0" max="15" min="15" style="1" width="6.56"/>
    <col collapsed="false" customWidth="true" hidden="false" outlineLevel="0" max="16" min="16" style="1" width="8.44"/>
    <col collapsed="false" customWidth="true" hidden="false" outlineLevel="0" max="17" min="17" style="1" width="25.56"/>
    <col collapsed="false" customWidth="true" hidden="false" outlineLevel="0" max="18" min="18" style="1" width="35.11"/>
    <col collapsed="false" customWidth="true" hidden="false" outlineLevel="0" max="19" min="19" style="1" width="1.44"/>
    <col collapsed="false" customWidth="true" hidden="false" outlineLevel="0" max="20" min="20" style="1" width="10"/>
    <col collapsed="false" customWidth="true" hidden="false" outlineLevel="0" max="21" min="21" style="1" width="38"/>
    <col collapsed="false" customWidth="true" hidden="false" outlineLevel="0" max="31" min="24" style="1" width="10.56"/>
  </cols>
  <sheetData>
    <row r="1" customFormat="false" ht="35.25" hidden="false" customHeight="true" outlineLevel="0" collapsed="false">
      <c r="A1" s="3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5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</row>
    <row r="2" customFormat="false" ht="69.95" hidden="false" customHeight="true" outlineLevel="0" collapsed="false">
      <c r="A2" s="7" t="s">
        <v>33</v>
      </c>
      <c r="B2" s="8" t="s">
        <v>34</v>
      </c>
      <c r="C2" s="9"/>
      <c r="D2" s="10"/>
      <c r="E2" s="9" t="n">
        <v>1</v>
      </c>
      <c r="F2" s="11" t="s">
        <v>35</v>
      </c>
      <c r="G2" s="11" t="s">
        <v>36</v>
      </c>
      <c r="H2" s="11" t="s">
        <v>37</v>
      </c>
      <c r="I2" s="10"/>
      <c r="J2" s="9" t="n">
        <v>4</v>
      </c>
      <c r="K2" s="11" t="s">
        <v>35</v>
      </c>
      <c r="L2" s="11" t="s">
        <v>38</v>
      </c>
      <c r="M2" s="9" t="s">
        <v>39</v>
      </c>
      <c r="N2" s="12"/>
      <c r="O2" s="9"/>
      <c r="P2" s="11"/>
      <c r="Q2" s="11"/>
      <c r="R2" s="9"/>
      <c r="S2" s="10"/>
      <c r="T2" s="9" t="n">
        <v>29.6</v>
      </c>
      <c r="U2" s="9" t="n">
        <v>4.4</v>
      </c>
      <c r="V2" s="9" t="n">
        <v>3</v>
      </c>
      <c r="W2" s="9" t="n">
        <v>-1.1</v>
      </c>
      <c r="X2" s="9" t="n">
        <v>-6</v>
      </c>
      <c r="Y2" s="9" t="n">
        <f aca="false">Table3[[#This Row],[E1Y]]+X$2</f>
        <v>23.6</v>
      </c>
      <c r="Z2" s="9" t="n">
        <f aca="false">Table3[[#This Row],[E1TY]]+W$2</f>
        <v>22.5</v>
      </c>
      <c r="AA2" s="9" t="n">
        <f aca="false">T$2+U$2*(Table3[[#This Row],[Effect 1 Y]]-1)</f>
        <v>29.6</v>
      </c>
      <c r="AB2" s="9" t="n">
        <f aca="false">Table3[[#This Row],[E2Y]]+X$2</f>
        <v>39.8</v>
      </c>
      <c r="AC2" s="9" t="n">
        <f aca="false">Table3[[#This Row],[E2TY]]+W$2</f>
        <v>38.7</v>
      </c>
      <c r="AD2" s="9" t="n">
        <f aca="false">T$2+U$2*(Table3[[#This Row],[Effect 2 Y]]-1)+V$2</f>
        <v>45.8</v>
      </c>
      <c r="AE2" s="9" t="n">
        <f aca="false">Table3[[#This Row],[E3Y]]+X$2</f>
        <v>25.2</v>
      </c>
      <c r="AF2" s="9" t="n">
        <f aca="false">Table3[[#This Row],[E3TY]]+W$2</f>
        <v>24.1</v>
      </c>
      <c r="AG2" s="11" t="n">
        <f aca="false">T$2+U$2*(Table3[[#This Row],[Effect 3 Y]]-1)+2*V$2</f>
        <v>31.2</v>
      </c>
    </row>
    <row r="3" customFormat="false" ht="22.85" hidden="false" customHeight="false" outlineLevel="0" collapsed="false">
      <c r="A3" s="7" t="s">
        <v>40</v>
      </c>
      <c r="B3" s="8" t="s">
        <v>34</v>
      </c>
      <c r="C3" s="9"/>
      <c r="D3" s="10"/>
      <c r="E3" s="9" t="n">
        <v>1</v>
      </c>
      <c r="F3" s="11" t="s">
        <v>35</v>
      </c>
      <c r="G3" s="11" t="s">
        <v>38</v>
      </c>
      <c r="H3" s="11" t="s">
        <v>41</v>
      </c>
      <c r="I3" s="10"/>
      <c r="J3" s="9" t="n">
        <v>4</v>
      </c>
      <c r="K3" s="11" t="s">
        <v>35</v>
      </c>
      <c r="L3" s="11" t="s">
        <v>42</v>
      </c>
      <c r="M3" s="9" t="s">
        <v>43</v>
      </c>
      <c r="N3" s="12"/>
      <c r="O3" s="9" t="n">
        <v>7</v>
      </c>
      <c r="P3" s="11" t="s">
        <v>35</v>
      </c>
      <c r="Q3" s="11" t="s">
        <v>44</v>
      </c>
      <c r="R3" s="9" t="s">
        <v>45</v>
      </c>
      <c r="S3" s="10"/>
      <c r="T3" s="9"/>
      <c r="U3" s="9"/>
      <c r="V3" s="9"/>
      <c r="W3" s="9"/>
      <c r="X3" s="9"/>
      <c r="Y3" s="9" t="n">
        <f aca="false">Table3[[#This Row],[E1Y]]+X$2</f>
        <v>23.6</v>
      </c>
      <c r="Z3" s="9" t="n">
        <f aca="false">Table3[[#This Row],[E1TY]]+W$2</f>
        <v>22.5</v>
      </c>
      <c r="AA3" s="9" t="n">
        <f aca="false">T$2+U$2*(Table3[[#This Row],[Effect 1 Y]]-1)</f>
        <v>29.6</v>
      </c>
      <c r="AB3" s="9" t="n">
        <f aca="false">Table3[[#This Row],[E2Y]]+X$2</f>
        <v>39.8</v>
      </c>
      <c r="AC3" s="9" t="n">
        <f aca="false">Table3[[#This Row],[E2TY]]+W$2</f>
        <v>38.7</v>
      </c>
      <c r="AD3" s="9" t="n">
        <f aca="false">T$2+U$2*(Table3[[#This Row],[Effect 2 Y]]-1)+V$2</f>
        <v>45.8</v>
      </c>
      <c r="AE3" s="9" t="n">
        <f aca="false">Table3[[#This Row],[E3Y]]+X$2</f>
        <v>56</v>
      </c>
      <c r="AF3" s="9" t="n">
        <f aca="false">Table3[[#This Row],[E3TY]]+W$2</f>
        <v>54.9</v>
      </c>
      <c r="AG3" s="11" t="n">
        <f aca="false">T$2+U$2*(Table3[[#This Row],[Effect 3 Y]]-1)+2*V$2</f>
        <v>62</v>
      </c>
    </row>
    <row r="4" customFormat="false" ht="44.55" hidden="false" customHeight="false" outlineLevel="0" collapsed="false">
      <c r="A4" s="7" t="s">
        <v>46</v>
      </c>
      <c r="B4" s="8" t="s">
        <v>34</v>
      </c>
      <c r="C4" s="13" t="s">
        <v>47</v>
      </c>
      <c r="D4" s="10"/>
      <c r="E4" s="9" t="n">
        <v>1</v>
      </c>
      <c r="F4" s="11" t="s">
        <v>35</v>
      </c>
      <c r="G4" s="11" t="s">
        <v>48</v>
      </c>
      <c r="H4" s="11" t="s">
        <v>49</v>
      </c>
      <c r="I4" s="10"/>
      <c r="J4" s="9" t="n">
        <v>3</v>
      </c>
      <c r="K4" s="11" t="s">
        <v>50</v>
      </c>
      <c r="L4" s="11" t="s">
        <v>51</v>
      </c>
      <c r="M4" s="9" t="s">
        <v>52</v>
      </c>
      <c r="N4" s="12"/>
      <c r="O4" s="9"/>
      <c r="P4" s="11"/>
      <c r="Q4" s="11"/>
      <c r="R4" s="9"/>
      <c r="S4" s="10"/>
      <c r="T4" s="9"/>
      <c r="U4" s="14" t="s">
        <v>53</v>
      </c>
      <c r="V4" s="9"/>
      <c r="W4" s="9"/>
      <c r="X4" s="9"/>
      <c r="Y4" s="9" t="n">
        <f aca="false">Table3[[#This Row],[E1Y]]+X$2</f>
        <v>23.6</v>
      </c>
      <c r="Z4" s="9" t="n">
        <f aca="false">Table3[[#This Row],[E1TY]]+W$2</f>
        <v>22.5</v>
      </c>
      <c r="AA4" s="9" t="n">
        <f aca="false">T$2+U$2*(Table3[[#This Row],[Effect 1 Y]]-1)</f>
        <v>29.6</v>
      </c>
      <c r="AB4" s="9" t="n">
        <f aca="false">Table3[[#This Row],[E2Y]]+X$2</f>
        <v>35.4</v>
      </c>
      <c r="AC4" s="9" t="n">
        <f aca="false">Table3[[#This Row],[E2TY]]+W$2</f>
        <v>34.3</v>
      </c>
      <c r="AD4" s="9" t="n">
        <f aca="false">T$2+U$2*(Table3[[#This Row],[Effect 2 Y]]-1)+V$2</f>
        <v>41.4</v>
      </c>
      <c r="AE4" s="9" t="n">
        <f aca="false">Table3[[#This Row],[E3Y]]+X$2</f>
        <v>25.2</v>
      </c>
      <c r="AF4" s="9" t="n">
        <f aca="false">Table3[[#This Row],[E3TY]]+W$2</f>
        <v>24.1</v>
      </c>
      <c r="AG4" s="11" t="n">
        <f aca="false">T$2+U$2*(Table3[[#This Row],[Effect 3 Y]]-1)+2*V$2</f>
        <v>31.2</v>
      </c>
    </row>
    <row r="5" customFormat="false" ht="33.7" hidden="false" customHeight="false" outlineLevel="0" collapsed="false">
      <c r="A5" s="7" t="s">
        <v>54</v>
      </c>
      <c r="B5" s="8" t="s">
        <v>34</v>
      </c>
      <c r="C5" s="9" t="s">
        <v>55</v>
      </c>
      <c r="D5" s="10"/>
      <c r="E5" s="9" t="n">
        <v>1</v>
      </c>
      <c r="F5" s="11" t="s">
        <v>50</v>
      </c>
      <c r="G5" s="11" t="s">
        <v>56</v>
      </c>
      <c r="H5" s="11" t="s">
        <v>57</v>
      </c>
      <c r="I5" s="10"/>
      <c r="J5" s="9" t="n">
        <v>5</v>
      </c>
      <c r="K5" s="11" t="s">
        <v>35</v>
      </c>
      <c r="L5" s="11" t="s">
        <v>58</v>
      </c>
      <c r="M5" s="9" t="s">
        <v>59</v>
      </c>
      <c r="N5" s="12"/>
      <c r="O5" s="9"/>
      <c r="P5" s="11"/>
      <c r="Q5" s="11"/>
      <c r="R5" s="9"/>
      <c r="S5" s="10"/>
      <c r="T5" s="9"/>
      <c r="U5" s="15" t="s">
        <v>60</v>
      </c>
      <c r="V5" s="9"/>
      <c r="W5" s="9"/>
      <c r="X5" s="9"/>
      <c r="Y5" s="9" t="n">
        <f aca="false">Table3[[#This Row],[E1Y]]+X$2</f>
        <v>23.6</v>
      </c>
      <c r="Z5" s="9" t="n">
        <f aca="false">Table3[[#This Row],[E1TY]]+W$2</f>
        <v>22.5</v>
      </c>
      <c r="AA5" s="9" t="n">
        <f aca="false">T$2+U$2*(Table3[[#This Row],[Effect 1 Y]]-1)</f>
        <v>29.6</v>
      </c>
      <c r="AB5" s="9" t="n">
        <f aca="false">Table3[[#This Row],[E2Y]]+X$2</f>
        <v>44.2</v>
      </c>
      <c r="AC5" s="9" t="n">
        <f aca="false">Table3[[#This Row],[E2TY]]+W$2</f>
        <v>43.1</v>
      </c>
      <c r="AD5" s="9" t="n">
        <f aca="false">T$2+U$2*(Table3[[#This Row],[Effect 2 Y]]-1)+V$2</f>
        <v>50.2</v>
      </c>
      <c r="AE5" s="9" t="n">
        <f aca="false">Table3[[#This Row],[E3Y]]+X$2</f>
        <v>25.2</v>
      </c>
      <c r="AF5" s="9" t="n">
        <f aca="false">Table3[[#This Row],[E3TY]]+W$2</f>
        <v>24.1</v>
      </c>
      <c r="AG5" s="11" t="n">
        <f aca="false">T$2+U$2*(Table3[[#This Row],[Effect 3 Y]]-1)+2*V$2</f>
        <v>31.2</v>
      </c>
    </row>
    <row r="6" customFormat="false" ht="33.7" hidden="false" customHeight="false" outlineLevel="0" collapsed="false">
      <c r="A6" s="7" t="s">
        <v>61</v>
      </c>
      <c r="B6" s="8" t="s">
        <v>34</v>
      </c>
      <c r="C6" s="9"/>
      <c r="D6" s="10"/>
      <c r="E6" s="9" t="n">
        <v>1</v>
      </c>
      <c r="F6" s="11" t="s">
        <v>35</v>
      </c>
      <c r="G6" s="11" t="s">
        <v>62</v>
      </c>
      <c r="H6" s="11" t="s">
        <v>63</v>
      </c>
      <c r="I6" s="10"/>
      <c r="J6" s="9"/>
      <c r="K6" s="11"/>
      <c r="L6" s="11"/>
      <c r="M6" s="9"/>
      <c r="N6" s="12"/>
      <c r="O6" s="9"/>
      <c r="P6" s="11"/>
      <c r="Q6" s="11"/>
      <c r="R6" s="9"/>
      <c r="S6" s="10"/>
      <c r="T6" s="9"/>
      <c r="U6" s="16" t="s">
        <v>64</v>
      </c>
      <c r="V6" s="9"/>
      <c r="W6" s="9"/>
      <c r="X6" s="9"/>
      <c r="Y6" s="9" t="n">
        <f aca="false">Table3[[#This Row],[E1Y]]+X$2</f>
        <v>23.6</v>
      </c>
      <c r="Z6" s="9" t="n">
        <f aca="false">Table3[[#This Row],[E1TY]]+W$2</f>
        <v>22.5</v>
      </c>
      <c r="AA6" s="9" t="n">
        <f aca="false">T$2+U$2*(Table3[[#This Row],[Effect 1 Y]]-1)</f>
        <v>29.6</v>
      </c>
      <c r="AB6" s="9" t="n">
        <f aca="false">Table3[[#This Row],[E2Y]]+X$2</f>
        <v>22.2</v>
      </c>
      <c r="AC6" s="9" t="n">
        <f aca="false">Table3[[#This Row],[E2TY]]+W$2</f>
        <v>21.1</v>
      </c>
      <c r="AD6" s="9" t="n">
        <f aca="false">T$2+U$2*(Table3[[#This Row],[Effect 2 Y]]-1)+V$2</f>
        <v>28.2</v>
      </c>
      <c r="AE6" s="9" t="n">
        <f aca="false">Table3[[#This Row],[E3Y]]+X$2</f>
        <v>25.2</v>
      </c>
      <c r="AF6" s="9" t="n">
        <f aca="false">Table3[[#This Row],[E3TY]]+W$2</f>
        <v>24.1</v>
      </c>
      <c r="AG6" s="11" t="n">
        <f aca="false">T$2+U$2*(Table3[[#This Row],[Effect 3 Y]]-1)+2*V$2</f>
        <v>31.2</v>
      </c>
    </row>
    <row r="7" customFormat="false" ht="33.7" hidden="false" customHeight="false" outlineLevel="0" collapsed="false">
      <c r="A7" s="17" t="s">
        <v>65</v>
      </c>
      <c r="B7" s="8" t="s">
        <v>34</v>
      </c>
      <c r="C7" s="13" t="s">
        <v>66</v>
      </c>
      <c r="D7" s="10"/>
      <c r="E7" s="9" t="n">
        <v>1</v>
      </c>
      <c r="F7" s="11" t="s">
        <v>67</v>
      </c>
      <c r="G7" s="11" t="s">
        <v>68</v>
      </c>
      <c r="H7" s="11" t="s">
        <v>69</v>
      </c>
      <c r="I7" s="10"/>
      <c r="J7" s="9" t="n">
        <v>5</v>
      </c>
      <c r="K7" s="11" t="s">
        <v>35</v>
      </c>
      <c r="L7" s="11" t="s">
        <v>70</v>
      </c>
      <c r="M7" s="9" t="s">
        <v>71</v>
      </c>
      <c r="N7" s="12"/>
      <c r="O7" s="9"/>
      <c r="P7" s="11"/>
      <c r="Q7" s="11"/>
      <c r="R7" s="9"/>
      <c r="S7" s="10"/>
      <c r="T7" s="9"/>
      <c r="U7" s="16"/>
      <c r="V7" s="9"/>
      <c r="W7" s="9"/>
      <c r="X7" s="9"/>
      <c r="Y7" s="9" t="n">
        <f aca="false">Table3[[#This Row],[E1Y]]+X$2</f>
        <v>23.6</v>
      </c>
      <c r="Z7" s="9" t="n">
        <f aca="false">Table3[[#This Row],[E1TY]]+W$2</f>
        <v>22.5</v>
      </c>
      <c r="AA7" s="9" t="n">
        <f aca="false">T$2+U$2*(Table3[[#This Row],[Effect 1 Y]]-1)</f>
        <v>29.6</v>
      </c>
      <c r="AB7" s="9" t="n">
        <f aca="false">Table3[[#This Row],[E2Y]]+X$2</f>
        <v>44.2</v>
      </c>
      <c r="AC7" s="9" t="n">
        <f aca="false">Table3[[#This Row],[E2TY]]+W$2</f>
        <v>43.1</v>
      </c>
      <c r="AD7" s="9" t="n">
        <f aca="false">T$2+U$2*(Table3[[#This Row],[Effect 2 Y]]-1)+V$2</f>
        <v>50.2</v>
      </c>
      <c r="AE7" s="9" t="n">
        <f aca="false">Table3[[#This Row],[E3Y]]+X$2</f>
        <v>25.2</v>
      </c>
      <c r="AF7" s="9" t="n">
        <f aca="false">Table3[[#This Row],[E3TY]]+W$2</f>
        <v>24.1</v>
      </c>
      <c r="AG7" s="11" t="n">
        <f aca="false">T$2+U$2*(Table3[[#This Row],[Effect 3 Y]]-1)+2*V$2</f>
        <v>31.2</v>
      </c>
    </row>
    <row r="8" customFormat="false" ht="57.45" hidden="false" customHeight="false" outlineLevel="0" collapsed="false">
      <c r="A8" s="17" t="s">
        <v>72</v>
      </c>
      <c r="B8" s="8" t="s">
        <v>34</v>
      </c>
      <c r="C8" s="9"/>
      <c r="D8" s="10"/>
      <c r="E8" s="9" t="n">
        <v>1</v>
      </c>
      <c r="F8" s="11" t="s">
        <v>35</v>
      </c>
      <c r="G8" s="11" t="s">
        <v>73</v>
      </c>
      <c r="H8" s="11" t="s">
        <v>74</v>
      </c>
      <c r="I8" s="10"/>
      <c r="J8" s="9" t="n">
        <v>5</v>
      </c>
      <c r="K8" s="11" t="s">
        <v>50</v>
      </c>
      <c r="L8" s="11" t="s">
        <v>75</v>
      </c>
      <c r="M8" s="9" t="s">
        <v>76</v>
      </c>
      <c r="N8" s="12"/>
      <c r="O8" s="9"/>
      <c r="P8" s="11"/>
      <c r="Q8" s="11"/>
      <c r="R8" s="9"/>
      <c r="S8" s="10"/>
      <c r="T8" s="9"/>
      <c r="U8" s="9"/>
      <c r="V8" s="9"/>
      <c r="W8" s="9"/>
      <c r="X8" s="9"/>
      <c r="Y8" s="9" t="n">
        <f aca="false">Table3[[#This Row],[E1Y]]+X$2</f>
        <v>23.6</v>
      </c>
      <c r="Z8" s="9" t="n">
        <f aca="false">Table3[[#This Row],[E1TY]]+W$2</f>
        <v>22.5</v>
      </c>
      <c r="AA8" s="9" t="n">
        <f aca="false">T$2+U$2*(Table3[[#This Row],[Effect 1 Y]]-1)</f>
        <v>29.6</v>
      </c>
      <c r="AB8" s="9" t="n">
        <f aca="false">Table3[[#This Row],[E2Y]]+X$2</f>
        <v>44.2</v>
      </c>
      <c r="AC8" s="9" t="n">
        <f aca="false">Table3[[#This Row],[E2TY]]+W$2</f>
        <v>43.1</v>
      </c>
      <c r="AD8" s="9" t="n">
        <f aca="false">T$2+U$2*(Table3[[#This Row],[Effect 2 Y]]-1)+V$2</f>
        <v>50.2</v>
      </c>
      <c r="AE8" s="9" t="n">
        <f aca="false">Table3[[#This Row],[E3Y]]+X$2</f>
        <v>25.2</v>
      </c>
      <c r="AF8" s="9" t="n">
        <f aca="false">Table3[[#This Row],[E3TY]]+W$2</f>
        <v>24.1</v>
      </c>
      <c r="AG8" s="11" t="n">
        <f aca="false">T$2+U$2*(Table3[[#This Row],[Effect 3 Y]]-1)+2*V$2</f>
        <v>31.2</v>
      </c>
    </row>
    <row r="9" customFormat="false" ht="33.7" hidden="false" customHeight="false" outlineLevel="0" collapsed="false">
      <c r="A9" s="7" t="s">
        <v>77</v>
      </c>
      <c r="B9" s="8" t="s">
        <v>34</v>
      </c>
      <c r="C9" s="9"/>
      <c r="D9" s="10"/>
      <c r="E9" s="9" t="n">
        <v>1</v>
      </c>
      <c r="F9" s="11" t="s">
        <v>35</v>
      </c>
      <c r="G9" s="11" t="s">
        <v>78</v>
      </c>
      <c r="H9" s="11" t="s">
        <v>79</v>
      </c>
      <c r="I9" s="10"/>
      <c r="J9" s="9" t="n">
        <v>4</v>
      </c>
      <c r="K9" s="11" t="s">
        <v>35</v>
      </c>
      <c r="L9" s="11" t="s">
        <v>80</v>
      </c>
      <c r="M9" s="9" t="s">
        <v>81</v>
      </c>
      <c r="N9" s="12"/>
      <c r="O9" s="9" t="n">
        <v>8</v>
      </c>
      <c r="P9" s="11" t="s">
        <v>35</v>
      </c>
      <c r="Q9" s="11" t="s">
        <v>82</v>
      </c>
      <c r="R9" s="9" t="s">
        <v>83</v>
      </c>
      <c r="S9" s="10"/>
      <c r="T9" s="9"/>
      <c r="U9" s="9"/>
      <c r="V9" s="9"/>
      <c r="W9" s="9"/>
      <c r="X9" s="9"/>
      <c r="Y9" s="9" t="n">
        <f aca="false">Table3[[#This Row],[E1Y]]+X$2</f>
        <v>23.6</v>
      </c>
      <c r="Z9" s="9" t="n">
        <f aca="false">Table3[[#This Row],[E1TY]]+W$2</f>
        <v>22.5</v>
      </c>
      <c r="AA9" s="9" t="n">
        <f aca="false">T$2+U$2*(Table3[[#This Row],[Effect 1 Y]]-1)</f>
        <v>29.6</v>
      </c>
      <c r="AB9" s="9" t="n">
        <f aca="false">Table3[[#This Row],[E2Y]]+X$2</f>
        <v>39.8</v>
      </c>
      <c r="AC9" s="9" t="n">
        <f aca="false">Table3[[#This Row],[E2TY]]+W$2</f>
        <v>38.7</v>
      </c>
      <c r="AD9" s="9" t="n">
        <f aca="false">T$2+U$2*(Table3[[#This Row],[Effect 2 Y]]-1)+V$2</f>
        <v>45.8</v>
      </c>
      <c r="AE9" s="9" t="n">
        <f aca="false">Table3[[#This Row],[E3Y]]+X$2</f>
        <v>60.4</v>
      </c>
      <c r="AF9" s="9" t="n">
        <f aca="false">Table3[[#This Row],[E3TY]]+W$2</f>
        <v>59.3</v>
      </c>
      <c r="AG9" s="11" t="n">
        <f aca="false">T$2+U$2*(Table3[[#This Row],[Effect 3 Y]]-1)+2*V$2</f>
        <v>66.4</v>
      </c>
    </row>
    <row r="10" customFormat="false" ht="22.85" hidden="false" customHeight="false" outlineLevel="0" collapsed="false">
      <c r="A10" s="7" t="s">
        <v>84</v>
      </c>
      <c r="B10" s="8" t="s">
        <v>34</v>
      </c>
      <c r="C10" s="9"/>
      <c r="D10" s="10"/>
      <c r="E10" s="9" t="n">
        <v>1</v>
      </c>
      <c r="F10" s="11" t="s">
        <v>35</v>
      </c>
      <c r="G10" s="11" t="s">
        <v>85</v>
      </c>
      <c r="H10" s="11" t="s">
        <v>86</v>
      </c>
      <c r="I10" s="10"/>
      <c r="J10" s="9" t="n">
        <v>4</v>
      </c>
      <c r="K10" s="11" t="s">
        <v>35</v>
      </c>
      <c r="L10" s="11" t="s">
        <v>87</v>
      </c>
      <c r="M10" s="9" t="s">
        <v>88</v>
      </c>
      <c r="N10" s="12"/>
      <c r="O10" s="9"/>
      <c r="P10" s="11"/>
      <c r="Q10" s="11"/>
      <c r="R10" s="9"/>
      <c r="S10" s="10"/>
      <c r="T10" s="9"/>
      <c r="U10" s="9"/>
      <c r="V10" s="9"/>
      <c r="W10" s="9"/>
      <c r="X10" s="9"/>
      <c r="Y10" s="9" t="n">
        <f aca="false">Table3[[#This Row],[E1Y]]+X$2</f>
        <v>23.6</v>
      </c>
      <c r="Z10" s="9" t="n">
        <f aca="false">Table3[[#This Row],[E1TY]]+W$2</f>
        <v>22.5</v>
      </c>
      <c r="AA10" s="9" t="n">
        <f aca="false">T$2+U$2*(Table3[[#This Row],[Effect 1 Y]]-1)</f>
        <v>29.6</v>
      </c>
      <c r="AB10" s="9" t="n">
        <f aca="false">Table3[[#This Row],[E2Y]]+X$2</f>
        <v>39.8</v>
      </c>
      <c r="AC10" s="9" t="n">
        <f aca="false">Table3[[#This Row],[E2TY]]+W$2</f>
        <v>38.7</v>
      </c>
      <c r="AD10" s="9" t="n">
        <f aca="false">T$2+U$2*(Table3[[#This Row],[Effect 2 Y]]-1)+V$2</f>
        <v>45.8</v>
      </c>
      <c r="AE10" s="9" t="n">
        <f aca="false">Table3[[#This Row],[E3Y]]+X$2</f>
        <v>25.2</v>
      </c>
      <c r="AF10" s="9" t="n">
        <f aca="false">Table3[[#This Row],[E3TY]]+W$2</f>
        <v>24.1</v>
      </c>
      <c r="AG10" s="11" t="n">
        <f aca="false">T$2+U$2*(Table3[[#This Row],[Effect 3 Y]]-1)+2*V$2</f>
        <v>31.2</v>
      </c>
    </row>
    <row r="11" customFormat="false" ht="66.25" hidden="false" customHeight="false" outlineLevel="0" collapsed="false">
      <c r="A11" s="7" t="s">
        <v>89</v>
      </c>
      <c r="B11" s="8" t="s">
        <v>34</v>
      </c>
      <c r="C11" s="13" t="s">
        <v>66</v>
      </c>
      <c r="D11" s="10"/>
      <c r="E11" s="9" t="n">
        <v>1</v>
      </c>
      <c r="F11" s="11" t="s">
        <v>35</v>
      </c>
      <c r="G11" s="11" t="s">
        <v>90</v>
      </c>
      <c r="H11" s="11" t="s">
        <v>91</v>
      </c>
      <c r="I11" s="10"/>
      <c r="J11" s="9" t="n">
        <v>4</v>
      </c>
      <c r="K11" s="11" t="s">
        <v>35</v>
      </c>
      <c r="L11" s="11" t="s">
        <v>92</v>
      </c>
      <c r="M11" s="9" t="s">
        <v>93</v>
      </c>
      <c r="N11" s="12"/>
      <c r="O11" s="9"/>
      <c r="P11" s="11"/>
      <c r="Q11" s="11"/>
      <c r="R11" s="9"/>
      <c r="S11" s="10"/>
      <c r="T11" s="9"/>
      <c r="U11" s="9"/>
      <c r="V11" s="9"/>
      <c r="W11" s="9"/>
      <c r="X11" s="9"/>
      <c r="Y11" s="9" t="n">
        <f aca="false">Table3[[#This Row],[E1Y]]+X$2</f>
        <v>23.6</v>
      </c>
      <c r="Z11" s="9" t="n">
        <f aca="false">Table3[[#This Row],[E1TY]]+W$2</f>
        <v>22.5</v>
      </c>
      <c r="AA11" s="9" t="n">
        <f aca="false">T$2+U$2*(Table3[[#This Row],[Effect 1 Y]]-1)</f>
        <v>29.6</v>
      </c>
      <c r="AB11" s="9" t="n">
        <f aca="false">Table3[[#This Row],[E2Y]]+X$2</f>
        <v>39.8</v>
      </c>
      <c r="AC11" s="9" t="n">
        <f aca="false">Table3[[#This Row],[E2TY]]+W$2</f>
        <v>38.7</v>
      </c>
      <c r="AD11" s="9" t="n">
        <f aca="false">T$2+U$2*(Table3[[#This Row],[Effect 2 Y]]-1)+V$2</f>
        <v>45.8</v>
      </c>
      <c r="AE11" s="9" t="n">
        <f aca="false">Table3[[#This Row],[E3Y]]+X$2</f>
        <v>25.2</v>
      </c>
      <c r="AF11" s="9" t="n">
        <f aca="false">Table3[[#This Row],[E3TY]]+W$2</f>
        <v>24.1</v>
      </c>
      <c r="AG11" s="11" t="n">
        <f aca="false">T$2+U$2*(Table3[[#This Row],[Effect 3 Y]]-1)+2*V$2</f>
        <v>31.2</v>
      </c>
    </row>
    <row r="12" customFormat="false" ht="22.85" hidden="false" customHeight="false" outlineLevel="0" collapsed="false">
      <c r="A12" s="7" t="s">
        <v>94</v>
      </c>
      <c r="B12" s="8" t="s">
        <v>34</v>
      </c>
      <c r="C12" s="9" t="s">
        <v>55</v>
      </c>
      <c r="D12" s="10"/>
      <c r="E12" s="9" t="n">
        <v>1</v>
      </c>
      <c r="F12" s="11" t="s">
        <v>35</v>
      </c>
      <c r="G12" s="11" t="s">
        <v>95</v>
      </c>
      <c r="H12" s="11" t="s">
        <v>96</v>
      </c>
      <c r="I12" s="10"/>
      <c r="J12" s="9" t="n">
        <v>3</v>
      </c>
      <c r="K12" s="11" t="s">
        <v>35</v>
      </c>
      <c r="L12" s="11" t="s">
        <v>97</v>
      </c>
      <c r="M12" s="9" t="s">
        <v>98</v>
      </c>
      <c r="N12" s="12"/>
      <c r="O12" s="9" t="n">
        <v>5</v>
      </c>
      <c r="P12" s="11" t="s">
        <v>50</v>
      </c>
      <c r="Q12" s="11" t="s">
        <v>99</v>
      </c>
      <c r="R12" s="9" t="s">
        <v>100</v>
      </c>
      <c r="S12" s="10"/>
      <c r="T12" s="9"/>
      <c r="U12" s="9"/>
      <c r="V12" s="9"/>
      <c r="W12" s="9"/>
      <c r="X12" s="9"/>
      <c r="Y12" s="9" t="n">
        <f aca="false">Table3[[#This Row],[E1Y]]+X$2</f>
        <v>23.6</v>
      </c>
      <c r="Z12" s="9" t="n">
        <f aca="false">Table3[[#This Row],[E1TY]]+W$2</f>
        <v>22.5</v>
      </c>
      <c r="AA12" s="9" t="n">
        <f aca="false">T$2+U$2*(Table3[[#This Row],[Effect 1 Y]]-1)</f>
        <v>29.6</v>
      </c>
      <c r="AB12" s="9" t="n">
        <f aca="false">Table3[[#This Row],[E2Y]]+X$2</f>
        <v>35.4</v>
      </c>
      <c r="AC12" s="9" t="n">
        <f aca="false">Table3[[#This Row],[E2TY]]+W$2</f>
        <v>34.3</v>
      </c>
      <c r="AD12" s="9" t="n">
        <f aca="false">T$2+U$2*(Table3[[#This Row],[Effect 2 Y]]-1)+V$2</f>
        <v>41.4</v>
      </c>
      <c r="AE12" s="9" t="n">
        <f aca="false">Table3[[#This Row],[E3Y]]+X$2</f>
        <v>47.2</v>
      </c>
      <c r="AF12" s="9" t="n">
        <f aca="false">Table3[[#This Row],[E3TY]]+W$2</f>
        <v>46.1</v>
      </c>
      <c r="AG12" s="11" t="n">
        <f aca="false">T$2+U$2*(Table3[[#This Row],[Effect 3 Y]]-1)+2*V$2</f>
        <v>53.2</v>
      </c>
    </row>
    <row r="13" customFormat="false" ht="33.7" hidden="false" customHeight="false" outlineLevel="0" collapsed="false">
      <c r="A13" s="7" t="s">
        <v>101</v>
      </c>
      <c r="B13" s="8" t="s">
        <v>34</v>
      </c>
      <c r="C13" s="9"/>
      <c r="D13" s="10"/>
      <c r="E13" s="9" t="n">
        <v>1</v>
      </c>
      <c r="F13" s="11" t="s">
        <v>35</v>
      </c>
      <c r="G13" s="11" t="s">
        <v>102</v>
      </c>
      <c r="H13" s="11" t="s">
        <v>103</v>
      </c>
      <c r="I13" s="10"/>
      <c r="J13" s="9" t="n">
        <v>5</v>
      </c>
      <c r="K13" s="11" t="s">
        <v>35</v>
      </c>
      <c r="L13" s="11" t="s">
        <v>104</v>
      </c>
      <c r="M13" s="9" t="s">
        <v>105</v>
      </c>
      <c r="N13" s="12"/>
      <c r="O13" s="9"/>
      <c r="P13" s="11"/>
      <c r="Q13" s="11"/>
      <c r="R13" s="9"/>
      <c r="S13" s="10"/>
      <c r="T13" s="9"/>
      <c r="U13" s="9"/>
      <c r="V13" s="9"/>
      <c r="W13" s="9"/>
      <c r="X13" s="9"/>
      <c r="Y13" s="9" t="n">
        <f aca="false">Table3[[#This Row],[E1Y]]+X$2</f>
        <v>23.6</v>
      </c>
      <c r="Z13" s="9" t="n">
        <f aca="false">Table3[[#This Row],[E1TY]]+W$2</f>
        <v>22.5</v>
      </c>
      <c r="AA13" s="9" t="n">
        <f aca="false">T$2+U$2*(Table3[[#This Row],[Effect 1 Y]]-1)</f>
        <v>29.6</v>
      </c>
      <c r="AB13" s="9" t="n">
        <f aca="false">Table3[[#This Row],[E2Y]]+X$2</f>
        <v>44.2</v>
      </c>
      <c r="AC13" s="9" t="n">
        <f aca="false">Table3[[#This Row],[E2TY]]+W$2</f>
        <v>43.1</v>
      </c>
      <c r="AD13" s="9" t="n">
        <f aca="false">T$2+U$2*(Table3[[#This Row],[Effect 2 Y]]-1)+V$2</f>
        <v>50.2</v>
      </c>
      <c r="AE13" s="9" t="n">
        <f aca="false">Table3[[#This Row],[E3Y]]+X$2</f>
        <v>25.2</v>
      </c>
      <c r="AF13" s="9" t="n">
        <f aca="false">Table3[[#This Row],[E3TY]]+W$2</f>
        <v>24.1</v>
      </c>
      <c r="AG13" s="11" t="n">
        <f aca="false">T$2+U$2*(Table3[[#This Row],[Effect 3 Y]]-1)+2*V$2</f>
        <v>31.2</v>
      </c>
    </row>
    <row r="14" customFormat="false" ht="22.85" hidden="false" customHeight="false" outlineLevel="0" collapsed="false">
      <c r="A14" s="7" t="s">
        <v>106</v>
      </c>
      <c r="B14" s="8" t="s">
        <v>34</v>
      </c>
      <c r="C14" s="9"/>
      <c r="D14" s="10"/>
      <c r="E14" s="9" t="n">
        <v>1</v>
      </c>
      <c r="F14" s="11" t="s">
        <v>35</v>
      </c>
      <c r="G14" s="11" t="s">
        <v>107</v>
      </c>
      <c r="H14" s="11" t="s">
        <v>108</v>
      </c>
      <c r="I14" s="10"/>
      <c r="J14" s="9" t="n">
        <v>4</v>
      </c>
      <c r="K14" s="11" t="s">
        <v>35</v>
      </c>
      <c r="L14" s="11" t="s">
        <v>109</v>
      </c>
      <c r="M14" s="9" t="s">
        <v>110</v>
      </c>
      <c r="N14" s="12"/>
      <c r="O14" s="9" t="n">
        <v>8</v>
      </c>
      <c r="P14" s="11" t="s">
        <v>35</v>
      </c>
      <c r="Q14" s="11" t="s">
        <v>111</v>
      </c>
      <c r="R14" s="9" t="s">
        <v>112</v>
      </c>
      <c r="S14" s="10"/>
      <c r="T14" s="9"/>
      <c r="U14" s="9"/>
      <c r="V14" s="9"/>
      <c r="W14" s="9"/>
      <c r="X14" s="9"/>
      <c r="Y14" s="9" t="n">
        <f aca="false">Table3[[#This Row],[E1Y]]+X$2</f>
        <v>23.6</v>
      </c>
      <c r="Z14" s="9" t="n">
        <f aca="false">Table3[[#This Row],[E1TY]]+W$2</f>
        <v>22.5</v>
      </c>
      <c r="AA14" s="9" t="n">
        <f aca="false">T$2+U$2*(Table3[[#This Row],[Effect 1 Y]]-1)</f>
        <v>29.6</v>
      </c>
      <c r="AB14" s="9" t="n">
        <f aca="false">Table3[[#This Row],[E2Y]]+X$2</f>
        <v>39.8</v>
      </c>
      <c r="AC14" s="9" t="n">
        <f aca="false">Table3[[#This Row],[E2TY]]+W$2</f>
        <v>38.7</v>
      </c>
      <c r="AD14" s="9" t="n">
        <f aca="false">T$2+U$2*(Table3[[#This Row],[Effect 2 Y]]-1)+V$2</f>
        <v>45.8</v>
      </c>
      <c r="AE14" s="9" t="n">
        <f aca="false">Table3[[#This Row],[E3Y]]+X$2</f>
        <v>60.4</v>
      </c>
      <c r="AF14" s="9" t="n">
        <f aca="false">Table3[[#This Row],[E3TY]]+W$2</f>
        <v>59.3</v>
      </c>
      <c r="AG14" s="11" t="n">
        <f aca="false">T$2+U$2*(Table3[[#This Row],[Effect 3 Y]]-1)+2*V$2</f>
        <v>66.4</v>
      </c>
    </row>
    <row r="15" customFormat="false" ht="22.85" hidden="false" customHeight="false" outlineLevel="0" collapsed="false">
      <c r="A15" s="7" t="s">
        <v>113</v>
      </c>
      <c r="B15" s="8" t="s">
        <v>34</v>
      </c>
      <c r="C15" s="9" t="s">
        <v>114</v>
      </c>
      <c r="D15" s="10"/>
      <c r="E15" s="9" t="n">
        <v>1</v>
      </c>
      <c r="F15" s="11" t="s">
        <v>50</v>
      </c>
      <c r="G15" s="11" t="s">
        <v>115</v>
      </c>
      <c r="H15" s="11" t="s">
        <v>116</v>
      </c>
      <c r="I15" s="10"/>
      <c r="J15" s="9" t="n">
        <v>4</v>
      </c>
      <c r="K15" s="11" t="s">
        <v>50</v>
      </c>
      <c r="L15" s="11" t="s">
        <v>117</v>
      </c>
      <c r="M15" s="9" t="s">
        <v>118</v>
      </c>
      <c r="N15" s="12"/>
      <c r="O15" s="9" t="n">
        <v>7</v>
      </c>
      <c r="P15" s="11" t="s">
        <v>35</v>
      </c>
      <c r="Q15" s="11" t="s">
        <v>119</v>
      </c>
      <c r="R15" s="9" t="s">
        <v>120</v>
      </c>
      <c r="S15" s="10"/>
      <c r="T15" s="9"/>
      <c r="U15" s="9"/>
      <c r="V15" s="9"/>
      <c r="W15" s="9"/>
      <c r="X15" s="9"/>
      <c r="Y15" s="9" t="n">
        <f aca="false">Table3[[#This Row],[E1Y]]+X$2</f>
        <v>23.6</v>
      </c>
      <c r="Z15" s="9" t="n">
        <f aca="false">Table3[[#This Row],[E1TY]]+W$2</f>
        <v>22.5</v>
      </c>
      <c r="AA15" s="9" t="n">
        <f aca="false">T$2+U$2*(Table3[[#This Row],[Effect 1 Y]]-1)</f>
        <v>29.6</v>
      </c>
      <c r="AB15" s="9" t="n">
        <f aca="false">Table3[[#This Row],[E2Y]]+X$2</f>
        <v>39.8</v>
      </c>
      <c r="AC15" s="9" t="n">
        <f aca="false">Table3[[#This Row],[E2TY]]+W$2</f>
        <v>38.7</v>
      </c>
      <c r="AD15" s="9" t="n">
        <f aca="false">T$2+U$2*(Table3[[#This Row],[Effect 2 Y]]-1)+V$2</f>
        <v>45.8</v>
      </c>
      <c r="AE15" s="9" t="n">
        <f aca="false">Table3[[#This Row],[E3Y]]+X$2</f>
        <v>56</v>
      </c>
      <c r="AF15" s="9" t="n">
        <f aca="false">Table3[[#This Row],[E3TY]]+W$2</f>
        <v>54.9</v>
      </c>
      <c r="AG15" s="11" t="n">
        <f aca="false">T$2+U$2*(Table3[[#This Row],[Effect 3 Y]]-1)+2*V$2</f>
        <v>62</v>
      </c>
    </row>
    <row r="16" customFormat="false" ht="22.85" hidden="false" customHeight="false" outlineLevel="0" collapsed="false">
      <c r="A16" s="7" t="s">
        <v>121</v>
      </c>
      <c r="B16" s="8" t="s">
        <v>34</v>
      </c>
      <c r="C16" s="9"/>
      <c r="D16" s="10"/>
      <c r="E16" s="9" t="n">
        <v>1</v>
      </c>
      <c r="F16" s="11" t="s">
        <v>35</v>
      </c>
      <c r="G16" s="11" t="s">
        <v>122</v>
      </c>
      <c r="H16" s="11" t="s">
        <v>123</v>
      </c>
      <c r="I16" s="10"/>
      <c r="J16" s="9" t="n">
        <v>4</v>
      </c>
      <c r="K16" s="11"/>
      <c r="L16" s="11"/>
      <c r="M16" s="9"/>
      <c r="N16" s="12"/>
      <c r="O16" s="9"/>
      <c r="P16" s="11"/>
      <c r="Q16" s="11"/>
      <c r="R16" s="9"/>
      <c r="S16" s="10"/>
      <c r="T16" s="9"/>
      <c r="U16" s="9"/>
      <c r="V16" s="9"/>
      <c r="W16" s="9"/>
      <c r="X16" s="9"/>
      <c r="Y16" s="9" t="n">
        <f aca="false">Table3[[#This Row],[E1Y]]+X$2</f>
        <v>23.6</v>
      </c>
      <c r="Z16" s="9" t="n">
        <f aca="false">Table3[[#This Row],[E1TY]]+W$2</f>
        <v>22.5</v>
      </c>
      <c r="AA16" s="9" t="n">
        <f aca="false">T$2+U$2*(Table3[[#This Row],[Effect 1 Y]]-1)</f>
        <v>29.6</v>
      </c>
      <c r="AB16" s="9" t="n">
        <f aca="false">Table3[[#This Row],[E2Y]]+X$2</f>
        <v>39.8</v>
      </c>
      <c r="AC16" s="9" t="n">
        <f aca="false">Table3[[#This Row],[E2TY]]+W$2</f>
        <v>38.7</v>
      </c>
      <c r="AD16" s="9" t="n">
        <f aca="false">T$2+U$2*(Table3[[#This Row],[Effect 2 Y]]-1)+V$2</f>
        <v>45.8</v>
      </c>
      <c r="AE16" s="9" t="n">
        <f aca="false">Table3[[#This Row],[E3Y]]+X$2</f>
        <v>25.2</v>
      </c>
      <c r="AF16" s="9" t="n">
        <f aca="false">Table3[[#This Row],[E3TY]]+W$2</f>
        <v>24.1</v>
      </c>
      <c r="AG16" s="11" t="n">
        <f aca="false">T$2+U$2*(Table3[[#This Row],[Effect 3 Y]]-1)+2*V$2</f>
        <v>31.2</v>
      </c>
    </row>
    <row r="17" customFormat="false" ht="44.55" hidden="false" customHeight="false" outlineLevel="0" collapsed="false">
      <c r="A17" s="7" t="s">
        <v>124</v>
      </c>
      <c r="B17" s="8" t="s">
        <v>34</v>
      </c>
      <c r="C17" s="9" t="s">
        <v>125</v>
      </c>
      <c r="D17" s="10"/>
      <c r="E17" s="9" t="n">
        <v>1</v>
      </c>
      <c r="F17" s="11" t="s">
        <v>35</v>
      </c>
      <c r="G17" s="11" t="s">
        <v>126</v>
      </c>
      <c r="H17" s="11" t="s">
        <v>127</v>
      </c>
      <c r="I17" s="10"/>
      <c r="J17" s="9" t="n">
        <v>3</v>
      </c>
      <c r="K17" s="11" t="s">
        <v>35</v>
      </c>
      <c r="L17" s="11" t="s">
        <v>128</v>
      </c>
      <c r="M17" s="9" t="s">
        <v>129</v>
      </c>
      <c r="N17" s="12"/>
      <c r="O17" s="9" t="n">
        <v>9</v>
      </c>
      <c r="P17" s="11" t="s">
        <v>35</v>
      </c>
      <c r="Q17" s="11" t="s">
        <v>130</v>
      </c>
      <c r="R17" s="9" t="s">
        <v>131</v>
      </c>
      <c r="S17" s="10"/>
      <c r="T17" s="9"/>
      <c r="U17" s="9"/>
      <c r="V17" s="9"/>
      <c r="W17" s="9"/>
      <c r="X17" s="9"/>
      <c r="Y17" s="9" t="n">
        <f aca="false">Table3[[#This Row],[E1Y]]+X$2</f>
        <v>23.6</v>
      </c>
      <c r="Z17" s="9" t="n">
        <f aca="false">Table3[[#This Row],[E1TY]]+W$2</f>
        <v>22.5</v>
      </c>
      <c r="AA17" s="9" t="n">
        <f aca="false">T$2+U$2*(Table3[[#This Row],[Effect 1 Y]]-1)</f>
        <v>29.6</v>
      </c>
      <c r="AB17" s="9" t="n">
        <f aca="false">Table3[[#This Row],[E2Y]]+X$2</f>
        <v>35.4</v>
      </c>
      <c r="AC17" s="9" t="n">
        <f aca="false">Table3[[#This Row],[E2TY]]+W$2</f>
        <v>34.3</v>
      </c>
      <c r="AD17" s="9" t="n">
        <f aca="false">T$2+U$2*(Table3[[#This Row],[Effect 2 Y]]-1)+V$2</f>
        <v>41.4</v>
      </c>
      <c r="AE17" s="9" t="n">
        <f aca="false">Table3[[#This Row],[E3Y]]+X$2</f>
        <v>64.8</v>
      </c>
      <c r="AF17" s="9" t="n">
        <f aca="false">Table3[[#This Row],[E3TY]]+W$2</f>
        <v>63.7</v>
      </c>
      <c r="AG17" s="11" t="n">
        <f aca="false">T$2+U$2*(Table3[[#This Row],[Effect 3 Y]]-1)+2*V$2</f>
        <v>70.8</v>
      </c>
    </row>
    <row r="18" customFormat="false" ht="33.7" hidden="false" customHeight="false" outlineLevel="0" collapsed="false">
      <c r="A18" s="7" t="s">
        <v>132</v>
      </c>
      <c r="B18" s="8" t="s">
        <v>34</v>
      </c>
      <c r="C18" s="9"/>
      <c r="D18" s="10"/>
      <c r="E18" s="9" t="n">
        <v>1</v>
      </c>
      <c r="F18" s="11" t="s">
        <v>50</v>
      </c>
      <c r="G18" s="11" t="s">
        <v>133</v>
      </c>
      <c r="H18" s="11" t="s">
        <v>134</v>
      </c>
      <c r="I18" s="10"/>
      <c r="J18" s="9" t="n">
        <v>3</v>
      </c>
      <c r="K18" s="11" t="s">
        <v>50</v>
      </c>
      <c r="L18" s="11" t="s">
        <v>135</v>
      </c>
      <c r="M18" s="9" t="s">
        <v>136</v>
      </c>
      <c r="N18" s="12"/>
      <c r="O18" s="9" t="n">
        <v>6</v>
      </c>
      <c r="P18" s="11" t="s">
        <v>35</v>
      </c>
      <c r="Q18" s="11" t="s">
        <v>137</v>
      </c>
      <c r="R18" s="9" t="s">
        <v>138</v>
      </c>
      <c r="S18" s="10"/>
      <c r="T18" s="9"/>
      <c r="U18" s="9"/>
      <c r="V18" s="9"/>
      <c r="W18" s="9"/>
      <c r="X18" s="9"/>
      <c r="Y18" s="9" t="n">
        <f aca="false">Table3[[#This Row],[E1Y]]+X$2</f>
        <v>23.6</v>
      </c>
      <c r="Z18" s="9" t="n">
        <f aca="false">Table3[[#This Row],[E1TY]]+W$2</f>
        <v>22.5</v>
      </c>
      <c r="AA18" s="9" t="n">
        <f aca="false">T$2+U$2*(Table3[[#This Row],[Effect 1 Y]]-1)</f>
        <v>29.6</v>
      </c>
      <c r="AB18" s="9" t="n">
        <f aca="false">Table3[[#This Row],[E2Y]]+X$2</f>
        <v>35.4</v>
      </c>
      <c r="AC18" s="9" t="n">
        <f aca="false">Table3[[#This Row],[E2TY]]+W$2</f>
        <v>34.3</v>
      </c>
      <c r="AD18" s="9" t="n">
        <f aca="false">T$2+U$2*(Table3[[#This Row],[Effect 2 Y]]-1)+V$2</f>
        <v>41.4</v>
      </c>
      <c r="AE18" s="9" t="n">
        <f aca="false">Table3[[#This Row],[E3Y]]+X$2</f>
        <v>51.6</v>
      </c>
      <c r="AF18" s="9" t="n">
        <f aca="false">Table3[[#This Row],[E3TY]]+W$2</f>
        <v>50.5</v>
      </c>
      <c r="AG18" s="11" t="n">
        <f aca="false">T$2+U$2*(Table3[[#This Row],[Effect 3 Y]]-1)+2*V$2</f>
        <v>57.6</v>
      </c>
    </row>
    <row r="19" customFormat="false" ht="44.55" hidden="false" customHeight="false" outlineLevel="0" collapsed="false">
      <c r="A19" s="7" t="s">
        <v>139</v>
      </c>
      <c r="B19" s="8" t="s">
        <v>34</v>
      </c>
      <c r="C19" s="9"/>
      <c r="D19" s="10"/>
      <c r="E19" s="9" t="n">
        <v>1</v>
      </c>
      <c r="F19" s="11" t="s">
        <v>35</v>
      </c>
      <c r="G19" s="11" t="s">
        <v>140</v>
      </c>
      <c r="H19" s="11" t="s">
        <v>141</v>
      </c>
      <c r="I19" s="10"/>
      <c r="J19" s="9" t="n">
        <v>7</v>
      </c>
      <c r="K19" s="11" t="s">
        <v>50</v>
      </c>
      <c r="L19" s="11" t="s">
        <v>142</v>
      </c>
      <c r="M19" s="9" t="s">
        <v>143</v>
      </c>
      <c r="N19" s="12"/>
      <c r="O19" s="9"/>
      <c r="P19" s="11"/>
      <c r="Q19" s="11"/>
      <c r="R19" s="9"/>
      <c r="S19" s="10"/>
      <c r="T19" s="9"/>
      <c r="U19" s="9"/>
      <c r="V19" s="9"/>
      <c r="W19" s="9"/>
      <c r="X19" s="9"/>
      <c r="Y19" s="9" t="n">
        <f aca="false">Table3[[#This Row],[E1Y]]+X$2</f>
        <v>23.6</v>
      </c>
      <c r="Z19" s="9" t="n">
        <f aca="false">Table3[[#This Row],[E1TY]]+W$2</f>
        <v>22.5</v>
      </c>
      <c r="AA19" s="9" t="n">
        <f aca="false">T$2+U$2*(Table3[[#This Row],[Effect 1 Y]]-1)</f>
        <v>29.6</v>
      </c>
      <c r="AB19" s="9" t="n">
        <f aca="false">Table3[[#This Row],[E2Y]]+X$2</f>
        <v>53</v>
      </c>
      <c r="AC19" s="9" t="n">
        <f aca="false">Table3[[#This Row],[E2TY]]+W$2</f>
        <v>51.9</v>
      </c>
      <c r="AD19" s="9" t="n">
        <f aca="false">T$2+U$2*(Table3[[#This Row],[Effect 2 Y]]-1)+V$2</f>
        <v>59</v>
      </c>
      <c r="AE19" s="9" t="n">
        <f aca="false">Table3[[#This Row],[E3Y]]+X$2</f>
        <v>25.2</v>
      </c>
      <c r="AF19" s="9" t="n">
        <f aca="false">Table3[[#This Row],[E3TY]]+W$2</f>
        <v>24.1</v>
      </c>
      <c r="AG19" s="11" t="n">
        <f aca="false">T$2+U$2*(Table3[[#This Row],[Effect 3 Y]]-1)+2*V$2</f>
        <v>31.2</v>
      </c>
    </row>
    <row r="20" customFormat="false" ht="22.85" hidden="false" customHeight="false" outlineLevel="0" collapsed="false">
      <c r="A20" s="7" t="s">
        <v>144</v>
      </c>
      <c r="B20" s="8" t="s">
        <v>34</v>
      </c>
      <c r="C20" s="9"/>
      <c r="D20" s="10"/>
      <c r="E20" s="9" t="n">
        <v>1</v>
      </c>
      <c r="F20" s="11" t="s">
        <v>35</v>
      </c>
      <c r="G20" s="11" t="s">
        <v>145</v>
      </c>
      <c r="H20" s="11" t="s">
        <v>146</v>
      </c>
      <c r="I20" s="10"/>
      <c r="J20" s="9" t="n">
        <v>5</v>
      </c>
      <c r="K20" s="11" t="s">
        <v>35</v>
      </c>
      <c r="L20" s="11" t="s">
        <v>147</v>
      </c>
      <c r="M20" s="9" t="s">
        <v>148</v>
      </c>
      <c r="N20" s="12"/>
      <c r="O20" s="9"/>
      <c r="P20" s="11"/>
      <c r="Q20" s="11"/>
      <c r="R20" s="9"/>
      <c r="S20" s="10"/>
      <c r="T20" s="9"/>
      <c r="U20" s="9"/>
      <c r="V20" s="9"/>
      <c r="W20" s="9"/>
      <c r="X20" s="9"/>
      <c r="Y20" s="9" t="n">
        <f aca="false">Table3[[#This Row],[E1Y]]+X$2</f>
        <v>23.6</v>
      </c>
      <c r="Z20" s="9" t="n">
        <f aca="false">Table3[[#This Row],[E1TY]]+W$2</f>
        <v>22.5</v>
      </c>
      <c r="AA20" s="9" t="n">
        <f aca="false">T$2+U$2*(Table3[[#This Row],[Effect 1 Y]]-1)</f>
        <v>29.6</v>
      </c>
      <c r="AB20" s="9" t="n">
        <f aca="false">Table3[[#This Row],[E2Y]]+X$2</f>
        <v>44.2</v>
      </c>
      <c r="AC20" s="9" t="n">
        <f aca="false">Table3[[#This Row],[E2TY]]+W$2</f>
        <v>43.1</v>
      </c>
      <c r="AD20" s="9" t="n">
        <f aca="false">T$2+U$2*(Table3[[#This Row],[Effect 2 Y]]-1)+V$2</f>
        <v>50.2</v>
      </c>
      <c r="AE20" s="9" t="n">
        <f aca="false">Table3[[#This Row],[E3Y]]+X$2</f>
        <v>25.2</v>
      </c>
      <c r="AF20" s="9" t="n">
        <f aca="false">Table3[[#This Row],[E3TY]]+W$2</f>
        <v>24.1</v>
      </c>
      <c r="AG20" s="11" t="n">
        <f aca="false">T$2+U$2*(Table3[[#This Row],[Effect 3 Y]]-1)+2*V$2</f>
        <v>31.2</v>
      </c>
    </row>
    <row r="21" customFormat="false" ht="87.95" hidden="false" customHeight="false" outlineLevel="0" collapsed="false">
      <c r="A21" s="7" t="s">
        <v>149</v>
      </c>
      <c r="B21" s="8" t="s">
        <v>34</v>
      </c>
      <c r="C21" s="9" t="s">
        <v>55</v>
      </c>
      <c r="D21" s="10"/>
      <c r="E21" s="9" t="n">
        <v>1</v>
      </c>
      <c r="F21" s="9" t="s">
        <v>50</v>
      </c>
      <c r="G21" s="11" t="s">
        <v>150</v>
      </c>
      <c r="H21" s="11" t="s">
        <v>151</v>
      </c>
      <c r="I21" s="10"/>
      <c r="J21" s="9" t="n">
        <v>10.5</v>
      </c>
      <c r="K21" s="9" t="s">
        <v>50</v>
      </c>
      <c r="L21" s="11" t="s">
        <v>152</v>
      </c>
      <c r="M21" s="9" t="s">
        <v>153</v>
      </c>
      <c r="N21" s="12"/>
      <c r="O21" s="9"/>
      <c r="P21" s="11"/>
      <c r="Q21" s="11"/>
      <c r="R21" s="9"/>
      <c r="S21" s="10"/>
      <c r="T21" s="9"/>
      <c r="U21" s="9"/>
      <c r="V21" s="9"/>
      <c r="W21" s="9"/>
      <c r="X21" s="9"/>
      <c r="Y21" s="9" t="n">
        <f aca="false">Table3[[#This Row],[E1Y]]+X$2</f>
        <v>23.6</v>
      </c>
      <c r="Z21" s="9" t="n">
        <f aca="false">Table3[[#This Row],[E1TY]]+W$2</f>
        <v>22.5</v>
      </c>
      <c r="AA21" s="9" t="n">
        <f aca="false">T$2+U$2*(Table3[[#This Row],[Effect 1 Y]]-1)</f>
        <v>29.6</v>
      </c>
      <c r="AB21" s="9" t="n">
        <f aca="false">Table3[[#This Row],[E2Y]]+X$2</f>
        <v>68.4</v>
      </c>
      <c r="AC21" s="9" t="n">
        <f aca="false">Table3[[#This Row],[E2TY]]+W$2</f>
        <v>67.3</v>
      </c>
      <c r="AD21" s="9" t="n">
        <f aca="false">T$2+U$2*(Table3[[#This Row],[Effect 2 Y]]-1)+V$2</f>
        <v>74.4</v>
      </c>
      <c r="AE21" s="9" t="n">
        <f aca="false">Table3[[#This Row],[E3Y]]+X$2</f>
        <v>25.2</v>
      </c>
      <c r="AF21" s="9" t="n">
        <f aca="false">Table3[[#This Row],[E3TY]]+W$2</f>
        <v>24.1</v>
      </c>
      <c r="AG21" s="11" t="n">
        <f aca="false">T$2+U$2*(Table3[[#This Row],[Effect 3 Y]]-1)+2*V$2</f>
        <v>31.2</v>
      </c>
    </row>
    <row r="22" customFormat="false" ht="22.85" hidden="false" customHeight="false" outlineLevel="0" collapsed="false">
      <c r="A22" s="7" t="s">
        <v>154</v>
      </c>
      <c r="B22" s="8" t="s">
        <v>34</v>
      </c>
      <c r="C22" s="9"/>
      <c r="D22" s="10"/>
      <c r="E22" s="9" t="n">
        <v>1</v>
      </c>
      <c r="F22" s="11" t="s">
        <v>35</v>
      </c>
      <c r="G22" s="11" t="s">
        <v>155</v>
      </c>
      <c r="H22" s="11" t="s">
        <v>156</v>
      </c>
      <c r="I22" s="10"/>
      <c r="J22" s="9" t="n">
        <v>3</v>
      </c>
      <c r="K22" s="11" t="s">
        <v>35</v>
      </c>
      <c r="L22" s="11" t="s">
        <v>157</v>
      </c>
      <c r="M22" s="9" t="s">
        <v>158</v>
      </c>
      <c r="N22" s="12"/>
      <c r="O22" s="9" t="n">
        <v>6</v>
      </c>
      <c r="P22" s="11" t="s">
        <v>35</v>
      </c>
      <c r="Q22" s="11" t="s">
        <v>159</v>
      </c>
      <c r="R22" s="9" t="s">
        <v>160</v>
      </c>
      <c r="S22" s="10"/>
      <c r="T22" s="9"/>
      <c r="U22" s="9"/>
      <c r="V22" s="9"/>
      <c r="W22" s="9"/>
      <c r="X22" s="9"/>
      <c r="Y22" s="9" t="n">
        <f aca="false">Table3[[#This Row],[E1Y]]+X$2</f>
        <v>23.6</v>
      </c>
      <c r="Z22" s="9" t="n">
        <f aca="false">Table3[[#This Row],[E1TY]]+W$2</f>
        <v>22.5</v>
      </c>
      <c r="AA22" s="9" t="n">
        <f aca="false">T$2+U$2*(Table3[[#This Row],[Effect 1 Y]]-1)</f>
        <v>29.6</v>
      </c>
      <c r="AB22" s="9" t="n">
        <f aca="false">Table3[[#This Row],[E2Y]]+X$2</f>
        <v>35.4</v>
      </c>
      <c r="AC22" s="9" t="n">
        <f aca="false">Table3[[#This Row],[E2TY]]+W$2</f>
        <v>34.3</v>
      </c>
      <c r="AD22" s="9" t="n">
        <f aca="false">T$2+U$2*(Table3[[#This Row],[Effect 2 Y]]-1)+V$2</f>
        <v>41.4</v>
      </c>
      <c r="AE22" s="9" t="n">
        <f aca="false">Table3[[#This Row],[E3Y]]+X$2</f>
        <v>51.6</v>
      </c>
      <c r="AF22" s="9" t="n">
        <f aca="false">Table3[[#This Row],[E3TY]]+W$2</f>
        <v>50.5</v>
      </c>
      <c r="AG22" s="11" t="n">
        <f aca="false">T$2+U$2*(Table3[[#This Row],[Effect 3 Y]]-1)+2*V$2</f>
        <v>57.6</v>
      </c>
    </row>
    <row r="23" customFormat="false" ht="44.55" hidden="false" customHeight="false" outlineLevel="0" collapsed="false">
      <c r="A23" s="7" t="s">
        <v>161</v>
      </c>
      <c r="B23" s="8" t="s">
        <v>34</v>
      </c>
      <c r="C23" s="9" t="s">
        <v>66</v>
      </c>
      <c r="D23" s="10"/>
      <c r="E23" s="9" t="n">
        <v>1</v>
      </c>
      <c r="F23" s="11" t="s">
        <v>35</v>
      </c>
      <c r="G23" s="11" t="s">
        <v>162</v>
      </c>
      <c r="H23" s="11" t="s">
        <v>163</v>
      </c>
      <c r="I23" s="10"/>
      <c r="J23" s="9" t="n">
        <v>4</v>
      </c>
      <c r="K23" s="11" t="s">
        <v>35</v>
      </c>
      <c r="L23" s="11" t="s">
        <v>164</v>
      </c>
      <c r="M23" s="9" t="s">
        <v>165</v>
      </c>
      <c r="N23" s="12"/>
      <c r="O23" s="9" t="n">
        <v>7</v>
      </c>
      <c r="P23" s="11" t="s">
        <v>35</v>
      </c>
      <c r="Q23" s="11" t="s">
        <v>166</v>
      </c>
      <c r="R23" s="9" t="s">
        <v>167</v>
      </c>
      <c r="S23" s="10"/>
      <c r="T23" s="9"/>
      <c r="U23" s="9"/>
      <c r="V23" s="9"/>
      <c r="W23" s="9"/>
      <c r="X23" s="9"/>
      <c r="Y23" s="9" t="n">
        <f aca="false">Table3[[#This Row],[E1Y]]+X$2</f>
        <v>23.6</v>
      </c>
      <c r="Z23" s="9" t="n">
        <f aca="false">Table3[[#This Row],[E1TY]]+W$2</f>
        <v>22.5</v>
      </c>
      <c r="AA23" s="9" t="n">
        <f aca="false">T$2+U$2*(Table3[[#This Row],[Effect 1 Y]]-1)</f>
        <v>29.6</v>
      </c>
      <c r="AB23" s="9" t="n">
        <f aca="false">Table3[[#This Row],[E2Y]]+X$2</f>
        <v>39.8</v>
      </c>
      <c r="AC23" s="9" t="n">
        <f aca="false">Table3[[#This Row],[E2TY]]+W$2</f>
        <v>38.7</v>
      </c>
      <c r="AD23" s="9" t="n">
        <f aca="false">T$2+U$2*(Table3[[#This Row],[Effect 2 Y]]-1)+V$2</f>
        <v>45.8</v>
      </c>
      <c r="AE23" s="9" t="n">
        <f aca="false">Table3[[#This Row],[E3Y]]+X$2</f>
        <v>56</v>
      </c>
      <c r="AF23" s="9" t="n">
        <f aca="false">Table3[[#This Row],[E3TY]]+W$2</f>
        <v>54.9</v>
      </c>
      <c r="AG23" s="11" t="n">
        <f aca="false">T$2+U$2*(Table3[[#This Row],[Effect 3 Y]]-1)+2*V$2</f>
        <v>62</v>
      </c>
    </row>
    <row r="24" customFormat="false" ht="22.85" hidden="false" customHeight="false" outlineLevel="0" collapsed="false">
      <c r="A24" s="7" t="s">
        <v>168</v>
      </c>
      <c r="B24" s="8" t="s">
        <v>34</v>
      </c>
      <c r="C24" s="9"/>
      <c r="D24" s="18"/>
      <c r="E24" s="9" t="n">
        <v>1</v>
      </c>
      <c r="F24" s="9" t="s">
        <v>35</v>
      </c>
      <c r="G24" s="9" t="s">
        <v>169</v>
      </c>
      <c r="H24" s="9" t="s">
        <v>170</v>
      </c>
      <c r="I24" s="18"/>
      <c r="J24" s="9" t="n">
        <v>4</v>
      </c>
      <c r="K24" s="11" t="s">
        <v>35</v>
      </c>
      <c r="L24" s="11" t="s">
        <v>171</v>
      </c>
      <c r="M24" s="9" t="s">
        <v>172</v>
      </c>
      <c r="N24" s="19"/>
      <c r="O24" s="9"/>
      <c r="P24" s="9"/>
      <c r="Q24" s="9"/>
      <c r="R24" s="9"/>
      <c r="S24" s="18"/>
      <c r="T24" s="9" t="n">
        <v>2.96</v>
      </c>
      <c r="U24" s="9" t="n">
        <v>0.49</v>
      </c>
      <c r="V24" s="9" t="n">
        <v>0.2</v>
      </c>
      <c r="W24" s="9" t="n">
        <v>-0.12</v>
      </c>
      <c r="X24" s="9" t="n">
        <v>-0.6</v>
      </c>
      <c r="Y24" s="9" t="n">
        <f aca="false">Table3[[#This Row],[E1Y]]+X$2</f>
        <v>23.6</v>
      </c>
      <c r="Z24" s="9" t="n">
        <f aca="false">Table3[[#This Row],[E1TY]]+W$2</f>
        <v>22.5</v>
      </c>
      <c r="AA24" s="9" t="n">
        <f aca="false">T$2+U$2*(Table3[[#This Row],[Effect 1 Y]]-1)</f>
        <v>29.6</v>
      </c>
      <c r="AB24" s="9" t="n">
        <f aca="false">Table3[[#This Row],[E2Y]]+X$2</f>
        <v>39.8</v>
      </c>
      <c r="AC24" s="9" t="n">
        <f aca="false">Table3[[#This Row],[E2TY]]+W$2</f>
        <v>38.7</v>
      </c>
      <c r="AD24" s="9" t="n">
        <f aca="false">T$2+U$2*(Table3[[#This Row],[Effect 2 Y]]-1)+V$2</f>
        <v>45.8</v>
      </c>
      <c r="AE24" s="9" t="n">
        <f aca="false">Table3[[#This Row],[E3Y]]+X$2</f>
        <v>25.2</v>
      </c>
      <c r="AF24" s="9" t="n">
        <f aca="false">Table3[[#This Row],[E3TY]]+W$2</f>
        <v>24.1</v>
      </c>
      <c r="AG24" s="11" t="n">
        <f aca="false">T$2+U$2*(Table3[[#This Row],[Effect 3 Y]]-1)+2*V$2</f>
        <v>31.2</v>
      </c>
    </row>
    <row r="25" customFormat="false" ht="44.55" hidden="false" customHeight="false" outlineLevel="0" collapsed="false">
      <c r="A25" s="7" t="s">
        <v>173</v>
      </c>
      <c r="B25" s="8" t="s">
        <v>34</v>
      </c>
      <c r="C25" s="9"/>
      <c r="D25" s="10"/>
      <c r="E25" s="9" t="n">
        <v>1</v>
      </c>
      <c r="F25" s="11" t="s">
        <v>35</v>
      </c>
      <c r="G25" s="11" t="s">
        <v>174</v>
      </c>
      <c r="H25" s="11" t="s">
        <v>175</v>
      </c>
      <c r="I25" s="10"/>
      <c r="J25" s="9" t="n">
        <v>4</v>
      </c>
      <c r="K25" s="9" t="s">
        <v>50</v>
      </c>
      <c r="L25" s="11" t="s">
        <v>176</v>
      </c>
      <c r="M25" s="11" t="s">
        <v>177</v>
      </c>
      <c r="N25" s="12"/>
      <c r="O25" s="11"/>
      <c r="P25" s="11"/>
      <c r="Q25" s="9"/>
      <c r="R25" s="9"/>
      <c r="S25" s="10"/>
      <c r="T25" s="9"/>
      <c r="U25" s="9"/>
      <c r="V25" s="9"/>
      <c r="W25" s="9"/>
      <c r="X25" s="9"/>
      <c r="Y25" s="9" t="n">
        <f aca="false">Table3[[#This Row],[E1Y]]+X$2</f>
        <v>23.6</v>
      </c>
      <c r="Z25" s="9" t="n">
        <f aca="false">Table3[[#This Row],[E1TY]]+W$2</f>
        <v>22.5</v>
      </c>
      <c r="AA25" s="9" t="n">
        <f aca="false">T$2+U$2*(Table3[[#This Row],[Effect 1 Y]]-1)</f>
        <v>29.6</v>
      </c>
      <c r="AB25" s="9" t="n">
        <f aca="false">Table3[[#This Row],[E2Y]]+X$2</f>
        <v>39.8</v>
      </c>
      <c r="AC25" s="9" t="n">
        <f aca="false">Table3[[#This Row],[E2TY]]+W$2</f>
        <v>38.7</v>
      </c>
      <c r="AD25" s="9" t="n">
        <f aca="false">T$2+U$2*(Table3[[#This Row],[Effect 2 Y]]-1)+V$2</f>
        <v>45.8</v>
      </c>
      <c r="AE25" s="9" t="n">
        <f aca="false">Table3[[#This Row],[E3Y]]+X$2</f>
        <v>25.2</v>
      </c>
      <c r="AF25" s="9" t="n">
        <f aca="false">Table3[[#This Row],[E3TY]]+W$2</f>
        <v>24.1</v>
      </c>
      <c r="AG25" s="11" t="n">
        <f aca="false">T$2+U$2*(Table3[[#This Row],[Effect 3 Y]]-1)+2*V$2</f>
        <v>31.2</v>
      </c>
    </row>
    <row r="26" customFormat="false" ht="35.2" hidden="false" customHeight="false" outlineLevel="0" collapsed="false">
      <c r="A26" s="7" t="s">
        <v>178</v>
      </c>
      <c r="B26" s="8" t="s">
        <v>34</v>
      </c>
      <c r="C26" s="9" t="s">
        <v>179</v>
      </c>
      <c r="D26" s="10"/>
      <c r="E26" s="9" t="n">
        <v>1</v>
      </c>
      <c r="F26" s="9" t="s">
        <v>50</v>
      </c>
      <c r="G26" s="11" t="s">
        <v>180</v>
      </c>
      <c r="H26" s="11" t="s">
        <v>181</v>
      </c>
      <c r="I26" s="10"/>
      <c r="J26" s="9" t="n">
        <v>5</v>
      </c>
      <c r="K26" s="11" t="s">
        <v>35</v>
      </c>
      <c r="L26" s="11" t="s">
        <v>182</v>
      </c>
      <c r="M26" s="9" t="s">
        <v>183</v>
      </c>
      <c r="N26" s="12"/>
      <c r="O26" s="9" t="n">
        <v>9</v>
      </c>
      <c r="P26" s="9" t="s">
        <v>50</v>
      </c>
      <c r="Q26" s="11" t="s">
        <v>184</v>
      </c>
      <c r="R26" s="9" t="s">
        <v>185</v>
      </c>
      <c r="S26" s="10"/>
      <c r="T26" s="9"/>
      <c r="U26" s="9"/>
      <c r="V26" s="9"/>
      <c r="W26" s="9"/>
      <c r="X26" s="9"/>
      <c r="Y26" s="9" t="n">
        <f aca="false">Table3[[#This Row],[E1Y]]+X$2</f>
        <v>23.6</v>
      </c>
      <c r="Z26" s="9" t="n">
        <f aca="false">Table3[[#This Row],[E1TY]]+W$2</f>
        <v>22.5</v>
      </c>
      <c r="AA26" s="9" t="n">
        <f aca="false">T$2+U$2*(Table3[[#This Row],[Effect 1 Y]]-1)</f>
        <v>29.6</v>
      </c>
      <c r="AB26" s="9" t="n">
        <f aca="false">Table3[[#This Row],[E2Y]]+X$2</f>
        <v>44.2</v>
      </c>
      <c r="AC26" s="9" t="n">
        <f aca="false">Table3[[#This Row],[E2TY]]+W$2</f>
        <v>43.1</v>
      </c>
      <c r="AD26" s="9" t="n">
        <f aca="false">T$2+U$2*(Table3[[#This Row],[Effect 2 Y]]-1)+V$2</f>
        <v>50.2</v>
      </c>
      <c r="AE26" s="9" t="n">
        <f aca="false">Table3[[#This Row],[E3Y]]+X$2</f>
        <v>64.8</v>
      </c>
      <c r="AF26" s="9" t="n">
        <f aca="false">Table3[[#This Row],[E3TY]]+W$2</f>
        <v>63.7</v>
      </c>
      <c r="AG26" s="11" t="n">
        <f aca="false">T$2+U$2*(Table3[[#This Row],[Effect 3 Y]]-1)+2*V$2</f>
        <v>70.8</v>
      </c>
    </row>
    <row r="27" customFormat="false" ht="33.7" hidden="false" customHeight="false" outlineLevel="0" collapsed="false">
      <c r="A27" s="7" t="s">
        <v>186</v>
      </c>
      <c r="B27" s="8" t="s">
        <v>34</v>
      </c>
      <c r="C27" s="9"/>
      <c r="D27" s="10"/>
      <c r="E27" s="9" t="n">
        <v>1</v>
      </c>
      <c r="F27" s="11" t="s">
        <v>35</v>
      </c>
      <c r="G27" s="11" t="s">
        <v>187</v>
      </c>
      <c r="H27" s="11" t="s">
        <v>188</v>
      </c>
      <c r="I27" s="10"/>
      <c r="J27" s="9" t="n">
        <v>5</v>
      </c>
      <c r="K27" s="11" t="s">
        <v>35</v>
      </c>
      <c r="L27" s="11" t="s">
        <v>189</v>
      </c>
      <c r="M27" s="9" t="s">
        <v>190</v>
      </c>
      <c r="N27" s="12"/>
      <c r="O27" s="9" t="n">
        <v>8</v>
      </c>
      <c r="P27" s="11" t="s">
        <v>35</v>
      </c>
      <c r="Q27" s="11" t="s">
        <v>191</v>
      </c>
      <c r="R27" s="13" t="s">
        <v>192</v>
      </c>
      <c r="S27" s="10"/>
      <c r="T27" s="9"/>
      <c r="U27" s="9"/>
      <c r="V27" s="9"/>
      <c r="W27" s="9"/>
      <c r="X27" s="9"/>
      <c r="Y27" s="9" t="n">
        <f aca="false">Table3[[#This Row],[E1Y]]+X$2</f>
        <v>23.6</v>
      </c>
      <c r="Z27" s="9" t="n">
        <f aca="false">Table3[[#This Row],[E1TY]]+W$2</f>
        <v>22.5</v>
      </c>
      <c r="AA27" s="9" t="n">
        <f aca="false">T$2+U$2*(Table3[[#This Row],[Effect 1 Y]]-1)</f>
        <v>29.6</v>
      </c>
      <c r="AB27" s="9" t="n">
        <f aca="false">Table3[[#This Row],[E2Y]]+X$2</f>
        <v>44.2</v>
      </c>
      <c r="AC27" s="9" t="n">
        <f aca="false">Table3[[#This Row],[E2TY]]+W$2</f>
        <v>43.1</v>
      </c>
      <c r="AD27" s="9" t="n">
        <f aca="false">T$2+U$2*(Table3[[#This Row],[Effect 2 Y]]-1)+V$2</f>
        <v>50.2</v>
      </c>
      <c r="AE27" s="9" t="n">
        <f aca="false">Table3[[#This Row],[E3Y]]+X$2</f>
        <v>60.4</v>
      </c>
      <c r="AF27" s="9" t="n">
        <f aca="false">Table3[[#This Row],[E3TY]]+W$2</f>
        <v>59.3</v>
      </c>
      <c r="AG27" s="11" t="n">
        <f aca="false">T$2+U$2*(Table3[[#This Row],[Effect 3 Y]]-1)+2*V$2</f>
        <v>66.4</v>
      </c>
    </row>
    <row r="28" customFormat="false" ht="22.85" hidden="false" customHeight="false" outlineLevel="0" collapsed="false">
      <c r="A28" s="7" t="s">
        <v>193</v>
      </c>
      <c r="B28" s="8" t="s">
        <v>34</v>
      </c>
      <c r="C28" s="9"/>
      <c r="D28" s="10"/>
      <c r="E28" s="9" t="n">
        <v>1</v>
      </c>
      <c r="F28" s="11" t="s">
        <v>35</v>
      </c>
      <c r="G28" s="11" t="s">
        <v>194</v>
      </c>
      <c r="H28" s="11" t="s">
        <v>195</v>
      </c>
      <c r="I28" s="10"/>
      <c r="J28" s="9" t="n">
        <v>5</v>
      </c>
      <c r="K28" s="9" t="s">
        <v>50</v>
      </c>
      <c r="L28" s="11" t="s">
        <v>196</v>
      </c>
      <c r="M28" s="9" t="s">
        <v>197</v>
      </c>
      <c r="N28" s="12"/>
      <c r="O28" s="9"/>
      <c r="P28" s="11"/>
      <c r="Q28" s="11"/>
      <c r="R28" s="9"/>
      <c r="S28" s="10"/>
      <c r="T28" s="9"/>
      <c r="U28" s="9"/>
      <c r="V28" s="9"/>
      <c r="W28" s="9"/>
      <c r="X28" s="9"/>
      <c r="Y28" s="9" t="n">
        <f aca="false">Table3[[#This Row],[E1Y]]+X$2</f>
        <v>23.6</v>
      </c>
      <c r="Z28" s="9" t="n">
        <f aca="false">Table3[[#This Row],[E1TY]]+W$2</f>
        <v>22.5</v>
      </c>
      <c r="AA28" s="9" t="n">
        <f aca="false">T$2+U$2*(Table3[[#This Row],[Effect 1 Y]]-1)</f>
        <v>29.6</v>
      </c>
      <c r="AB28" s="9" t="n">
        <f aca="false">Table3[[#This Row],[E2Y]]+X$2</f>
        <v>44.2</v>
      </c>
      <c r="AC28" s="9" t="n">
        <f aca="false">Table3[[#This Row],[E2TY]]+W$2</f>
        <v>43.1</v>
      </c>
      <c r="AD28" s="9" t="n">
        <f aca="false">T$2+U$2*(Table3[[#This Row],[Effect 2 Y]]-1)+V$2</f>
        <v>50.2</v>
      </c>
      <c r="AE28" s="9" t="n">
        <f aca="false">Table3[[#This Row],[E3Y]]+X$2</f>
        <v>25.2</v>
      </c>
      <c r="AF28" s="9" t="n">
        <f aca="false">Table3[[#This Row],[E3TY]]+W$2</f>
        <v>24.1</v>
      </c>
      <c r="AG28" s="11" t="n">
        <f aca="false">T$2+U$2*(Table3[[#This Row],[Effect 3 Y]]-1)+2*V$2</f>
        <v>31.2</v>
      </c>
    </row>
    <row r="29" customFormat="false" ht="33.7" hidden="false" customHeight="false" outlineLevel="0" collapsed="false">
      <c r="A29" s="7" t="s">
        <v>198</v>
      </c>
      <c r="B29" s="13" t="s">
        <v>199</v>
      </c>
      <c r="C29" s="9"/>
      <c r="D29" s="10"/>
      <c r="E29" s="9" t="n">
        <v>1</v>
      </c>
      <c r="F29" s="9" t="s">
        <v>50</v>
      </c>
      <c r="G29" s="11" t="s">
        <v>200</v>
      </c>
      <c r="H29" s="11" t="s">
        <v>201</v>
      </c>
      <c r="I29" s="10"/>
      <c r="J29" s="9"/>
      <c r="K29" s="9"/>
      <c r="L29" s="9"/>
      <c r="M29" s="9"/>
      <c r="N29" s="12"/>
      <c r="O29" s="9"/>
      <c r="P29" s="9"/>
      <c r="Q29" s="9"/>
      <c r="R29" s="9"/>
      <c r="S29" s="10"/>
      <c r="T29" s="9"/>
      <c r="U29" s="9"/>
      <c r="V29" s="9"/>
      <c r="W29" s="9"/>
      <c r="X29" s="9"/>
      <c r="Y29" s="9" t="n">
        <f aca="false">Table3[[#This Row],[E1Y]]+X$2</f>
        <v>23.6</v>
      </c>
      <c r="Z29" s="9" t="n">
        <f aca="false">Table3[[#This Row],[E1TY]]+W$2</f>
        <v>22.5</v>
      </c>
      <c r="AA29" s="9" t="n">
        <f aca="false">T$2+U$2*(Table3[[#This Row],[Effect 1 Y]]-1)</f>
        <v>29.6</v>
      </c>
      <c r="AB29" s="9" t="n">
        <f aca="false">Table3[[#This Row],[E2Y]]+X$2</f>
        <v>22.2</v>
      </c>
      <c r="AC29" s="9" t="n">
        <f aca="false">Table3[[#This Row],[E2TY]]+W$2</f>
        <v>21.1</v>
      </c>
      <c r="AD29" s="9" t="n">
        <f aca="false">T$2+U$2*(Table3[[#This Row],[Effect 2 Y]]-1)+V$2</f>
        <v>28.2</v>
      </c>
      <c r="AE29" s="9" t="n">
        <f aca="false">Table3[[#This Row],[E3Y]]+X$2</f>
        <v>25.2</v>
      </c>
      <c r="AF29" s="9" t="n">
        <f aca="false">Table3[[#This Row],[E3TY]]+W$2</f>
        <v>24.1</v>
      </c>
      <c r="AG29" s="11" t="n">
        <f aca="false">T$2+U$2*(Table3[[#This Row],[Effect 3 Y]]-1)+2*V$2</f>
        <v>31.2</v>
      </c>
    </row>
    <row r="30" customFormat="false" ht="22.85" hidden="false" customHeight="false" outlineLevel="0" collapsed="false">
      <c r="A30" s="7" t="s">
        <v>202</v>
      </c>
      <c r="B30" s="13" t="s">
        <v>199</v>
      </c>
      <c r="C30" s="11"/>
      <c r="D30" s="10"/>
      <c r="E30" s="9" t="n">
        <v>1</v>
      </c>
      <c r="F30" s="11" t="s">
        <v>35</v>
      </c>
      <c r="G30" s="11" t="s">
        <v>203</v>
      </c>
      <c r="H30" s="11" t="s">
        <v>204</v>
      </c>
      <c r="I30" s="10"/>
      <c r="J30" s="9" t="n">
        <v>4</v>
      </c>
      <c r="K30" s="9" t="s">
        <v>35</v>
      </c>
      <c r="L30" s="9" t="s">
        <v>205</v>
      </c>
      <c r="M30" s="9" t="s">
        <v>206</v>
      </c>
      <c r="N30" s="12"/>
      <c r="O30" s="9"/>
      <c r="P30" s="9"/>
      <c r="Q30" s="9"/>
      <c r="R30" s="9"/>
      <c r="S30" s="10"/>
      <c r="T30" s="9"/>
      <c r="U30" s="9"/>
      <c r="V30" s="9"/>
      <c r="W30" s="9"/>
      <c r="X30" s="9"/>
      <c r="Y30" s="9" t="n">
        <f aca="false">Table3[[#This Row],[E1Y]]+X$2</f>
        <v>23.6</v>
      </c>
      <c r="Z30" s="9" t="n">
        <f aca="false">Table3[[#This Row],[E1TY]]+W$2</f>
        <v>22.5</v>
      </c>
      <c r="AA30" s="9" t="n">
        <f aca="false">T$2+U$2*(Table3[[#This Row],[Effect 1 Y]]-1)</f>
        <v>29.6</v>
      </c>
      <c r="AB30" s="9" t="n">
        <f aca="false">Table3[[#This Row],[E2Y]]+X$2</f>
        <v>39.8</v>
      </c>
      <c r="AC30" s="9" t="n">
        <f aca="false">Table3[[#This Row],[E2TY]]+W$2</f>
        <v>38.7</v>
      </c>
      <c r="AD30" s="9" t="n">
        <f aca="false">T$2+U$2*(Table3[[#This Row],[Effect 2 Y]]-1)+V$2</f>
        <v>45.8</v>
      </c>
      <c r="AE30" s="9" t="n">
        <f aca="false">Table3[[#This Row],[E3Y]]+X$2</f>
        <v>25.2</v>
      </c>
      <c r="AF30" s="9" t="n">
        <f aca="false">Table3[[#This Row],[E3TY]]+W$2</f>
        <v>24.1</v>
      </c>
      <c r="AG30" s="11" t="n">
        <f aca="false">T$2+U$2*(Table3[[#This Row],[Effect 3 Y]]-1)+2*V$2</f>
        <v>31.2</v>
      </c>
    </row>
    <row r="31" customFormat="false" ht="22.85" hidden="false" customHeight="false" outlineLevel="0" collapsed="false">
      <c r="A31" s="7" t="s">
        <v>207</v>
      </c>
      <c r="B31" s="13" t="s">
        <v>199</v>
      </c>
      <c r="C31" s="9"/>
      <c r="D31" s="18"/>
      <c r="E31" s="9" t="n">
        <v>1</v>
      </c>
      <c r="F31" s="11" t="s">
        <v>35</v>
      </c>
      <c r="G31" s="9" t="s">
        <v>208</v>
      </c>
      <c r="H31" s="9" t="s">
        <v>209</v>
      </c>
      <c r="I31" s="18"/>
      <c r="J31" s="9"/>
      <c r="K31" s="9"/>
      <c r="L31" s="9"/>
      <c r="M31" s="9"/>
      <c r="N31" s="19"/>
      <c r="O31" s="9"/>
      <c r="P31" s="9"/>
      <c r="Q31" s="9"/>
      <c r="R31" s="9"/>
      <c r="S31" s="18"/>
      <c r="T31" s="9"/>
      <c r="U31" s="9"/>
      <c r="V31" s="9"/>
      <c r="W31" s="9"/>
      <c r="X31" s="9"/>
      <c r="Y31" s="9" t="n">
        <f aca="false">Table3[[#This Row],[E1Y]]+X$2</f>
        <v>23.6</v>
      </c>
      <c r="Z31" s="9" t="n">
        <f aca="false">Table3[[#This Row],[E1TY]]+W$2</f>
        <v>22.5</v>
      </c>
      <c r="AA31" s="9" t="n">
        <f aca="false">T$2+U$2*(Table3[[#This Row],[Effect 1 Y]]-1)</f>
        <v>29.6</v>
      </c>
      <c r="AB31" s="9" t="n">
        <f aca="false">Table3[[#This Row],[E2Y]]+X$2</f>
        <v>22.2</v>
      </c>
      <c r="AC31" s="9" t="n">
        <f aca="false">Table3[[#This Row],[E2TY]]+W$2</f>
        <v>21.1</v>
      </c>
      <c r="AD31" s="9" t="n">
        <f aca="false">T$2+U$2*(Table3[[#This Row],[Effect 2 Y]]-1)+V$2</f>
        <v>28.2</v>
      </c>
      <c r="AE31" s="9" t="n">
        <f aca="false">Table3[[#This Row],[E3Y]]+X$2</f>
        <v>25.2</v>
      </c>
      <c r="AF31" s="9" t="n">
        <f aca="false">Table3[[#This Row],[E3TY]]+W$2</f>
        <v>24.1</v>
      </c>
      <c r="AG31" s="11" t="n">
        <f aca="false">T$2+U$2*(Table3[[#This Row],[Effect 3 Y]]-1)+2*V$2</f>
        <v>31.2</v>
      </c>
    </row>
    <row r="32" customFormat="false" ht="55.4" hidden="false" customHeight="false" outlineLevel="0" collapsed="false">
      <c r="A32" s="7" t="s">
        <v>210</v>
      </c>
      <c r="B32" s="13" t="s">
        <v>199</v>
      </c>
      <c r="C32" s="9"/>
      <c r="D32" s="18"/>
      <c r="E32" s="9" t="n">
        <v>1</v>
      </c>
      <c r="F32" s="11" t="s">
        <v>35</v>
      </c>
      <c r="G32" s="9" t="s">
        <v>211</v>
      </c>
      <c r="H32" s="9" t="s">
        <v>212</v>
      </c>
      <c r="I32" s="18"/>
      <c r="J32" s="9"/>
      <c r="K32" s="9"/>
      <c r="L32" s="9"/>
      <c r="M32" s="9"/>
      <c r="N32" s="19"/>
      <c r="O32" s="9"/>
      <c r="P32" s="9"/>
      <c r="Q32" s="9"/>
      <c r="R32" s="9"/>
      <c r="S32" s="18"/>
      <c r="T32" s="9"/>
      <c r="U32" s="9"/>
      <c r="V32" s="9"/>
      <c r="W32" s="9"/>
      <c r="X32" s="9"/>
      <c r="Y32" s="9" t="n">
        <f aca="false">Table3[[#This Row],[E1Y]]+X$2</f>
        <v>23.6</v>
      </c>
      <c r="Z32" s="9" t="n">
        <f aca="false">Table3[[#This Row],[E1TY]]+W$2</f>
        <v>22.5</v>
      </c>
      <c r="AA32" s="9" t="n">
        <f aca="false">T$2+U$2*(Table3[[#This Row],[Effect 1 Y]]-1)</f>
        <v>29.6</v>
      </c>
      <c r="AB32" s="9" t="n">
        <f aca="false">Table3[[#This Row],[E2Y]]+X$2</f>
        <v>22.2</v>
      </c>
      <c r="AC32" s="9" t="n">
        <f aca="false">Table3[[#This Row],[E2TY]]+W$2</f>
        <v>21.1</v>
      </c>
      <c r="AD32" s="9" t="n">
        <f aca="false">T$2+U$2*(Table3[[#This Row],[Effect 2 Y]]-1)+V$2</f>
        <v>28.2</v>
      </c>
      <c r="AE32" s="9" t="n">
        <f aca="false">Table3[[#This Row],[E3Y]]+X$2</f>
        <v>25.2</v>
      </c>
      <c r="AF32" s="9" t="n">
        <f aca="false">Table3[[#This Row],[E3TY]]+W$2</f>
        <v>24.1</v>
      </c>
      <c r="AG32" s="11" t="n">
        <f aca="false">T$2+U$2*(Table3[[#This Row],[Effect 3 Y]]-1)+2*V$2</f>
        <v>31.2</v>
      </c>
    </row>
    <row r="33" customFormat="false" ht="22.85" hidden="false" customHeight="false" outlineLevel="0" collapsed="false">
      <c r="A33" s="7" t="s">
        <v>213</v>
      </c>
      <c r="B33" s="13" t="s">
        <v>199</v>
      </c>
      <c r="C33" s="9"/>
      <c r="D33" s="18"/>
      <c r="E33" s="9" t="n">
        <v>1</v>
      </c>
      <c r="F33" s="11" t="s">
        <v>35</v>
      </c>
      <c r="G33" s="9" t="s">
        <v>211</v>
      </c>
      <c r="H33" s="9" t="s">
        <v>214</v>
      </c>
      <c r="I33" s="18"/>
      <c r="J33" s="9"/>
      <c r="K33" s="9"/>
      <c r="L33" s="9"/>
      <c r="M33" s="9"/>
      <c r="N33" s="19"/>
      <c r="O33" s="9"/>
      <c r="P33" s="9"/>
      <c r="Q33" s="9"/>
      <c r="R33" s="9"/>
      <c r="S33" s="18"/>
      <c r="T33" s="9"/>
      <c r="U33" s="9"/>
      <c r="V33" s="9"/>
      <c r="W33" s="9"/>
      <c r="X33" s="9"/>
      <c r="Y33" s="9" t="n">
        <f aca="false">Table3[[#This Row],[E1Y]]+X$2</f>
        <v>23.6</v>
      </c>
      <c r="Z33" s="9" t="n">
        <f aca="false">Table3[[#This Row],[E1TY]]+W$2</f>
        <v>22.5</v>
      </c>
      <c r="AA33" s="9" t="n">
        <f aca="false">T$2+U$2*(Table3[[#This Row],[Effect 1 Y]]-1)</f>
        <v>29.6</v>
      </c>
      <c r="AB33" s="9" t="n">
        <f aca="false">Table3[[#This Row],[E2Y]]+X$2</f>
        <v>22.2</v>
      </c>
      <c r="AC33" s="9" t="n">
        <f aca="false">Table3[[#This Row],[E2TY]]+W$2</f>
        <v>21.1</v>
      </c>
      <c r="AD33" s="9" t="n">
        <f aca="false">T$2+U$2*(Table3[[#This Row],[Effect 2 Y]]-1)+V$2</f>
        <v>28.2</v>
      </c>
      <c r="AE33" s="9" t="n">
        <f aca="false">Table3[[#This Row],[E3Y]]+X$2</f>
        <v>25.2</v>
      </c>
      <c r="AF33" s="9" t="n">
        <f aca="false">Table3[[#This Row],[E3TY]]+W$2</f>
        <v>24.1</v>
      </c>
      <c r="AG33" s="11" t="n">
        <f aca="false">T$2+U$2*(Table3[[#This Row],[Effect 3 Y]]-1)+2*V$2</f>
        <v>31.2</v>
      </c>
    </row>
    <row r="34" customFormat="false" ht="22.85" hidden="false" customHeight="false" outlineLevel="0" collapsed="false">
      <c r="A34" s="7" t="s">
        <v>215</v>
      </c>
      <c r="B34" s="13" t="s">
        <v>199</v>
      </c>
      <c r="C34" s="9"/>
      <c r="D34" s="18"/>
      <c r="E34" s="9" t="n">
        <v>1</v>
      </c>
      <c r="F34" s="11" t="s">
        <v>35</v>
      </c>
      <c r="G34" s="9" t="s">
        <v>211</v>
      </c>
      <c r="H34" s="9" t="s">
        <v>216</v>
      </c>
      <c r="I34" s="18"/>
      <c r="J34" s="9"/>
      <c r="K34" s="9"/>
      <c r="L34" s="9"/>
      <c r="M34" s="9"/>
      <c r="N34" s="19"/>
      <c r="O34" s="9"/>
      <c r="P34" s="9"/>
      <c r="Q34" s="9"/>
      <c r="R34" s="9"/>
      <c r="S34" s="18"/>
      <c r="T34" s="9"/>
      <c r="U34" s="9"/>
      <c r="V34" s="9"/>
      <c r="W34" s="9"/>
      <c r="X34" s="9"/>
      <c r="Y34" s="9" t="n">
        <f aca="false">Table3[[#This Row],[E1Y]]+X$2</f>
        <v>23.6</v>
      </c>
      <c r="Z34" s="9" t="n">
        <f aca="false">Table3[[#This Row],[E1TY]]+W$2</f>
        <v>22.5</v>
      </c>
      <c r="AA34" s="9" t="n">
        <f aca="false">T$2+U$2*(Table3[[#This Row],[Effect 1 Y]]-1)</f>
        <v>29.6</v>
      </c>
      <c r="AB34" s="9" t="n">
        <f aca="false">Table3[[#This Row],[E2Y]]+X$2</f>
        <v>22.2</v>
      </c>
      <c r="AC34" s="9" t="n">
        <f aca="false">Table3[[#This Row],[E2TY]]+W$2</f>
        <v>21.1</v>
      </c>
      <c r="AD34" s="9" t="n">
        <f aca="false">T$2+U$2*(Table3[[#This Row],[Effect 2 Y]]-1)+V$2</f>
        <v>28.2</v>
      </c>
      <c r="AE34" s="9" t="n">
        <f aca="false">Table3[[#This Row],[E3Y]]+X$2</f>
        <v>25.2</v>
      </c>
      <c r="AF34" s="9" t="n">
        <f aca="false">Table3[[#This Row],[E3TY]]+W$2</f>
        <v>24.1</v>
      </c>
      <c r="AG34" s="11" t="n">
        <f aca="false">T$2+U$2*(Table3[[#This Row],[Effect 3 Y]]-1)+2*V$2</f>
        <v>31.2</v>
      </c>
    </row>
    <row r="35" customFormat="false" ht="22.85" hidden="false" customHeight="false" outlineLevel="0" collapsed="false">
      <c r="A35" s="7" t="s">
        <v>217</v>
      </c>
      <c r="B35" s="13" t="s">
        <v>199</v>
      </c>
      <c r="C35" s="9"/>
      <c r="D35" s="10"/>
      <c r="E35" s="9" t="n">
        <v>1</v>
      </c>
      <c r="F35" s="11" t="s">
        <v>218</v>
      </c>
      <c r="G35" s="11" t="s">
        <v>219</v>
      </c>
      <c r="H35" s="11" t="s">
        <v>220</v>
      </c>
      <c r="I35" s="10"/>
      <c r="J35" s="9"/>
      <c r="K35" s="11"/>
      <c r="L35" s="11"/>
      <c r="M35" s="9"/>
      <c r="N35" s="12"/>
      <c r="O35" s="9"/>
      <c r="P35" s="11"/>
      <c r="Q35" s="11"/>
      <c r="R35" s="9"/>
      <c r="S35" s="10"/>
      <c r="T35" s="9"/>
      <c r="U35" s="9"/>
      <c r="V35" s="9"/>
      <c r="W35" s="9"/>
      <c r="X35" s="9"/>
      <c r="Y35" s="9" t="n">
        <f aca="false">Table3[[#This Row],[E1Y]]+X$2</f>
        <v>23.6</v>
      </c>
      <c r="Z35" s="9" t="n">
        <f aca="false">Table3[[#This Row],[E1TY]]+W$2</f>
        <v>22.5</v>
      </c>
      <c r="AA35" s="9" t="n">
        <f aca="false">T$2+U$2*(Table3[[#This Row],[Effect 1 Y]]-1)</f>
        <v>29.6</v>
      </c>
      <c r="AB35" s="9" t="n">
        <f aca="false">Table3[[#This Row],[E2Y]]+X$2</f>
        <v>22.2</v>
      </c>
      <c r="AC35" s="9" t="n">
        <f aca="false">Table3[[#This Row],[E2TY]]+W$2</f>
        <v>21.1</v>
      </c>
      <c r="AD35" s="9" t="n">
        <f aca="false">T$2+U$2*(Table3[[#This Row],[Effect 2 Y]]-1)+V$2</f>
        <v>28.2</v>
      </c>
      <c r="AE35" s="9" t="n">
        <f aca="false">Table3[[#This Row],[E3Y]]+X$2</f>
        <v>25.2</v>
      </c>
      <c r="AF35" s="9" t="n">
        <f aca="false">Table3[[#This Row],[E3TY]]+W$2</f>
        <v>24.1</v>
      </c>
      <c r="AG35" s="11" t="n">
        <f aca="false">T$2+U$2*(Table3[[#This Row],[Effect 3 Y]]-1)+2*V$2</f>
        <v>31.2</v>
      </c>
    </row>
    <row r="36" customFormat="false" ht="55.4" hidden="false" customHeight="false" outlineLevel="0" collapsed="false">
      <c r="A36" s="7" t="s">
        <v>221</v>
      </c>
      <c r="B36" s="13" t="s">
        <v>199</v>
      </c>
      <c r="C36" s="9"/>
      <c r="D36" s="10"/>
      <c r="E36" s="9" t="n">
        <v>1</v>
      </c>
      <c r="F36" s="11" t="s">
        <v>35</v>
      </c>
      <c r="G36" s="11" t="s">
        <v>211</v>
      </c>
      <c r="H36" s="11" t="s">
        <v>222</v>
      </c>
      <c r="I36" s="10"/>
      <c r="J36" s="9"/>
      <c r="K36" s="11"/>
      <c r="L36" s="11"/>
      <c r="M36" s="9"/>
      <c r="N36" s="12"/>
      <c r="O36" s="9"/>
      <c r="P36" s="11"/>
      <c r="Q36" s="11"/>
      <c r="R36" s="9"/>
      <c r="S36" s="10"/>
      <c r="T36" s="9"/>
      <c r="U36" s="9"/>
      <c r="V36" s="9"/>
      <c r="W36" s="9"/>
      <c r="X36" s="9"/>
      <c r="Y36" s="9" t="n">
        <f aca="false">Table3[[#This Row],[E1Y]]+X$2</f>
        <v>23.6</v>
      </c>
      <c r="Z36" s="9" t="n">
        <f aca="false">Table3[[#This Row],[E1TY]]+W$2</f>
        <v>22.5</v>
      </c>
      <c r="AA36" s="9" t="n">
        <f aca="false">T$2+U$2*(Table3[[#This Row],[Effect 1 Y]]-1)</f>
        <v>29.6</v>
      </c>
      <c r="AB36" s="9" t="n">
        <f aca="false">Table3[[#This Row],[E2Y]]+X$2</f>
        <v>22.2</v>
      </c>
      <c r="AC36" s="9" t="n">
        <f aca="false">Table3[[#This Row],[E2TY]]+W$2</f>
        <v>21.1</v>
      </c>
      <c r="AD36" s="9" t="n">
        <f aca="false">T$2+U$2*(Table3[[#This Row],[Effect 2 Y]]-1)+V$2</f>
        <v>28.2</v>
      </c>
      <c r="AE36" s="9" t="n">
        <f aca="false">Table3[[#This Row],[E3Y]]+X$2</f>
        <v>25.2</v>
      </c>
      <c r="AF36" s="9" t="n">
        <f aca="false">Table3[[#This Row],[E3TY]]+W$2</f>
        <v>24.1</v>
      </c>
      <c r="AG36" s="11" t="n">
        <f aca="false">T$2+U$2*(Table3[[#This Row],[Effect 3 Y]]-1)+2*V$2</f>
        <v>31.2</v>
      </c>
    </row>
    <row r="37" customFormat="false" ht="33.7" hidden="false" customHeight="false" outlineLevel="0" collapsed="false">
      <c r="A37" s="7" t="s">
        <v>223</v>
      </c>
      <c r="B37" s="13" t="s">
        <v>199</v>
      </c>
      <c r="C37" s="9"/>
      <c r="D37" s="10"/>
      <c r="E37" s="9" t="n">
        <v>1</v>
      </c>
      <c r="F37" s="11" t="s">
        <v>35</v>
      </c>
      <c r="G37" s="11" t="s">
        <v>224</v>
      </c>
      <c r="H37" s="11" t="s">
        <v>225</v>
      </c>
      <c r="I37" s="10"/>
      <c r="J37" s="9" t="n">
        <v>5</v>
      </c>
      <c r="K37" s="11" t="s">
        <v>35</v>
      </c>
      <c r="L37" s="11" t="s">
        <v>226</v>
      </c>
      <c r="M37" s="9" t="s">
        <v>227</v>
      </c>
      <c r="N37" s="12"/>
      <c r="O37" s="9"/>
      <c r="P37" s="11"/>
      <c r="Q37" s="11"/>
      <c r="R37" s="9"/>
      <c r="S37" s="10"/>
      <c r="T37" s="9"/>
      <c r="U37" s="9"/>
      <c r="V37" s="9"/>
      <c r="W37" s="9"/>
      <c r="X37" s="9"/>
      <c r="Y37" s="9" t="n">
        <f aca="false">Table3[[#This Row],[E1Y]]+X$2</f>
        <v>23.6</v>
      </c>
      <c r="Z37" s="9" t="n">
        <f aca="false">Table3[[#This Row],[E1TY]]+W$2</f>
        <v>22.5</v>
      </c>
      <c r="AA37" s="9" t="n">
        <f aca="false">T$2+U$2*(Table3[[#This Row],[Effect 1 Y]]-1)</f>
        <v>29.6</v>
      </c>
      <c r="AB37" s="9" t="n">
        <f aca="false">Table3[[#This Row],[E2Y]]+X$2</f>
        <v>44.2</v>
      </c>
      <c r="AC37" s="9" t="n">
        <f aca="false">Table3[[#This Row],[E2TY]]+W$2</f>
        <v>43.1</v>
      </c>
      <c r="AD37" s="9" t="n">
        <f aca="false">T$2+U$2*(Table3[[#This Row],[Effect 2 Y]]-1)+V$2</f>
        <v>50.2</v>
      </c>
      <c r="AE37" s="9" t="n">
        <f aca="false">Table3[[#This Row],[E3Y]]+X$2</f>
        <v>25.2</v>
      </c>
      <c r="AF37" s="9" t="n">
        <f aca="false">Table3[[#This Row],[E3TY]]+W$2</f>
        <v>24.1</v>
      </c>
      <c r="AG37" s="11" t="n">
        <f aca="false">T$2+U$2*(Table3[[#This Row],[Effect 3 Y]]-1)+2*V$2</f>
        <v>31.2</v>
      </c>
    </row>
    <row r="38" customFormat="false" ht="22.85" hidden="false" customHeight="false" outlineLevel="0" collapsed="false">
      <c r="A38" s="7" t="s">
        <v>228</v>
      </c>
      <c r="B38" s="13" t="s">
        <v>199</v>
      </c>
      <c r="C38" s="9"/>
      <c r="D38" s="10"/>
      <c r="E38" s="9" t="n">
        <v>1</v>
      </c>
      <c r="F38" s="11" t="s">
        <v>35</v>
      </c>
      <c r="G38" s="11" t="s">
        <v>211</v>
      </c>
      <c r="H38" s="11" t="s">
        <v>229</v>
      </c>
      <c r="I38" s="10"/>
      <c r="J38" s="9"/>
      <c r="K38" s="11"/>
      <c r="L38" s="11"/>
      <c r="M38" s="9"/>
      <c r="N38" s="12"/>
      <c r="O38" s="9"/>
      <c r="P38" s="11"/>
      <c r="Q38" s="11"/>
      <c r="R38" s="9"/>
      <c r="S38" s="10"/>
      <c r="T38" s="9"/>
      <c r="U38" s="9"/>
      <c r="V38" s="9"/>
      <c r="W38" s="9"/>
      <c r="X38" s="9"/>
      <c r="Y38" s="9" t="n">
        <f aca="false">Table3[[#This Row],[E1Y]]+X$2</f>
        <v>23.6</v>
      </c>
      <c r="Z38" s="9" t="n">
        <f aca="false">Table3[[#This Row],[E1TY]]+W$2</f>
        <v>22.5</v>
      </c>
      <c r="AA38" s="9" t="n">
        <f aca="false">T$2+U$2*(Table3[[#This Row],[Effect 1 Y]]-1)</f>
        <v>29.6</v>
      </c>
      <c r="AB38" s="9" t="n">
        <f aca="false">Table3[[#This Row],[E2Y]]+X$2</f>
        <v>22.2</v>
      </c>
      <c r="AC38" s="9" t="n">
        <f aca="false">Table3[[#This Row],[E2TY]]+W$2</f>
        <v>21.1</v>
      </c>
      <c r="AD38" s="9" t="n">
        <f aca="false">T$2+U$2*(Table3[[#This Row],[Effect 2 Y]]-1)+V$2</f>
        <v>28.2</v>
      </c>
      <c r="AE38" s="9" t="n">
        <f aca="false">Table3[[#This Row],[E3Y]]+X$2</f>
        <v>25.2</v>
      </c>
      <c r="AF38" s="9" t="n">
        <f aca="false">Table3[[#This Row],[E3TY]]+W$2</f>
        <v>24.1</v>
      </c>
      <c r="AG38" s="11" t="n">
        <f aca="false">T$2+U$2*(Table3[[#This Row],[Effect 3 Y]]-1)+2*V$2</f>
        <v>31.2</v>
      </c>
    </row>
    <row r="39" customFormat="false" ht="22.85" hidden="false" customHeight="false" outlineLevel="0" collapsed="false">
      <c r="A39" s="7" t="s">
        <v>230</v>
      </c>
      <c r="B39" s="13" t="s">
        <v>199</v>
      </c>
      <c r="C39" s="9"/>
      <c r="D39" s="10"/>
      <c r="E39" s="9" t="n">
        <v>1</v>
      </c>
      <c r="F39" s="11" t="s">
        <v>35</v>
      </c>
      <c r="G39" s="11" t="s">
        <v>211</v>
      </c>
      <c r="H39" s="11" t="s">
        <v>231</v>
      </c>
      <c r="I39" s="10"/>
      <c r="J39" s="9"/>
      <c r="K39" s="11"/>
      <c r="L39" s="11"/>
      <c r="M39" s="9"/>
      <c r="N39" s="12"/>
      <c r="O39" s="9"/>
      <c r="P39" s="11"/>
      <c r="Q39" s="11"/>
      <c r="R39" s="9"/>
      <c r="S39" s="10"/>
      <c r="T39" s="9"/>
      <c r="U39" s="9"/>
      <c r="V39" s="9"/>
      <c r="W39" s="9"/>
      <c r="X39" s="9"/>
      <c r="Y39" s="9" t="n">
        <f aca="false">Table3[[#This Row],[E1Y]]+X$2</f>
        <v>23.6</v>
      </c>
      <c r="Z39" s="9" t="n">
        <f aca="false">Table3[[#This Row],[E1TY]]+W$2</f>
        <v>22.5</v>
      </c>
      <c r="AA39" s="9" t="n">
        <f aca="false">T$2+U$2*(Table3[[#This Row],[Effect 1 Y]]-1)</f>
        <v>29.6</v>
      </c>
      <c r="AB39" s="9" t="n">
        <f aca="false">Table3[[#This Row],[E2Y]]+X$2</f>
        <v>22.2</v>
      </c>
      <c r="AC39" s="9" t="n">
        <f aca="false">Table3[[#This Row],[E2TY]]+W$2</f>
        <v>21.1</v>
      </c>
      <c r="AD39" s="9" t="n">
        <f aca="false">T$2+U$2*(Table3[[#This Row],[Effect 2 Y]]-1)+V$2</f>
        <v>28.2</v>
      </c>
      <c r="AE39" s="9" t="n">
        <f aca="false">Table3[[#This Row],[E3Y]]+X$2</f>
        <v>25.2</v>
      </c>
      <c r="AF39" s="9" t="n">
        <f aca="false">Table3[[#This Row],[E3TY]]+W$2</f>
        <v>24.1</v>
      </c>
      <c r="AG39" s="11" t="n">
        <f aca="false">T$2+U$2*(Table3[[#This Row],[Effect 3 Y]]-1)+2*V$2</f>
        <v>31.2</v>
      </c>
    </row>
    <row r="40" customFormat="false" ht="22.85" hidden="false" customHeight="false" outlineLevel="0" collapsed="false">
      <c r="A40" s="7" t="s">
        <v>232</v>
      </c>
      <c r="B40" s="13" t="s">
        <v>199</v>
      </c>
      <c r="C40" s="9" t="s">
        <v>233</v>
      </c>
      <c r="D40" s="10"/>
      <c r="E40" s="9" t="n">
        <v>1</v>
      </c>
      <c r="F40" s="9" t="s">
        <v>50</v>
      </c>
      <c r="G40" s="11" t="s">
        <v>234</v>
      </c>
      <c r="H40" s="11" t="s">
        <v>235</v>
      </c>
      <c r="I40" s="10"/>
      <c r="J40" s="9"/>
      <c r="K40" s="11"/>
      <c r="L40" s="11"/>
      <c r="M40" s="9"/>
      <c r="N40" s="12"/>
      <c r="O40" s="9"/>
      <c r="P40" s="11"/>
      <c r="Q40" s="11"/>
      <c r="R40" s="9"/>
      <c r="S40" s="10"/>
      <c r="T40" s="9"/>
      <c r="U40" s="9"/>
      <c r="V40" s="9"/>
      <c r="W40" s="9"/>
      <c r="X40" s="9"/>
      <c r="Y40" s="9" t="n">
        <f aca="false">Table3[[#This Row],[E1Y]]+X$2</f>
        <v>23.6</v>
      </c>
      <c r="Z40" s="9" t="n">
        <f aca="false">Table3[[#This Row],[E1TY]]+W$2</f>
        <v>22.5</v>
      </c>
      <c r="AA40" s="9" t="n">
        <f aca="false">T$2+U$2*(Table3[[#This Row],[Effect 1 Y]]-1)</f>
        <v>29.6</v>
      </c>
      <c r="AB40" s="9" t="n">
        <f aca="false">Table3[[#This Row],[E2Y]]+X$2</f>
        <v>22.2</v>
      </c>
      <c r="AC40" s="9" t="n">
        <f aca="false">Table3[[#This Row],[E2TY]]+W$2</f>
        <v>21.1</v>
      </c>
      <c r="AD40" s="9" t="n">
        <f aca="false">T$2+U$2*(Table3[[#This Row],[Effect 2 Y]]-1)+V$2</f>
        <v>28.2</v>
      </c>
      <c r="AE40" s="9" t="n">
        <f aca="false">Table3[[#This Row],[E3Y]]+X$2</f>
        <v>25.2</v>
      </c>
      <c r="AF40" s="9" t="n">
        <f aca="false">Table3[[#This Row],[E3TY]]+W$2</f>
        <v>24.1</v>
      </c>
      <c r="AG40" s="11" t="n">
        <f aca="false">T$2+U$2*(Table3[[#This Row],[Effect 3 Y]]-1)+2*V$2</f>
        <v>31.2</v>
      </c>
    </row>
    <row r="41" customFormat="false" ht="35.2" hidden="false" customHeight="false" outlineLevel="0" collapsed="false">
      <c r="A41" s="7" t="s">
        <v>236</v>
      </c>
      <c r="B41" s="13" t="s">
        <v>199</v>
      </c>
      <c r="C41" s="9"/>
      <c r="D41" s="10"/>
      <c r="E41" s="9" t="n">
        <v>1</v>
      </c>
      <c r="F41" s="9" t="s">
        <v>50</v>
      </c>
      <c r="G41" s="11" t="s">
        <v>237</v>
      </c>
      <c r="H41" s="11" t="s">
        <v>238</v>
      </c>
      <c r="I41" s="10"/>
      <c r="J41" s="9" t="n">
        <v>7.4</v>
      </c>
      <c r="K41" s="11" t="s">
        <v>35</v>
      </c>
      <c r="L41" s="11" t="s">
        <v>239</v>
      </c>
      <c r="M41" s="9" t="s">
        <v>240</v>
      </c>
      <c r="N41" s="12"/>
      <c r="O41" s="9"/>
      <c r="P41" s="11"/>
      <c r="Q41" s="11"/>
      <c r="R41" s="9"/>
      <c r="S41" s="10"/>
      <c r="T41" s="9"/>
      <c r="U41" s="9"/>
      <c r="V41" s="9"/>
      <c r="W41" s="9"/>
      <c r="X41" s="9"/>
      <c r="Y41" s="9" t="n">
        <f aca="false">Table3[[#This Row],[E1Y]]+X$2</f>
        <v>23.6</v>
      </c>
      <c r="Z41" s="9" t="n">
        <f aca="false">Table3[[#This Row],[E1TY]]+W$2</f>
        <v>22.5</v>
      </c>
      <c r="AA41" s="9" t="n">
        <f aca="false">T$2+U$2*(Table3[[#This Row],[Effect 1 Y]]-1)</f>
        <v>29.6</v>
      </c>
      <c r="AB41" s="9" t="n">
        <f aca="false">Table3[[#This Row],[E2Y]]+X$2</f>
        <v>54.76</v>
      </c>
      <c r="AC41" s="9" t="n">
        <f aca="false">Table3[[#This Row],[E2TY]]+W$2</f>
        <v>53.66</v>
      </c>
      <c r="AD41" s="9" t="n">
        <f aca="false">T$2+U$2*(Table3[[#This Row],[Effect 2 Y]]-1)+V$2</f>
        <v>60.76</v>
      </c>
      <c r="AE41" s="9" t="n">
        <f aca="false">Table3[[#This Row],[E3Y]]+X$2</f>
        <v>25.2</v>
      </c>
      <c r="AF41" s="9" t="n">
        <f aca="false">Table3[[#This Row],[E3TY]]+W$2</f>
        <v>24.1</v>
      </c>
      <c r="AG41" s="11" t="n">
        <f aca="false">T$2+U$2*(Table3[[#This Row],[Effect 3 Y]]-1)+2*V$2</f>
        <v>31.2</v>
      </c>
    </row>
    <row r="42" customFormat="false" ht="22.85" hidden="false" customHeight="false" outlineLevel="0" collapsed="false">
      <c r="A42" s="7" t="s">
        <v>241</v>
      </c>
      <c r="B42" s="13" t="s">
        <v>199</v>
      </c>
      <c r="C42" s="9"/>
      <c r="D42" s="10"/>
      <c r="E42" s="9" t="n">
        <v>1</v>
      </c>
      <c r="F42" s="11" t="s">
        <v>35</v>
      </c>
      <c r="G42" s="11" t="s">
        <v>211</v>
      </c>
      <c r="H42" s="11" t="s">
        <v>242</v>
      </c>
      <c r="I42" s="10"/>
      <c r="J42" s="9"/>
      <c r="K42" s="11"/>
      <c r="L42" s="11"/>
      <c r="M42" s="9"/>
      <c r="N42" s="12"/>
      <c r="O42" s="9"/>
      <c r="P42" s="11"/>
      <c r="Q42" s="11"/>
      <c r="R42" s="9"/>
      <c r="S42" s="10"/>
      <c r="T42" s="9"/>
      <c r="U42" s="9"/>
      <c r="V42" s="9"/>
      <c r="W42" s="9"/>
      <c r="X42" s="9"/>
      <c r="Y42" s="9" t="n">
        <f aca="false">Table3[[#This Row],[E1Y]]+X$2</f>
        <v>23.6</v>
      </c>
      <c r="Z42" s="9" t="n">
        <f aca="false">Table3[[#This Row],[E1TY]]+W$2</f>
        <v>22.5</v>
      </c>
      <c r="AA42" s="9" t="n">
        <f aca="false">T$2+U$2*(Table3[[#This Row],[Effect 1 Y]]-1)</f>
        <v>29.6</v>
      </c>
      <c r="AB42" s="9" t="n">
        <f aca="false">Table3[[#This Row],[E2Y]]+X$2</f>
        <v>22.2</v>
      </c>
      <c r="AC42" s="9" t="n">
        <f aca="false">Table3[[#This Row],[E2TY]]+W$2</f>
        <v>21.1</v>
      </c>
      <c r="AD42" s="9" t="n">
        <f aca="false">T$2+U$2*(Table3[[#This Row],[Effect 2 Y]]-1)+V$2</f>
        <v>28.2</v>
      </c>
      <c r="AE42" s="9" t="n">
        <f aca="false">Table3[[#This Row],[E3Y]]+X$2</f>
        <v>25.2</v>
      </c>
      <c r="AF42" s="9" t="n">
        <f aca="false">Table3[[#This Row],[E3TY]]+W$2</f>
        <v>24.1</v>
      </c>
      <c r="AG42" s="11" t="n">
        <f aca="false">T$2+U$2*(Table3[[#This Row],[Effect 3 Y]]-1)+2*V$2</f>
        <v>31.2</v>
      </c>
    </row>
    <row r="43" customFormat="false" ht="33.7" hidden="false" customHeight="false" outlineLevel="0" collapsed="false">
      <c r="A43" s="7" t="s">
        <v>243</v>
      </c>
      <c r="B43" s="13" t="s">
        <v>199</v>
      </c>
      <c r="C43" s="9"/>
      <c r="D43" s="10"/>
      <c r="E43" s="9" t="n">
        <v>1</v>
      </c>
      <c r="F43" s="11" t="s">
        <v>35</v>
      </c>
      <c r="G43" s="11" t="s">
        <v>211</v>
      </c>
      <c r="H43" s="11" t="s">
        <v>244</v>
      </c>
      <c r="I43" s="10"/>
      <c r="J43" s="9"/>
      <c r="K43" s="11"/>
      <c r="L43" s="11"/>
      <c r="M43" s="9"/>
      <c r="N43" s="12"/>
      <c r="O43" s="9"/>
      <c r="P43" s="11"/>
      <c r="Q43" s="11"/>
      <c r="R43" s="9"/>
      <c r="S43" s="10"/>
      <c r="T43" s="9"/>
      <c r="U43" s="9"/>
      <c r="V43" s="9"/>
      <c r="W43" s="9"/>
      <c r="X43" s="9"/>
      <c r="Y43" s="9" t="n">
        <f aca="false">Table3[[#This Row],[E1Y]]+X$2</f>
        <v>23.6</v>
      </c>
      <c r="Z43" s="9" t="n">
        <f aca="false">Table3[[#This Row],[E1TY]]+W$2</f>
        <v>22.5</v>
      </c>
      <c r="AA43" s="9" t="n">
        <f aca="false">T$2+U$2*(Table3[[#This Row],[Effect 1 Y]]-1)</f>
        <v>29.6</v>
      </c>
      <c r="AB43" s="9" t="n">
        <f aca="false">Table3[[#This Row],[E2Y]]+X$2</f>
        <v>22.2</v>
      </c>
      <c r="AC43" s="9" t="n">
        <f aca="false">Table3[[#This Row],[E2TY]]+W$2</f>
        <v>21.1</v>
      </c>
      <c r="AD43" s="9" t="n">
        <f aca="false">T$2+U$2*(Table3[[#This Row],[Effect 2 Y]]-1)+V$2</f>
        <v>28.2</v>
      </c>
      <c r="AE43" s="9" t="n">
        <f aca="false">Table3[[#This Row],[E3Y]]+X$2</f>
        <v>25.2</v>
      </c>
      <c r="AF43" s="9" t="n">
        <f aca="false">Table3[[#This Row],[E3TY]]+W$2</f>
        <v>24.1</v>
      </c>
      <c r="AG43" s="11" t="n">
        <f aca="false">T$2+U$2*(Table3[[#This Row],[Effect 3 Y]]-1)+2*V$2</f>
        <v>31.2</v>
      </c>
    </row>
    <row r="44" customFormat="false" ht="55.4" hidden="false" customHeight="false" outlineLevel="0" collapsed="false">
      <c r="A44" s="7" t="s">
        <v>245</v>
      </c>
      <c r="B44" s="13" t="s">
        <v>199</v>
      </c>
      <c r="C44" s="9"/>
      <c r="D44" s="10"/>
      <c r="E44" s="9" t="n">
        <v>1</v>
      </c>
      <c r="F44" s="11" t="s">
        <v>35</v>
      </c>
      <c r="G44" s="11" t="s">
        <v>246</v>
      </c>
      <c r="H44" s="11" t="s">
        <v>247</v>
      </c>
      <c r="I44" s="10"/>
      <c r="J44" s="9" t="n">
        <v>4</v>
      </c>
      <c r="K44" s="11" t="s">
        <v>50</v>
      </c>
      <c r="L44" s="11" t="s">
        <v>248</v>
      </c>
      <c r="M44" s="9" t="s">
        <v>249</v>
      </c>
      <c r="N44" s="12"/>
      <c r="O44" s="9" t="n">
        <v>7</v>
      </c>
      <c r="P44" s="9" t="s">
        <v>50</v>
      </c>
      <c r="Q44" s="11" t="s">
        <v>250</v>
      </c>
      <c r="R44" s="9" t="s">
        <v>251</v>
      </c>
      <c r="S44" s="10"/>
      <c r="T44" s="9"/>
      <c r="U44" s="9"/>
      <c r="V44" s="9"/>
      <c r="W44" s="9"/>
      <c r="X44" s="9"/>
      <c r="Y44" s="9" t="n">
        <f aca="false">Table3[[#This Row],[E1Y]]+X$2</f>
        <v>23.6</v>
      </c>
      <c r="Z44" s="9" t="n">
        <f aca="false">Table3[[#This Row],[E1TY]]+W$2</f>
        <v>22.5</v>
      </c>
      <c r="AA44" s="9" t="n">
        <f aca="false">T$2+U$2*(Table3[[#This Row],[Effect 1 Y]]-1)</f>
        <v>29.6</v>
      </c>
      <c r="AB44" s="9" t="n">
        <f aca="false">Table3[[#This Row],[E2Y]]+X$2</f>
        <v>39.8</v>
      </c>
      <c r="AC44" s="9" t="n">
        <f aca="false">Table3[[#This Row],[E2TY]]+W$2</f>
        <v>38.7</v>
      </c>
      <c r="AD44" s="9" t="n">
        <f aca="false">T$2+U$2*(Table3[[#This Row],[Effect 2 Y]]-1)+V$2</f>
        <v>45.8</v>
      </c>
      <c r="AE44" s="9" t="n">
        <f aca="false">Table3[[#This Row],[E3Y]]+X$2</f>
        <v>56</v>
      </c>
      <c r="AF44" s="9" t="n">
        <f aca="false">Table3[[#This Row],[E3TY]]+W$2</f>
        <v>54.9</v>
      </c>
      <c r="AG44" s="11" t="n">
        <f aca="false">T$2+U$2*(Table3[[#This Row],[Effect 3 Y]]-1)+2*V$2</f>
        <v>62</v>
      </c>
    </row>
    <row r="45" customFormat="false" ht="33.7" hidden="false" customHeight="false" outlineLevel="0" collapsed="false">
      <c r="A45" s="7" t="s">
        <v>252</v>
      </c>
      <c r="B45" s="13" t="s">
        <v>199</v>
      </c>
      <c r="C45" s="9"/>
      <c r="D45" s="10"/>
      <c r="E45" s="9" t="n">
        <v>1</v>
      </c>
      <c r="F45" s="9" t="s">
        <v>50</v>
      </c>
      <c r="G45" s="11" t="s">
        <v>253</v>
      </c>
      <c r="H45" s="11" t="s">
        <v>254</v>
      </c>
      <c r="I45" s="10"/>
      <c r="J45" s="9" t="n">
        <v>7</v>
      </c>
      <c r="K45" s="11" t="s">
        <v>35</v>
      </c>
      <c r="L45" s="11" t="s">
        <v>255</v>
      </c>
      <c r="M45" s="11" t="s">
        <v>256</v>
      </c>
      <c r="N45" s="12"/>
      <c r="O45" s="9"/>
      <c r="P45" s="11"/>
      <c r="Q45" s="11"/>
      <c r="R45" s="9"/>
      <c r="S45" s="10"/>
      <c r="T45" s="9"/>
      <c r="U45" s="9"/>
      <c r="V45" s="9"/>
      <c r="W45" s="9"/>
      <c r="X45" s="9"/>
      <c r="Y45" s="9" t="n">
        <f aca="false">Table3[[#This Row],[E1Y]]+X$2</f>
        <v>23.6</v>
      </c>
      <c r="Z45" s="9" t="n">
        <f aca="false">Table3[[#This Row],[E1TY]]+W$2</f>
        <v>22.5</v>
      </c>
      <c r="AA45" s="9" t="n">
        <f aca="false">T$2+U$2*(Table3[[#This Row],[Effect 1 Y]]-1)</f>
        <v>29.6</v>
      </c>
      <c r="AB45" s="9" t="n">
        <f aca="false">Table3[[#This Row],[E2Y]]+X$2</f>
        <v>53</v>
      </c>
      <c r="AC45" s="9" t="n">
        <f aca="false">Table3[[#This Row],[E2TY]]+W$2</f>
        <v>51.9</v>
      </c>
      <c r="AD45" s="9" t="n">
        <f aca="false">T$2+U$2*(Table3[[#This Row],[Effect 2 Y]]-1)+V$2</f>
        <v>59</v>
      </c>
      <c r="AE45" s="9" t="n">
        <f aca="false">Table3[[#This Row],[E3Y]]+X$2</f>
        <v>25.2</v>
      </c>
      <c r="AF45" s="9" t="n">
        <f aca="false">Table3[[#This Row],[E3TY]]+W$2</f>
        <v>24.1</v>
      </c>
      <c r="AG45" s="11" t="n">
        <f aca="false">T$2+U$2*(Table3[[#This Row],[Effect 3 Y]]-1)+2*V$2</f>
        <v>31.2</v>
      </c>
    </row>
    <row r="46" customFormat="false" ht="22.85" hidden="false" customHeight="false" outlineLevel="0" collapsed="false">
      <c r="A46" s="7" t="s">
        <v>257</v>
      </c>
      <c r="B46" s="13" t="s">
        <v>199</v>
      </c>
      <c r="C46" s="9" t="s">
        <v>258</v>
      </c>
      <c r="D46" s="10"/>
      <c r="E46" s="9" t="n">
        <v>1</v>
      </c>
      <c r="F46" s="11" t="s">
        <v>218</v>
      </c>
      <c r="G46" s="11" t="s">
        <v>259</v>
      </c>
      <c r="H46" s="11" t="s">
        <v>260</v>
      </c>
      <c r="I46" s="10"/>
      <c r="J46" s="9"/>
      <c r="K46" s="11"/>
      <c r="L46" s="11"/>
      <c r="M46" s="9"/>
      <c r="N46" s="12"/>
      <c r="O46" s="9"/>
      <c r="P46" s="11"/>
      <c r="Q46" s="11"/>
      <c r="R46" s="9"/>
      <c r="S46" s="10"/>
      <c r="T46" s="9"/>
      <c r="U46" s="9"/>
      <c r="V46" s="9"/>
      <c r="W46" s="9"/>
      <c r="X46" s="9"/>
      <c r="Y46" s="9" t="n">
        <f aca="false">Table3[[#This Row],[E1Y]]+X$2</f>
        <v>23.6</v>
      </c>
      <c r="Z46" s="9" t="n">
        <f aca="false">Table3[[#This Row],[E1TY]]+W$2</f>
        <v>22.5</v>
      </c>
      <c r="AA46" s="9" t="n">
        <f aca="false">T$2+U$2*(Table3[[#This Row],[Effect 1 Y]]-1)</f>
        <v>29.6</v>
      </c>
      <c r="AB46" s="9" t="n">
        <f aca="false">Table3[[#This Row],[E2Y]]+X$2</f>
        <v>22.2</v>
      </c>
      <c r="AC46" s="9" t="n">
        <f aca="false">Table3[[#This Row],[E2TY]]+W$2</f>
        <v>21.1</v>
      </c>
      <c r="AD46" s="9" t="n">
        <f aca="false">T$2+U$2*(Table3[[#This Row],[Effect 2 Y]]-1)+V$2</f>
        <v>28.2</v>
      </c>
      <c r="AE46" s="9" t="n">
        <f aca="false">Table3[[#This Row],[E3Y]]+X$2</f>
        <v>25.2</v>
      </c>
      <c r="AF46" s="9" t="n">
        <f aca="false">Table3[[#This Row],[E3TY]]+W$2</f>
        <v>24.1</v>
      </c>
      <c r="AG46" s="11" t="n">
        <f aca="false">T$2+U$2*(Table3[[#This Row],[Effect 3 Y]]-1)+2*V$2</f>
        <v>31.2</v>
      </c>
    </row>
    <row r="47" customFormat="false" ht="33.7" hidden="false" customHeight="false" outlineLevel="0" collapsed="false">
      <c r="A47" s="7" t="s">
        <v>261</v>
      </c>
      <c r="B47" s="13" t="s">
        <v>199</v>
      </c>
      <c r="C47" s="9"/>
      <c r="D47" s="10"/>
      <c r="E47" s="9" t="n">
        <v>1</v>
      </c>
      <c r="F47" s="11" t="s">
        <v>35</v>
      </c>
      <c r="G47" s="11" t="s">
        <v>262</v>
      </c>
      <c r="H47" s="11" t="s">
        <v>263</v>
      </c>
      <c r="I47" s="10"/>
      <c r="J47" s="9" t="n">
        <v>5</v>
      </c>
      <c r="K47" s="11" t="s">
        <v>35</v>
      </c>
      <c r="L47" s="11" t="s">
        <v>264</v>
      </c>
      <c r="M47" s="9" t="s">
        <v>265</v>
      </c>
      <c r="N47" s="12"/>
      <c r="O47" s="9"/>
      <c r="P47" s="11"/>
      <c r="Q47" s="11"/>
      <c r="R47" s="9"/>
      <c r="S47" s="10"/>
      <c r="T47" s="9"/>
      <c r="U47" s="9"/>
      <c r="V47" s="9"/>
      <c r="W47" s="9"/>
      <c r="X47" s="9"/>
      <c r="Y47" s="9" t="n">
        <f aca="false">Table3[[#This Row],[E1Y]]+X$2</f>
        <v>23.6</v>
      </c>
      <c r="Z47" s="9" t="n">
        <f aca="false">Table3[[#This Row],[E1TY]]+W$2</f>
        <v>22.5</v>
      </c>
      <c r="AA47" s="9" t="n">
        <f aca="false">T$2+U$2*(Table3[[#This Row],[Effect 1 Y]]-1)</f>
        <v>29.6</v>
      </c>
      <c r="AB47" s="9" t="n">
        <f aca="false">Table3[[#This Row],[E2Y]]+X$2</f>
        <v>44.2</v>
      </c>
      <c r="AC47" s="9" t="n">
        <f aca="false">Table3[[#This Row],[E2TY]]+W$2</f>
        <v>43.1</v>
      </c>
      <c r="AD47" s="9" t="n">
        <f aca="false">T$2+U$2*(Table3[[#This Row],[Effect 2 Y]]-1)+V$2</f>
        <v>50.2</v>
      </c>
      <c r="AE47" s="9" t="n">
        <f aca="false">Table3[[#This Row],[E3Y]]+X$2</f>
        <v>25.2</v>
      </c>
      <c r="AF47" s="9" t="n">
        <f aca="false">Table3[[#This Row],[E3TY]]+W$2</f>
        <v>24.1</v>
      </c>
      <c r="AG47" s="11" t="n">
        <f aca="false">T$2+U$2*(Table3[[#This Row],[Effect 3 Y]]-1)+2*V$2</f>
        <v>31.2</v>
      </c>
    </row>
    <row r="48" customFormat="false" ht="22.85" hidden="false" customHeight="false" outlineLevel="0" collapsed="false">
      <c r="A48" s="7" t="s">
        <v>266</v>
      </c>
      <c r="B48" s="13" t="s">
        <v>199</v>
      </c>
      <c r="C48" s="9"/>
      <c r="D48" s="10"/>
      <c r="E48" s="9" t="n">
        <v>1</v>
      </c>
      <c r="F48" s="11" t="s">
        <v>35</v>
      </c>
      <c r="G48" s="11" t="s">
        <v>211</v>
      </c>
      <c r="H48" s="11" t="s">
        <v>267</v>
      </c>
      <c r="I48" s="10"/>
      <c r="J48" s="9"/>
      <c r="K48" s="11"/>
      <c r="L48" s="11"/>
      <c r="M48" s="9"/>
      <c r="N48" s="12"/>
      <c r="O48" s="9"/>
      <c r="P48" s="11"/>
      <c r="Q48" s="11"/>
      <c r="R48" s="9"/>
      <c r="S48" s="10"/>
      <c r="T48" s="9"/>
      <c r="U48" s="9"/>
      <c r="V48" s="9"/>
      <c r="W48" s="9"/>
      <c r="X48" s="9"/>
      <c r="Y48" s="9" t="n">
        <f aca="false">Table3[[#This Row],[E1Y]]+X$2</f>
        <v>23.6</v>
      </c>
      <c r="Z48" s="9" t="n">
        <f aca="false">Table3[[#This Row],[E1TY]]+W$2</f>
        <v>22.5</v>
      </c>
      <c r="AA48" s="9" t="n">
        <f aca="false">T$2+U$2*(Table3[[#This Row],[Effect 1 Y]]-1)</f>
        <v>29.6</v>
      </c>
      <c r="AB48" s="9" t="n">
        <f aca="false">Table3[[#This Row],[E2Y]]+X$2</f>
        <v>22.2</v>
      </c>
      <c r="AC48" s="9" t="n">
        <f aca="false">Table3[[#This Row],[E2TY]]+W$2</f>
        <v>21.1</v>
      </c>
      <c r="AD48" s="9" t="n">
        <f aca="false">T$2+U$2*(Table3[[#This Row],[Effect 2 Y]]-1)+V$2</f>
        <v>28.2</v>
      </c>
      <c r="AE48" s="9" t="n">
        <f aca="false">Table3[[#This Row],[E3Y]]+X$2</f>
        <v>25.2</v>
      </c>
      <c r="AF48" s="9" t="n">
        <f aca="false">Table3[[#This Row],[E3TY]]+W$2</f>
        <v>24.1</v>
      </c>
      <c r="AG48" s="11" t="n">
        <f aca="false">T$2+U$2*(Table3[[#This Row],[Effect 3 Y]]-1)+2*V$2</f>
        <v>31.2</v>
      </c>
    </row>
    <row r="49" customFormat="false" ht="22.85" hidden="false" customHeight="false" outlineLevel="0" collapsed="false">
      <c r="A49" s="7" t="s">
        <v>268</v>
      </c>
      <c r="B49" s="13" t="s">
        <v>199</v>
      </c>
      <c r="C49" s="9"/>
      <c r="D49" s="10"/>
      <c r="E49" s="9" t="n">
        <v>1</v>
      </c>
      <c r="F49" s="11" t="s">
        <v>35</v>
      </c>
      <c r="G49" s="11" t="s">
        <v>269</v>
      </c>
      <c r="H49" s="11" t="s">
        <v>270</v>
      </c>
      <c r="I49" s="10"/>
      <c r="J49" s="9" t="n">
        <v>5</v>
      </c>
      <c r="K49" s="9" t="s">
        <v>50</v>
      </c>
      <c r="L49" s="11" t="s">
        <v>271</v>
      </c>
      <c r="M49" s="9" t="s">
        <v>272</v>
      </c>
      <c r="N49" s="12"/>
      <c r="O49" s="9"/>
      <c r="P49" s="11"/>
      <c r="Q49" s="11"/>
      <c r="R49" s="9"/>
      <c r="S49" s="10"/>
      <c r="T49" s="9"/>
      <c r="U49" s="9"/>
      <c r="V49" s="9"/>
      <c r="W49" s="9"/>
      <c r="X49" s="9"/>
      <c r="Y49" s="9" t="n">
        <f aca="false">Table3[[#This Row],[E1Y]]+X$2</f>
        <v>23.6</v>
      </c>
      <c r="Z49" s="9" t="n">
        <f aca="false">Table3[[#This Row],[E1TY]]+W$2</f>
        <v>22.5</v>
      </c>
      <c r="AA49" s="9" t="n">
        <f aca="false">T$2+U$2*(Table3[[#This Row],[Effect 1 Y]]-1)</f>
        <v>29.6</v>
      </c>
      <c r="AB49" s="9" t="n">
        <f aca="false">Table3[[#This Row],[E2Y]]+X$2</f>
        <v>44.2</v>
      </c>
      <c r="AC49" s="9" t="n">
        <f aca="false">Table3[[#This Row],[E2TY]]+W$2</f>
        <v>43.1</v>
      </c>
      <c r="AD49" s="9" t="n">
        <f aca="false">T$2+U$2*(Table3[[#This Row],[Effect 2 Y]]-1)+V$2</f>
        <v>50.2</v>
      </c>
      <c r="AE49" s="9" t="n">
        <f aca="false">Table3[[#This Row],[E3Y]]+X$2</f>
        <v>25.2</v>
      </c>
      <c r="AF49" s="9" t="n">
        <f aca="false">Table3[[#This Row],[E3TY]]+W$2</f>
        <v>24.1</v>
      </c>
      <c r="AG49" s="11" t="n">
        <f aca="false">T$2+U$2*(Table3[[#This Row],[Effect 3 Y]]-1)+2*V$2</f>
        <v>31.2</v>
      </c>
    </row>
    <row r="50" customFormat="false" ht="33.7" hidden="false" customHeight="false" outlineLevel="0" collapsed="false">
      <c r="A50" s="7" t="s">
        <v>273</v>
      </c>
      <c r="B50" s="13" t="s">
        <v>199</v>
      </c>
      <c r="C50" s="9"/>
      <c r="D50" s="10"/>
      <c r="E50" s="9" t="n">
        <v>1</v>
      </c>
      <c r="F50" s="9" t="s">
        <v>50</v>
      </c>
      <c r="G50" s="11" t="s">
        <v>274</v>
      </c>
      <c r="H50" s="11" t="s">
        <v>275</v>
      </c>
      <c r="I50" s="10"/>
      <c r="J50" s="9"/>
      <c r="K50" s="11"/>
      <c r="L50" s="11"/>
      <c r="M50" s="9"/>
      <c r="N50" s="12"/>
      <c r="O50" s="9"/>
      <c r="P50" s="11"/>
      <c r="Q50" s="11"/>
      <c r="R50" s="9"/>
      <c r="S50" s="10"/>
      <c r="T50" s="9"/>
      <c r="U50" s="9"/>
      <c r="V50" s="9"/>
      <c r="W50" s="9"/>
      <c r="X50" s="9"/>
      <c r="Y50" s="9" t="n">
        <f aca="false">Table3[[#This Row],[E1Y]]+X$2</f>
        <v>23.6</v>
      </c>
      <c r="Z50" s="9" t="n">
        <f aca="false">Table3[[#This Row],[E1TY]]+W$2</f>
        <v>22.5</v>
      </c>
      <c r="AA50" s="9" t="n">
        <f aca="false">T$2+U$2*(Table3[[#This Row],[Effect 1 Y]]-1)</f>
        <v>29.6</v>
      </c>
      <c r="AB50" s="9" t="n">
        <f aca="false">Table3[[#This Row],[E2Y]]+X$2</f>
        <v>22.2</v>
      </c>
      <c r="AC50" s="9" t="n">
        <f aca="false">Table3[[#This Row],[E2TY]]+W$2</f>
        <v>21.1</v>
      </c>
      <c r="AD50" s="9" t="n">
        <f aca="false">T$2+U$2*(Table3[[#This Row],[Effect 2 Y]]-1)+V$2</f>
        <v>28.2</v>
      </c>
      <c r="AE50" s="9" t="n">
        <f aca="false">Table3[[#This Row],[E3Y]]+X$2</f>
        <v>25.2</v>
      </c>
      <c r="AF50" s="9" t="n">
        <f aca="false">Table3[[#This Row],[E3TY]]+W$2</f>
        <v>24.1</v>
      </c>
      <c r="AG50" s="11" t="n">
        <f aca="false">T$2+U$2*(Table3[[#This Row],[Effect 3 Y]]-1)+2*V$2</f>
        <v>31.2</v>
      </c>
    </row>
    <row r="51" customFormat="false" ht="44.55" hidden="false" customHeight="false" outlineLevel="0" collapsed="false">
      <c r="A51" s="7" t="s">
        <v>276</v>
      </c>
      <c r="B51" s="13" t="s">
        <v>199</v>
      </c>
      <c r="C51" s="9"/>
      <c r="D51" s="10"/>
      <c r="E51" s="9" t="n">
        <v>1</v>
      </c>
      <c r="F51" s="11" t="s">
        <v>35</v>
      </c>
      <c r="G51" s="11" t="s">
        <v>277</v>
      </c>
      <c r="H51" s="11" t="s">
        <v>278</v>
      </c>
      <c r="I51" s="10"/>
      <c r="J51" s="9" t="n">
        <v>4</v>
      </c>
      <c r="K51" s="11" t="s">
        <v>35</v>
      </c>
      <c r="L51" s="11" t="s">
        <v>279</v>
      </c>
      <c r="M51" s="9" t="s">
        <v>280</v>
      </c>
      <c r="N51" s="12"/>
      <c r="O51" s="9"/>
      <c r="P51" s="11"/>
      <c r="Q51" s="11"/>
      <c r="R51" s="9"/>
      <c r="S51" s="10"/>
      <c r="T51" s="9"/>
      <c r="U51" s="9"/>
      <c r="V51" s="9"/>
      <c r="W51" s="9"/>
      <c r="X51" s="9"/>
      <c r="Y51" s="9" t="n">
        <f aca="false">Table3[[#This Row],[E1Y]]+X$2</f>
        <v>23.6</v>
      </c>
      <c r="Z51" s="9" t="n">
        <f aca="false">Table3[[#This Row],[E1TY]]+W$2</f>
        <v>22.5</v>
      </c>
      <c r="AA51" s="9" t="n">
        <f aca="false">T$2+U$2*(Table3[[#This Row],[Effect 1 Y]]-1)</f>
        <v>29.6</v>
      </c>
      <c r="AB51" s="9" t="n">
        <f aca="false">Table3[[#This Row],[E2Y]]+X$2</f>
        <v>39.8</v>
      </c>
      <c r="AC51" s="9" t="n">
        <f aca="false">Table3[[#This Row],[E2TY]]+W$2</f>
        <v>38.7</v>
      </c>
      <c r="AD51" s="9" t="n">
        <f aca="false">T$2+U$2*(Table3[[#This Row],[Effect 2 Y]]-1)+V$2</f>
        <v>45.8</v>
      </c>
      <c r="AE51" s="9" t="n">
        <f aca="false">Table3[[#This Row],[E3Y]]+X$2</f>
        <v>25.2</v>
      </c>
      <c r="AF51" s="9" t="n">
        <f aca="false">Table3[[#This Row],[E3TY]]+W$2</f>
        <v>24.1</v>
      </c>
      <c r="AG51" s="11" t="n">
        <f aca="false">T$2+U$2*(Table3[[#This Row],[Effect 3 Y]]-1)+2*V$2</f>
        <v>31.2</v>
      </c>
    </row>
    <row r="52" customFormat="false" ht="22.85" hidden="false" customHeight="false" outlineLevel="0" collapsed="false">
      <c r="A52" s="7" t="s">
        <v>281</v>
      </c>
      <c r="B52" s="13" t="s">
        <v>199</v>
      </c>
      <c r="C52" s="9"/>
      <c r="D52" s="10"/>
      <c r="E52" s="9" t="n">
        <v>1</v>
      </c>
      <c r="F52" s="9" t="s">
        <v>50</v>
      </c>
      <c r="G52" s="11" t="s">
        <v>282</v>
      </c>
      <c r="H52" s="11" t="s">
        <v>283</v>
      </c>
      <c r="I52" s="10"/>
      <c r="J52" s="9"/>
      <c r="K52" s="11"/>
      <c r="L52" s="11"/>
      <c r="M52" s="9"/>
      <c r="N52" s="12"/>
      <c r="O52" s="9"/>
      <c r="P52" s="11"/>
      <c r="Q52" s="11"/>
      <c r="R52" s="9"/>
      <c r="S52" s="10"/>
      <c r="T52" s="9"/>
      <c r="U52" s="9"/>
      <c r="V52" s="9"/>
      <c r="W52" s="9"/>
      <c r="X52" s="9"/>
      <c r="Y52" s="9" t="n">
        <f aca="false">Table3[[#This Row],[E1Y]]+X$2</f>
        <v>23.6</v>
      </c>
      <c r="Z52" s="9" t="n">
        <f aca="false">Table3[[#This Row],[E1TY]]+W$2</f>
        <v>22.5</v>
      </c>
      <c r="AA52" s="9" t="n">
        <f aca="false">T$2+U$2*(Table3[[#This Row],[Effect 1 Y]]-1)</f>
        <v>29.6</v>
      </c>
      <c r="AB52" s="9" t="n">
        <f aca="false">Table3[[#This Row],[E2Y]]+X$2</f>
        <v>22.2</v>
      </c>
      <c r="AC52" s="9" t="n">
        <f aca="false">Table3[[#This Row],[E2TY]]+W$2</f>
        <v>21.1</v>
      </c>
      <c r="AD52" s="9" t="n">
        <f aca="false">T$2+U$2*(Table3[[#This Row],[Effect 2 Y]]-1)+V$2</f>
        <v>28.2</v>
      </c>
      <c r="AE52" s="9" t="n">
        <f aca="false">Table3[[#This Row],[E3Y]]+X$2</f>
        <v>25.2</v>
      </c>
      <c r="AF52" s="9" t="n">
        <f aca="false">Table3[[#This Row],[E3TY]]+W$2</f>
        <v>24.1</v>
      </c>
      <c r="AG52" s="11" t="n">
        <f aca="false">T$2+U$2*(Table3[[#This Row],[Effect 3 Y]]-1)+2*V$2</f>
        <v>31.2</v>
      </c>
    </row>
    <row r="53" customFormat="false" ht="55.4" hidden="false" customHeight="false" outlineLevel="0" collapsed="false">
      <c r="A53" s="7" t="s">
        <v>284</v>
      </c>
      <c r="B53" s="13" t="s">
        <v>199</v>
      </c>
      <c r="C53" s="9"/>
      <c r="D53" s="10"/>
      <c r="E53" s="9" t="n">
        <v>1</v>
      </c>
      <c r="F53" s="9" t="s">
        <v>50</v>
      </c>
      <c r="G53" s="11" t="s">
        <v>285</v>
      </c>
      <c r="H53" s="11" t="s">
        <v>286</v>
      </c>
      <c r="I53" s="10"/>
      <c r="J53" s="9"/>
      <c r="K53" s="11"/>
      <c r="L53" s="11"/>
      <c r="M53" s="9"/>
      <c r="N53" s="12"/>
      <c r="O53" s="9"/>
      <c r="P53" s="11"/>
      <c r="Q53" s="11"/>
      <c r="R53" s="9"/>
      <c r="S53" s="10"/>
      <c r="T53" s="9"/>
      <c r="U53" s="9"/>
      <c r="V53" s="9"/>
      <c r="W53" s="9"/>
      <c r="X53" s="9"/>
      <c r="Y53" s="9" t="n">
        <f aca="false">Table3[[#This Row],[E1Y]]+X$2</f>
        <v>23.6</v>
      </c>
      <c r="Z53" s="9" t="n">
        <f aca="false">Table3[[#This Row],[E1TY]]+W$2</f>
        <v>22.5</v>
      </c>
      <c r="AA53" s="9" t="n">
        <f aca="false">T$2+U$2*(Table3[[#This Row],[Effect 1 Y]]-1)</f>
        <v>29.6</v>
      </c>
      <c r="AB53" s="9" t="n">
        <f aca="false">Table3[[#This Row],[E2Y]]+X$2</f>
        <v>22.2</v>
      </c>
      <c r="AC53" s="9" t="n">
        <f aca="false">Table3[[#This Row],[E2TY]]+W$2</f>
        <v>21.1</v>
      </c>
      <c r="AD53" s="9" t="n">
        <f aca="false">T$2+U$2*(Table3[[#This Row],[Effect 2 Y]]-1)+V$2</f>
        <v>28.2</v>
      </c>
      <c r="AE53" s="9" t="n">
        <f aca="false">Table3[[#This Row],[E3Y]]+X$2</f>
        <v>25.2</v>
      </c>
      <c r="AF53" s="9" t="n">
        <f aca="false">Table3[[#This Row],[E3TY]]+W$2</f>
        <v>24.1</v>
      </c>
      <c r="AG53" s="11" t="n">
        <f aca="false">T$2+U$2*(Table3[[#This Row],[Effect 3 Y]]-1)+2*V$2</f>
        <v>31.2</v>
      </c>
    </row>
    <row r="54" customFormat="false" ht="15" hidden="false" customHeight="false" outlineLevel="0" collapsed="false">
      <c r="A54" s="7" t="s">
        <v>287</v>
      </c>
      <c r="B54" s="13" t="s">
        <v>199</v>
      </c>
      <c r="C54" s="9"/>
      <c r="D54" s="10"/>
      <c r="E54" s="9" t="n">
        <v>1</v>
      </c>
      <c r="F54" s="9" t="s">
        <v>50</v>
      </c>
      <c r="G54" s="11" t="s">
        <v>288</v>
      </c>
      <c r="H54" s="11" t="s">
        <v>289</v>
      </c>
      <c r="I54" s="10"/>
      <c r="J54" s="9"/>
      <c r="K54" s="11"/>
      <c r="L54" s="11"/>
      <c r="M54" s="9"/>
      <c r="N54" s="12"/>
      <c r="O54" s="9"/>
      <c r="P54" s="11"/>
      <c r="Q54" s="11"/>
      <c r="R54" s="9"/>
      <c r="S54" s="10"/>
      <c r="T54" s="9"/>
      <c r="U54" s="9"/>
      <c r="V54" s="9"/>
      <c r="W54" s="9"/>
      <c r="X54" s="9"/>
      <c r="Y54" s="9" t="n">
        <f aca="false">Table3[[#This Row],[E1Y]]+X$2</f>
        <v>23.6</v>
      </c>
      <c r="Z54" s="9" t="n">
        <f aca="false">Table3[[#This Row],[E1TY]]+W$2</f>
        <v>22.5</v>
      </c>
      <c r="AA54" s="9" t="n">
        <f aca="false">T$2+U$2*(Table3[[#This Row],[Effect 1 Y]]-1)</f>
        <v>29.6</v>
      </c>
      <c r="AB54" s="9" t="n">
        <f aca="false">Table3[[#This Row],[E2Y]]+X$2</f>
        <v>22.2</v>
      </c>
      <c r="AC54" s="9" t="n">
        <f aca="false">Table3[[#This Row],[E2TY]]+W$2</f>
        <v>21.1</v>
      </c>
      <c r="AD54" s="9" t="n">
        <f aca="false">T$2+U$2*(Table3[[#This Row],[Effect 2 Y]]-1)+V$2</f>
        <v>28.2</v>
      </c>
      <c r="AE54" s="9" t="n">
        <f aca="false">Table3[[#This Row],[E3Y]]+X$2</f>
        <v>25.2</v>
      </c>
      <c r="AF54" s="9" t="n">
        <f aca="false">Table3[[#This Row],[E3TY]]+W$2</f>
        <v>24.1</v>
      </c>
      <c r="AG54" s="11" t="n">
        <f aca="false">T$2+U$2*(Table3[[#This Row],[Effect 3 Y]]-1)+2*V$2</f>
        <v>31.2</v>
      </c>
    </row>
    <row r="55" customFormat="false" ht="22.85" hidden="false" customHeight="false" outlineLevel="0" collapsed="false">
      <c r="A55" s="7" t="s">
        <v>290</v>
      </c>
      <c r="B55" s="13" t="s">
        <v>199</v>
      </c>
      <c r="C55" s="9"/>
      <c r="D55" s="10"/>
      <c r="E55" s="9" t="n">
        <v>1</v>
      </c>
      <c r="F55" s="9" t="s">
        <v>50</v>
      </c>
      <c r="G55" s="11" t="s">
        <v>291</v>
      </c>
      <c r="H55" s="11" t="s">
        <v>292</v>
      </c>
      <c r="I55" s="10"/>
      <c r="J55" s="9" t="n">
        <v>4</v>
      </c>
      <c r="K55" s="11" t="s">
        <v>35</v>
      </c>
      <c r="L55" s="11" t="s">
        <v>293</v>
      </c>
      <c r="M55" s="9" t="s">
        <v>294</v>
      </c>
      <c r="N55" s="12"/>
      <c r="O55" s="9"/>
      <c r="P55" s="11"/>
      <c r="Q55" s="11"/>
      <c r="R55" s="9"/>
      <c r="S55" s="10"/>
      <c r="T55" s="9"/>
      <c r="U55" s="9"/>
      <c r="V55" s="9"/>
      <c r="W55" s="9"/>
      <c r="X55" s="9"/>
      <c r="Y55" s="9" t="n">
        <f aca="false">Table3[[#This Row],[E1Y]]+X$2</f>
        <v>23.6</v>
      </c>
      <c r="Z55" s="9" t="n">
        <f aca="false">Table3[[#This Row],[E1TY]]+W$2</f>
        <v>22.5</v>
      </c>
      <c r="AA55" s="9" t="n">
        <f aca="false">T$2+U$2*(Table3[[#This Row],[Effect 1 Y]]-1)</f>
        <v>29.6</v>
      </c>
      <c r="AB55" s="9" t="n">
        <f aca="false">Table3[[#This Row],[E2Y]]+X$2</f>
        <v>39.8</v>
      </c>
      <c r="AC55" s="9" t="n">
        <f aca="false">Table3[[#This Row],[E2TY]]+W$2</f>
        <v>38.7</v>
      </c>
      <c r="AD55" s="9" t="n">
        <f aca="false">T$2+U$2*(Table3[[#This Row],[Effect 2 Y]]-1)+V$2</f>
        <v>45.8</v>
      </c>
      <c r="AE55" s="9" t="n">
        <f aca="false">Table3[[#This Row],[E3Y]]+X$2</f>
        <v>25.2</v>
      </c>
      <c r="AF55" s="9" t="n">
        <f aca="false">Table3[[#This Row],[E3TY]]+W$2</f>
        <v>24.1</v>
      </c>
      <c r="AG55" s="11" t="n">
        <f aca="false">T$2+U$2*(Table3[[#This Row],[Effect 3 Y]]-1)+2*V$2</f>
        <v>31.2</v>
      </c>
    </row>
    <row r="56" customFormat="false" ht="22.85" hidden="false" customHeight="false" outlineLevel="0" collapsed="false">
      <c r="A56" s="7" t="s">
        <v>295</v>
      </c>
      <c r="B56" s="13" t="s">
        <v>199</v>
      </c>
      <c r="C56" s="9"/>
      <c r="D56" s="10"/>
      <c r="E56" s="9" t="n">
        <v>1</v>
      </c>
      <c r="F56" s="11" t="s">
        <v>35</v>
      </c>
      <c r="G56" s="11" t="s">
        <v>211</v>
      </c>
      <c r="H56" s="11" t="s">
        <v>296</v>
      </c>
      <c r="I56" s="10"/>
      <c r="J56" s="9"/>
      <c r="K56" s="11"/>
      <c r="L56" s="11"/>
      <c r="M56" s="9"/>
      <c r="N56" s="12"/>
      <c r="O56" s="9"/>
      <c r="P56" s="11"/>
      <c r="Q56" s="11"/>
      <c r="R56" s="9"/>
      <c r="S56" s="10"/>
      <c r="T56" s="9"/>
      <c r="U56" s="9"/>
      <c r="V56" s="9"/>
      <c r="W56" s="9"/>
      <c r="X56" s="9"/>
      <c r="Y56" s="9" t="n">
        <f aca="false">Table3[[#This Row],[E1Y]]+X$2</f>
        <v>23.6</v>
      </c>
      <c r="Z56" s="9" t="n">
        <f aca="false">Table3[[#This Row],[E1TY]]+W$2</f>
        <v>22.5</v>
      </c>
      <c r="AA56" s="9" t="n">
        <f aca="false">T$2+U$2*(Table3[[#This Row],[Effect 1 Y]]-1)</f>
        <v>29.6</v>
      </c>
      <c r="AB56" s="9" t="n">
        <f aca="false">Table3[[#This Row],[E2Y]]+X$2</f>
        <v>22.2</v>
      </c>
      <c r="AC56" s="9" t="n">
        <f aca="false">Table3[[#This Row],[E2TY]]+W$2</f>
        <v>21.1</v>
      </c>
      <c r="AD56" s="9" t="n">
        <f aca="false">T$2+U$2*(Table3[[#This Row],[Effect 2 Y]]-1)+V$2</f>
        <v>28.2</v>
      </c>
      <c r="AE56" s="9" t="n">
        <f aca="false">Table3[[#This Row],[E3Y]]+X$2</f>
        <v>25.2</v>
      </c>
      <c r="AF56" s="9" t="n">
        <f aca="false">Table3[[#This Row],[E3TY]]+W$2</f>
        <v>24.1</v>
      </c>
      <c r="AG56" s="11" t="n">
        <f aca="false">T$2+U$2*(Table3[[#This Row],[Effect 3 Y]]-1)+2*V$2</f>
        <v>31.2</v>
      </c>
    </row>
    <row r="57" customFormat="false" ht="33.7" hidden="false" customHeight="false" outlineLevel="0" collapsed="false">
      <c r="A57" s="7" t="s">
        <v>297</v>
      </c>
      <c r="B57" s="13" t="s">
        <v>199</v>
      </c>
      <c r="C57" s="9"/>
      <c r="D57" s="10"/>
      <c r="E57" s="9" t="n">
        <v>1</v>
      </c>
      <c r="F57" s="11" t="s">
        <v>35</v>
      </c>
      <c r="G57" s="11" t="s">
        <v>298</v>
      </c>
      <c r="H57" s="11" t="s">
        <v>299</v>
      </c>
      <c r="I57" s="10"/>
      <c r="J57" s="9" t="n">
        <v>5</v>
      </c>
      <c r="K57" s="9" t="s">
        <v>50</v>
      </c>
      <c r="L57" s="11" t="s">
        <v>300</v>
      </c>
      <c r="M57" s="9" t="s">
        <v>301</v>
      </c>
      <c r="N57" s="12"/>
      <c r="O57" s="9"/>
      <c r="P57" s="11"/>
      <c r="Q57" s="11"/>
      <c r="R57" s="9"/>
      <c r="S57" s="10"/>
      <c r="T57" s="9"/>
      <c r="U57" s="9"/>
      <c r="V57" s="9"/>
      <c r="W57" s="9"/>
      <c r="X57" s="9"/>
      <c r="Y57" s="9" t="n">
        <f aca="false">Table3[[#This Row],[E1Y]]+X$2</f>
        <v>23.6</v>
      </c>
      <c r="Z57" s="9" t="n">
        <f aca="false">Table3[[#This Row],[E1TY]]+W$2</f>
        <v>22.5</v>
      </c>
      <c r="AA57" s="9" t="n">
        <f aca="false">T$2+U$2*(Table3[[#This Row],[Effect 1 Y]]-1)</f>
        <v>29.6</v>
      </c>
      <c r="AB57" s="9" t="n">
        <f aca="false">Table3[[#This Row],[E2Y]]+X$2</f>
        <v>44.2</v>
      </c>
      <c r="AC57" s="9" t="n">
        <f aca="false">Table3[[#This Row],[E2TY]]+W$2</f>
        <v>43.1</v>
      </c>
      <c r="AD57" s="9" t="n">
        <f aca="false">T$2+U$2*(Table3[[#This Row],[Effect 2 Y]]-1)+V$2</f>
        <v>50.2</v>
      </c>
      <c r="AE57" s="9" t="n">
        <f aca="false">Table3[[#This Row],[E3Y]]+X$2</f>
        <v>25.2</v>
      </c>
      <c r="AF57" s="9" t="n">
        <f aca="false">Table3[[#This Row],[E3TY]]+W$2</f>
        <v>24.1</v>
      </c>
      <c r="AG57" s="11" t="n">
        <f aca="false">T$2+U$2*(Table3[[#This Row],[Effect 3 Y]]-1)+2*V$2</f>
        <v>31.2</v>
      </c>
    </row>
    <row r="58" customFormat="false" ht="22.85" hidden="false" customHeight="false" outlineLevel="0" collapsed="false">
      <c r="A58" s="7" t="s">
        <v>302</v>
      </c>
      <c r="B58" s="13" t="s">
        <v>199</v>
      </c>
      <c r="C58" s="9"/>
      <c r="D58" s="10"/>
      <c r="E58" s="9" t="n">
        <v>1</v>
      </c>
      <c r="F58" s="9" t="s">
        <v>50</v>
      </c>
      <c r="G58" s="11" t="s">
        <v>303</v>
      </c>
      <c r="H58" s="11" t="s">
        <v>304</v>
      </c>
      <c r="I58" s="10"/>
      <c r="J58" s="9" t="n">
        <v>4</v>
      </c>
      <c r="K58" s="11" t="s">
        <v>35</v>
      </c>
      <c r="L58" s="11" t="s">
        <v>305</v>
      </c>
      <c r="M58" s="9" t="s">
        <v>306</v>
      </c>
      <c r="N58" s="12"/>
      <c r="O58" s="9"/>
      <c r="P58" s="11"/>
      <c r="Q58" s="11"/>
      <c r="R58" s="9"/>
      <c r="S58" s="10"/>
      <c r="T58" s="9"/>
      <c r="U58" s="9"/>
      <c r="V58" s="9"/>
      <c r="W58" s="9"/>
      <c r="X58" s="9"/>
      <c r="Y58" s="9" t="n">
        <f aca="false">Table3[[#This Row],[E1Y]]+X$2</f>
        <v>23.6</v>
      </c>
      <c r="Z58" s="9" t="n">
        <f aca="false">Table3[[#This Row],[E1TY]]+W$2</f>
        <v>22.5</v>
      </c>
      <c r="AA58" s="9" t="n">
        <f aca="false">T$2+U$2*(Table3[[#This Row],[Effect 1 Y]]-1)</f>
        <v>29.6</v>
      </c>
      <c r="AB58" s="9" t="n">
        <f aca="false">Table3[[#This Row],[E2Y]]+X$2</f>
        <v>39.8</v>
      </c>
      <c r="AC58" s="9" t="n">
        <f aca="false">Table3[[#This Row],[E2TY]]+W$2</f>
        <v>38.7</v>
      </c>
      <c r="AD58" s="9" t="n">
        <f aca="false">T$2+U$2*(Table3[[#This Row],[Effect 2 Y]]-1)+V$2</f>
        <v>45.8</v>
      </c>
      <c r="AE58" s="9" t="n">
        <f aca="false">Table3[[#This Row],[E3Y]]+X$2</f>
        <v>25.2</v>
      </c>
      <c r="AF58" s="9" t="n">
        <f aca="false">Table3[[#This Row],[E3TY]]+W$2</f>
        <v>24.1</v>
      </c>
      <c r="AG58" s="11" t="n">
        <f aca="false">T$2+U$2*(Table3[[#This Row],[Effect 3 Y]]-1)+2*V$2</f>
        <v>31.2</v>
      </c>
    </row>
    <row r="59" customFormat="false" ht="22.85" hidden="false" customHeight="false" outlineLevel="0" collapsed="false">
      <c r="A59" s="7" t="s">
        <v>307</v>
      </c>
      <c r="B59" s="13" t="s">
        <v>199</v>
      </c>
      <c r="C59" s="9"/>
      <c r="D59" s="10"/>
      <c r="E59" s="9" t="n">
        <v>1</v>
      </c>
      <c r="F59" s="11" t="s">
        <v>35</v>
      </c>
      <c r="G59" s="11" t="s">
        <v>308</v>
      </c>
      <c r="H59" s="11" t="s">
        <v>309</v>
      </c>
      <c r="I59" s="10"/>
      <c r="J59" s="9" t="n">
        <v>5</v>
      </c>
      <c r="K59" s="11" t="s">
        <v>218</v>
      </c>
      <c r="L59" s="11" t="s">
        <v>310</v>
      </c>
      <c r="M59" s="9" t="s">
        <v>311</v>
      </c>
      <c r="N59" s="12"/>
      <c r="O59" s="9"/>
      <c r="P59" s="11"/>
      <c r="Q59" s="11"/>
      <c r="R59" s="9"/>
      <c r="S59" s="10"/>
      <c r="T59" s="9"/>
      <c r="U59" s="9"/>
      <c r="V59" s="9"/>
      <c r="W59" s="9"/>
      <c r="X59" s="9"/>
      <c r="Y59" s="9" t="n">
        <f aca="false">Table3[[#This Row],[E1Y]]+X$2</f>
        <v>23.6</v>
      </c>
      <c r="Z59" s="9" t="n">
        <f aca="false">Table3[[#This Row],[E1TY]]+W$2</f>
        <v>22.5</v>
      </c>
      <c r="AA59" s="9" t="n">
        <f aca="false">T$2+U$2*(Table3[[#This Row],[Effect 1 Y]]-1)</f>
        <v>29.6</v>
      </c>
      <c r="AB59" s="9" t="n">
        <f aca="false">Table3[[#This Row],[E2Y]]+X$2</f>
        <v>44.2</v>
      </c>
      <c r="AC59" s="9" t="n">
        <f aca="false">Table3[[#This Row],[E2TY]]+W$2</f>
        <v>43.1</v>
      </c>
      <c r="AD59" s="9" t="n">
        <f aca="false">T$2+U$2*(Table3[[#This Row],[Effect 2 Y]]-1)+V$2</f>
        <v>50.2</v>
      </c>
      <c r="AE59" s="9" t="n">
        <f aca="false">Table3[[#This Row],[E3Y]]+X$2</f>
        <v>25.2</v>
      </c>
      <c r="AF59" s="9" t="n">
        <f aca="false">Table3[[#This Row],[E3TY]]+W$2</f>
        <v>24.1</v>
      </c>
      <c r="AG59" s="11" t="n">
        <f aca="false">T$2+U$2*(Table3[[#This Row],[Effect 3 Y]]-1)+2*V$2</f>
        <v>31.2</v>
      </c>
    </row>
    <row r="60" customFormat="false" ht="22.85" hidden="false" customHeight="false" outlineLevel="0" collapsed="false">
      <c r="A60" s="7" t="s">
        <v>312</v>
      </c>
      <c r="B60" s="13" t="s">
        <v>199</v>
      </c>
      <c r="C60" s="9"/>
      <c r="D60" s="10"/>
      <c r="E60" s="9" t="n">
        <v>1</v>
      </c>
      <c r="F60" s="11" t="s">
        <v>35</v>
      </c>
      <c r="G60" s="11" t="s">
        <v>211</v>
      </c>
      <c r="H60" s="11" t="s">
        <v>313</v>
      </c>
      <c r="I60" s="10"/>
      <c r="J60" s="9"/>
      <c r="K60" s="11"/>
      <c r="L60" s="11"/>
      <c r="M60" s="9"/>
      <c r="N60" s="12"/>
      <c r="O60" s="9"/>
      <c r="P60" s="11"/>
      <c r="Q60" s="11"/>
      <c r="R60" s="9"/>
      <c r="S60" s="10"/>
      <c r="T60" s="9"/>
      <c r="U60" s="9"/>
      <c r="V60" s="9"/>
      <c r="W60" s="9"/>
      <c r="X60" s="9"/>
      <c r="Y60" s="9" t="n">
        <f aca="false">Table3[[#This Row],[E1Y]]+X$2</f>
        <v>23.6</v>
      </c>
      <c r="Z60" s="9" t="n">
        <f aca="false">Table3[[#This Row],[E1TY]]+W$2</f>
        <v>22.5</v>
      </c>
      <c r="AA60" s="9" t="n">
        <f aca="false">T$2+U$2*(Table3[[#This Row],[Effect 1 Y]]-1)</f>
        <v>29.6</v>
      </c>
      <c r="AB60" s="9" t="n">
        <f aca="false">Table3[[#This Row],[E2Y]]+X$2</f>
        <v>22.2</v>
      </c>
      <c r="AC60" s="9" t="n">
        <f aca="false">Table3[[#This Row],[E2TY]]+W$2</f>
        <v>21.1</v>
      </c>
      <c r="AD60" s="9" t="n">
        <f aca="false">T$2+U$2*(Table3[[#This Row],[Effect 2 Y]]-1)+V$2</f>
        <v>28.2</v>
      </c>
      <c r="AE60" s="9" t="n">
        <f aca="false">Table3[[#This Row],[E3Y]]+X$2</f>
        <v>25.2</v>
      </c>
      <c r="AF60" s="9" t="n">
        <f aca="false">Table3[[#This Row],[E3TY]]+W$2</f>
        <v>24.1</v>
      </c>
      <c r="AG60" s="11" t="n">
        <f aca="false">T$2+U$2*(Table3[[#This Row],[Effect 3 Y]]-1)+2*V$2</f>
        <v>31.2</v>
      </c>
    </row>
    <row r="61" customFormat="false" ht="44.55" hidden="false" customHeight="false" outlineLevel="0" collapsed="false">
      <c r="A61" s="7" t="s">
        <v>314</v>
      </c>
      <c r="B61" s="13" t="s">
        <v>199</v>
      </c>
      <c r="C61" s="9"/>
      <c r="D61" s="10"/>
      <c r="E61" s="9" t="n">
        <v>1</v>
      </c>
      <c r="F61" s="9" t="s">
        <v>50</v>
      </c>
      <c r="G61" s="11" t="s">
        <v>315</v>
      </c>
      <c r="H61" s="11" t="s">
        <v>316</v>
      </c>
      <c r="I61" s="10"/>
      <c r="J61" s="9" t="n">
        <v>8</v>
      </c>
      <c r="K61" s="11" t="s">
        <v>35</v>
      </c>
      <c r="L61" s="11" t="s">
        <v>317</v>
      </c>
      <c r="M61" s="9" t="s">
        <v>318</v>
      </c>
      <c r="N61" s="12"/>
      <c r="O61" s="9"/>
      <c r="P61" s="11"/>
      <c r="Q61" s="11"/>
      <c r="R61" s="9"/>
      <c r="S61" s="10"/>
      <c r="T61" s="9"/>
      <c r="U61" s="9"/>
      <c r="V61" s="9"/>
      <c r="W61" s="9"/>
      <c r="X61" s="9"/>
      <c r="Y61" s="9" t="n">
        <f aca="false">Table3[[#This Row],[E1Y]]+X$2</f>
        <v>23.6</v>
      </c>
      <c r="Z61" s="9" t="n">
        <f aca="false">Table3[[#This Row],[E1TY]]+W$2</f>
        <v>22.5</v>
      </c>
      <c r="AA61" s="9" t="n">
        <f aca="false">T$2+U$2*(Table3[[#This Row],[Effect 1 Y]]-1)</f>
        <v>29.6</v>
      </c>
      <c r="AB61" s="9" t="n">
        <f aca="false">Table3[[#This Row],[E2Y]]+X$2</f>
        <v>57.4</v>
      </c>
      <c r="AC61" s="9" t="n">
        <f aca="false">Table3[[#This Row],[E2TY]]+W$2</f>
        <v>56.3</v>
      </c>
      <c r="AD61" s="9" t="n">
        <f aca="false">T$2+U$2*(Table3[[#This Row],[Effect 2 Y]]-1)+V$2</f>
        <v>63.4</v>
      </c>
      <c r="AE61" s="9" t="n">
        <f aca="false">Table3[[#This Row],[E3Y]]+X$2</f>
        <v>25.2</v>
      </c>
      <c r="AF61" s="9" t="n">
        <f aca="false">Table3[[#This Row],[E3TY]]+W$2</f>
        <v>24.1</v>
      </c>
      <c r="AG61" s="11" t="n">
        <f aca="false">T$2+U$2*(Table3[[#This Row],[Effect 3 Y]]-1)+2*V$2</f>
        <v>31.2</v>
      </c>
    </row>
    <row r="62" customFormat="false" ht="33.7" hidden="false" customHeight="false" outlineLevel="0" collapsed="false">
      <c r="A62" s="7" t="s">
        <v>319</v>
      </c>
      <c r="B62" s="13" t="s">
        <v>199</v>
      </c>
      <c r="C62" s="9"/>
      <c r="D62" s="10"/>
      <c r="E62" s="9" t="n">
        <v>1</v>
      </c>
      <c r="F62" s="11" t="s">
        <v>35</v>
      </c>
      <c r="G62" s="11" t="s">
        <v>211</v>
      </c>
      <c r="H62" s="11" t="s">
        <v>320</v>
      </c>
      <c r="I62" s="10"/>
      <c r="J62" s="9"/>
      <c r="K62" s="11"/>
      <c r="L62" s="11"/>
      <c r="M62" s="9"/>
      <c r="N62" s="12"/>
      <c r="O62" s="9"/>
      <c r="P62" s="11"/>
      <c r="Q62" s="11"/>
      <c r="R62" s="9"/>
      <c r="S62" s="10"/>
      <c r="T62" s="9"/>
      <c r="U62" s="9"/>
      <c r="V62" s="9"/>
      <c r="W62" s="9"/>
      <c r="X62" s="9"/>
      <c r="Y62" s="9" t="n">
        <f aca="false">Table3[[#This Row],[E1Y]]+X$2</f>
        <v>23.6</v>
      </c>
      <c r="Z62" s="9" t="n">
        <f aca="false">Table3[[#This Row],[E1TY]]+W$2</f>
        <v>22.5</v>
      </c>
      <c r="AA62" s="9" t="n">
        <f aca="false">T$2+U$2*(Table3[[#This Row],[Effect 1 Y]]-1)</f>
        <v>29.6</v>
      </c>
      <c r="AB62" s="9" t="n">
        <f aca="false">Table3[[#This Row],[E2Y]]+X$2</f>
        <v>22.2</v>
      </c>
      <c r="AC62" s="9" t="n">
        <f aca="false">Table3[[#This Row],[E2TY]]+W$2</f>
        <v>21.1</v>
      </c>
      <c r="AD62" s="9" t="n">
        <f aca="false">T$2+U$2*(Table3[[#This Row],[Effect 2 Y]]-1)+V$2</f>
        <v>28.2</v>
      </c>
      <c r="AE62" s="9" t="n">
        <f aca="false">Table3[[#This Row],[E3Y]]+X$2</f>
        <v>25.2</v>
      </c>
      <c r="AF62" s="9" t="n">
        <f aca="false">Table3[[#This Row],[E3TY]]+W$2</f>
        <v>24.1</v>
      </c>
      <c r="AG62" s="11" t="n">
        <f aca="false">T$2+U$2*(Table3[[#This Row],[Effect 3 Y]]-1)+2*V$2</f>
        <v>31.2</v>
      </c>
    </row>
    <row r="63" customFormat="false" ht="22.85" hidden="false" customHeight="false" outlineLevel="0" collapsed="false">
      <c r="A63" s="7" t="s">
        <v>321</v>
      </c>
      <c r="B63" s="13" t="s">
        <v>199</v>
      </c>
      <c r="C63" s="9"/>
      <c r="D63" s="10"/>
      <c r="E63" s="9" t="n">
        <v>1</v>
      </c>
      <c r="F63" s="11" t="s">
        <v>218</v>
      </c>
      <c r="G63" s="11" t="s">
        <v>322</v>
      </c>
      <c r="H63" s="11" t="s">
        <v>323</v>
      </c>
      <c r="I63" s="10"/>
      <c r="J63" s="9"/>
      <c r="K63" s="11"/>
      <c r="L63" s="11"/>
      <c r="M63" s="9"/>
      <c r="N63" s="12"/>
      <c r="O63" s="9"/>
      <c r="P63" s="11"/>
      <c r="Q63" s="11"/>
      <c r="R63" s="9"/>
      <c r="S63" s="10"/>
      <c r="T63" s="9"/>
      <c r="U63" s="9"/>
      <c r="V63" s="9"/>
      <c r="W63" s="9"/>
      <c r="X63" s="9"/>
      <c r="Y63" s="9" t="n">
        <f aca="false">Table3[[#This Row],[E1Y]]+X$2</f>
        <v>23.6</v>
      </c>
      <c r="Z63" s="9" t="n">
        <f aca="false">Table3[[#This Row],[E1TY]]+W$2</f>
        <v>22.5</v>
      </c>
      <c r="AA63" s="9" t="n">
        <f aca="false">T$2+U$2*(Table3[[#This Row],[Effect 1 Y]]-1)</f>
        <v>29.6</v>
      </c>
      <c r="AB63" s="9" t="n">
        <f aca="false">Table3[[#This Row],[E2Y]]+X$2</f>
        <v>22.2</v>
      </c>
      <c r="AC63" s="9" t="n">
        <f aca="false">Table3[[#This Row],[E2TY]]+W$2</f>
        <v>21.1</v>
      </c>
      <c r="AD63" s="9" t="n">
        <f aca="false">T$2+U$2*(Table3[[#This Row],[Effect 2 Y]]-1)+V$2</f>
        <v>28.2</v>
      </c>
      <c r="AE63" s="9" t="n">
        <f aca="false">Table3[[#This Row],[E3Y]]+X$2</f>
        <v>25.2</v>
      </c>
      <c r="AF63" s="9" t="n">
        <f aca="false">Table3[[#This Row],[E3TY]]+W$2</f>
        <v>24.1</v>
      </c>
      <c r="AG63" s="11" t="n">
        <f aca="false">T$2+U$2*(Table3[[#This Row],[Effect 3 Y]]-1)+2*V$2</f>
        <v>31.2</v>
      </c>
    </row>
    <row r="64" customFormat="false" ht="22.85" hidden="false" customHeight="false" outlineLevel="0" collapsed="false">
      <c r="A64" s="7" t="s">
        <v>324</v>
      </c>
      <c r="B64" s="13" t="s">
        <v>199</v>
      </c>
      <c r="C64" s="9"/>
      <c r="D64" s="10"/>
      <c r="E64" s="9" t="n">
        <v>1</v>
      </c>
      <c r="F64" s="11" t="s">
        <v>218</v>
      </c>
      <c r="G64" s="11" t="s">
        <v>325</v>
      </c>
      <c r="H64" s="11" t="s">
        <v>326</v>
      </c>
      <c r="I64" s="10"/>
      <c r="J64" s="9"/>
      <c r="K64" s="11"/>
      <c r="L64" s="11"/>
      <c r="M64" s="9"/>
      <c r="N64" s="12"/>
      <c r="O64" s="9"/>
      <c r="P64" s="11"/>
      <c r="Q64" s="11"/>
      <c r="R64" s="9"/>
      <c r="S64" s="10"/>
      <c r="T64" s="9"/>
      <c r="U64" s="9"/>
      <c r="V64" s="9"/>
      <c r="W64" s="9"/>
      <c r="X64" s="9"/>
      <c r="Y64" s="9" t="n">
        <f aca="false">Table3[[#This Row],[E1Y]]+X$2</f>
        <v>23.6</v>
      </c>
      <c r="Z64" s="9" t="n">
        <f aca="false">Table3[[#This Row],[E1TY]]+W$2</f>
        <v>22.5</v>
      </c>
      <c r="AA64" s="9" t="n">
        <f aca="false">T$2+U$2*(Table3[[#This Row],[Effect 1 Y]]-1)</f>
        <v>29.6</v>
      </c>
      <c r="AB64" s="9" t="n">
        <f aca="false">Table3[[#This Row],[E2Y]]+X$2</f>
        <v>22.2</v>
      </c>
      <c r="AC64" s="9" t="n">
        <f aca="false">Table3[[#This Row],[E2TY]]+W$2</f>
        <v>21.1</v>
      </c>
      <c r="AD64" s="9" t="n">
        <f aca="false">T$2+U$2*(Table3[[#This Row],[Effect 2 Y]]-1)+V$2</f>
        <v>28.2</v>
      </c>
      <c r="AE64" s="9" t="n">
        <f aca="false">Table3[[#This Row],[E3Y]]+X$2</f>
        <v>25.2</v>
      </c>
      <c r="AF64" s="9" t="n">
        <f aca="false">Table3[[#This Row],[E3TY]]+W$2</f>
        <v>24.1</v>
      </c>
      <c r="AG64" s="11" t="n">
        <f aca="false">T$2+U$2*(Table3[[#This Row],[Effect 3 Y]]-1)+2*V$2</f>
        <v>31.2</v>
      </c>
    </row>
    <row r="65" customFormat="false" ht="33.7" hidden="false" customHeight="false" outlineLevel="0" collapsed="false">
      <c r="A65" s="7" t="s">
        <v>327</v>
      </c>
      <c r="B65" s="13" t="s">
        <v>199</v>
      </c>
      <c r="C65" s="9"/>
      <c r="D65" s="10"/>
      <c r="E65" s="9" t="n">
        <v>1</v>
      </c>
      <c r="F65" s="9" t="s">
        <v>50</v>
      </c>
      <c r="G65" s="11" t="s">
        <v>328</v>
      </c>
      <c r="H65" s="11" t="s">
        <v>329</v>
      </c>
      <c r="I65" s="10"/>
      <c r="J65" s="9" t="n">
        <v>4</v>
      </c>
      <c r="K65" s="11" t="s">
        <v>35</v>
      </c>
      <c r="L65" s="11" t="s">
        <v>330</v>
      </c>
      <c r="M65" s="9" t="s">
        <v>331</v>
      </c>
      <c r="N65" s="12"/>
      <c r="O65" s="9"/>
      <c r="P65" s="11"/>
      <c r="Q65" s="11"/>
      <c r="R65" s="9"/>
      <c r="S65" s="10"/>
      <c r="T65" s="9"/>
      <c r="U65" s="9"/>
      <c r="V65" s="9"/>
      <c r="W65" s="9"/>
      <c r="X65" s="9"/>
      <c r="Y65" s="9" t="n">
        <f aca="false">Table3[[#This Row],[E1Y]]+X$2</f>
        <v>23.6</v>
      </c>
      <c r="Z65" s="9" t="n">
        <f aca="false">Table3[[#This Row],[E1TY]]+W$2</f>
        <v>22.5</v>
      </c>
      <c r="AA65" s="9" t="n">
        <f aca="false">T$2+U$2*(Table3[[#This Row],[Effect 1 Y]]-1)</f>
        <v>29.6</v>
      </c>
      <c r="AB65" s="9" t="n">
        <f aca="false">Table3[[#This Row],[E2Y]]+X$2</f>
        <v>39.8</v>
      </c>
      <c r="AC65" s="9" t="n">
        <f aca="false">Table3[[#This Row],[E2TY]]+W$2</f>
        <v>38.7</v>
      </c>
      <c r="AD65" s="9" t="n">
        <f aca="false">T$2+U$2*(Table3[[#This Row],[Effect 2 Y]]-1)+V$2</f>
        <v>45.8</v>
      </c>
      <c r="AE65" s="9" t="n">
        <f aca="false">Table3[[#This Row],[E3Y]]+X$2</f>
        <v>25.2</v>
      </c>
      <c r="AF65" s="9" t="n">
        <f aca="false">Table3[[#This Row],[E3TY]]+W$2</f>
        <v>24.1</v>
      </c>
      <c r="AG65" s="11" t="n">
        <f aca="false">T$2+U$2*(Table3[[#This Row],[Effect 3 Y]]-1)+2*V$2</f>
        <v>31.2</v>
      </c>
    </row>
    <row r="66" customFormat="false" ht="22.85" hidden="false" customHeight="false" outlineLevel="0" collapsed="false">
      <c r="A66" s="7" t="s">
        <v>332</v>
      </c>
      <c r="B66" s="13" t="s">
        <v>199</v>
      </c>
      <c r="C66" s="9"/>
      <c r="D66" s="10"/>
      <c r="E66" s="9" t="n">
        <v>1</v>
      </c>
      <c r="F66" s="11" t="s">
        <v>35</v>
      </c>
      <c r="G66" s="11" t="s">
        <v>211</v>
      </c>
      <c r="H66" s="11" t="s">
        <v>333</v>
      </c>
      <c r="I66" s="10"/>
      <c r="J66" s="9"/>
      <c r="K66" s="11"/>
      <c r="L66" s="11"/>
      <c r="M66" s="9"/>
      <c r="N66" s="12"/>
      <c r="O66" s="9"/>
      <c r="P66" s="11"/>
      <c r="Q66" s="11"/>
      <c r="R66" s="9"/>
      <c r="S66" s="10"/>
      <c r="T66" s="9"/>
      <c r="U66" s="9"/>
      <c r="V66" s="9"/>
      <c r="W66" s="9"/>
      <c r="X66" s="9"/>
      <c r="Y66" s="9" t="n">
        <f aca="false">Table3[[#This Row],[E1Y]]+X$2</f>
        <v>23.6</v>
      </c>
      <c r="Z66" s="9" t="n">
        <f aca="false">Table3[[#This Row],[E1TY]]+W$2</f>
        <v>22.5</v>
      </c>
      <c r="AA66" s="9" t="n">
        <f aca="false">T$2+U$2*(Table3[[#This Row],[Effect 1 Y]]-1)</f>
        <v>29.6</v>
      </c>
      <c r="AB66" s="9" t="n">
        <f aca="false">Table3[[#This Row],[E2Y]]+X$2</f>
        <v>22.2</v>
      </c>
      <c r="AC66" s="9" t="n">
        <f aca="false">Table3[[#This Row],[E2TY]]+W$2</f>
        <v>21.1</v>
      </c>
      <c r="AD66" s="9" t="n">
        <f aca="false">T$2+U$2*(Table3[[#This Row],[Effect 2 Y]]-1)+V$2</f>
        <v>28.2</v>
      </c>
      <c r="AE66" s="9" t="n">
        <f aca="false">Table3[[#This Row],[E3Y]]+X$2</f>
        <v>25.2</v>
      </c>
      <c r="AF66" s="9" t="n">
        <f aca="false">Table3[[#This Row],[E3TY]]+W$2</f>
        <v>24.1</v>
      </c>
      <c r="AG66" s="11" t="n">
        <f aca="false">T$2+U$2*(Table3[[#This Row],[Effect 3 Y]]-1)+2*V$2</f>
        <v>31.2</v>
      </c>
    </row>
    <row r="67" customFormat="false" ht="33.7" hidden="false" customHeight="false" outlineLevel="0" collapsed="false">
      <c r="A67" s="7" t="s">
        <v>334</v>
      </c>
      <c r="B67" s="13" t="s">
        <v>199</v>
      </c>
      <c r="C67" s="9"/>
      <c r="D67" s="10"/>
      <c r="E67" s="9" t="n">
        <v>1</v>
      </c>
      <c r="F67" s="9" t="s">
        <v>218</v>
      </c>
      <c r="G67" s="11" t="s">
        <v>335</v>
      </c>
      <c r="H67" s="11" t="s">
        <v>336</v>
      </c>
      <c r="I67" s="10"/>
      <c r="J67" s="9" t="n">
        <v>6</v>
      </c>
      <c r="K67" s="9" t="s">
        <v>35</v>
      </c>
      <c r="L67" s="9" t="s">
        <v>337</v>
      </c>
      <c r="M67" s="9" t="s">
        <v>338</v>
      </c>
      <c r="N67" s="12"/>
      <c r="O67" s="9"/>
      <c r="P67" s="9"/>
      <c r="Q67" s="9"/>
      <c r="R67" s="9"/>
      <c r="S67" s="10"/>
      <c r="T67" s="9"/>
      <c r="U67" s="9"/>
      <c r="V67" s="9"/>
      <c r="W67" s="9"/>
      <c r="X67" s="9"/>
      <c r="Y67" s="9" t="n">
        <f aca="false">Table3[[#This Row],[E1Y]]+X$2</f>
        <v>23.6</v>
      </c>
      <c r="Z67" s="9" t="n">
        <f aca="false">Table3[[#This Row],[E1TY]]+W$2</f>
        <v>22.5</v>
      </c>
      <c r="AA67" s="9" t="n">
        <f aca="false">T$2+U$2*(Table3[[#This Row],[Effect 1 Y]]-1)</f>
        <v>29.6</v>
      </c>
      <c r="AB67" s="9" t="n">
        <f aca="false">Table3[[#This Row],[E2Y]]+X$2</f>
        <v>48.6</v>
      </c>
      <c r="AC67" s="9" t="n">
        <f aca="false">Table3[[#This Row],[E2TY]]+W$2</f>
        <v>47.5</v>
      </c>
      <c r="AD67" s="9" t="n">
        <f aca="false">T$2+U$2*(Table3[[#This Row],[Effect 2 Y]]-1)+V$2</f>
        <v>54.6</v>
      </c>
      <c r="AE67" s="9" t="n">
        <f aca="false">Table3[[#This Row],[E3Y]]+X$2</f>
        <v>25.2</v>
      </c>
      <c r="AF67" s="9" t="n">
        <f aca="false">Table3[[#This Row],[E3TY]]+W$2</f>
        <v>24.1</v>
      </c>
      <c r="AG67" s="11" t="n">
        <f aca="false">T$2+U$2*(Table3[[#This Row],[Effect 3 Y]]-1)+2*V$2</f>
        <v>31.2</v>
      </c>
    </row>
    <row r="68" customFormat="false" ht="22.85" hidden="false" customHeight="false" outlineLevel="0" collapsed="false">
      <c r="A68" s="7" t="s">
        <v>339</v>
      </c>
      <c r="B68" s="13" t="s">
        <v>199</v>
      </c>
      <c r="C68" s="9"/>
      <c r="D68" s="10"/>
      <c r="E68" s="9" t="n">
        <v>1</v>
      </c>
      <c r="F68" s="11" t="s">
        <v>218</v>
      </c>
      <c r="G68" s="11" t="s">
        <v>340</v>
      </c>
      <c r="H68" s="11" t="s">
        <v>341</v>
      </c>
      <c r="I68" s="10"/>
      <c r="J68" s="9"/>
      <c r="K68" s="11"/>
      <c r="L68" s="11"/>
      <c r="M68" s="9"/>
      <c r="N68" s="12"/>
      <c r="O68" s="9"/>
      <c r="P68" s="11"/>
      <c r="Q68" s="11"/>
      <c r="R68" s="9"/>
      <c r="S68" s="10"/>
      <c r="T68" s="9"/>
      <c r="U68" s="9"/>
      <c r="V68" s="9"/>
      <c r="W68" s="9"/>
      <c r="X68" s="9"/>
      <c r="Y68" s="9" t="n">
        <f aca="false">Table3[[#This Row],[E1Y]]+X$2</f>
        <v>23.6</v>
      </c>
      <c r="Z68" s="9" t="n">
        <f aca="false">Table3[[#This Row],[E1TY]]+W$2</f>
        <v>22.5</v>
      </c>
      <c r="AA68" s="9" t="n">
        <f aca="false">T$2+U$2*(Table3[[#This Row],[Effect 1 Y]]-1)</f>
        <v>29.6</v>
      </c>
      <c r="AB68" s="9" t="n">
        <f aca="false">Table3[[#This Row],[E2Y]]+X$2</f>
        <v>22.2</v>
      </c>
      <c r="AC68" s="9" t="n">
        <f aca="false">Table3[[#This Row],[E2TY]]+W$2</f>
        <v>21.1</v>
      </c>
      <c r="AD68" s="9" t="n">
        <f aca="false">T$2+U$2*(Table3[[#This Row],[Effect 2 Y]]-1)+V$2</f>
        <v>28.2</v>
      </c>
      <c r="AE68" s="9" t="n">
        <f aca="false">Table3[[#This Row],[E3Y]]+X$2</f>
        <v>25.2</v>
      </c>
      <c r="AF68" s="9" t="n">
        <f aca="false">Table3[[#This Row],[E3TY]]+W$2</f>
        <v>24.1</v>
      </c>
      <c r="AG68" s="11" t="n">
        <f aca="false">T$2+U$2*(Table3[[#This Row],[Effect 3 Y]]-1)+2*V$2</f>
        <v>31.2</v>
      </c>
    </row>
    <row r="69" customFormat="false" ht="22.85" hidden="false" customHeight="false" outlineLevel="0" collapsed="false">
      <c r="A69" s="7" t="s">
        <v>342</v>
      </c>
      <c r="B69" s="13" t="s">
        <v>199</v>
      </c>
      <c r="C69" s="9"/>
      <c r="D69" s="10"/>
      <c r="E69" s="9" t="n">
        <v>1</v>
      </c>
      <c r="F69" s="11" t="s">
        <v>218</v>
      </c>
      <c r="G69" s="11" t="s">
        <v>343</v>
      </c>
      <c r="H69" s="11" t="s">
        <v>344</v>
      </c>
      <c r="I69" s="10"/>
      <c r="J69" s="9" t="n">
        <v>4</v>
      </c>
      <c r="K69" s="11" t="s">
        <v>35</v>
      </c>
      <c r="L69" s="11" t="s">
        <v>345</v>
      </c>
      <c r="M69" s="9" t="s">
        <v>346</v>
      </c>
      <c r="N69" s="12"/>
      <c r="O69" s="9"/>
      <c r="P69" s="11"/>
      <c r="Q69" s="11"/>
      <c r="R69" s="9"/>
      <c r="S69" s="10"/>
      <c r="T69" s="9"/>
      <c r="U69" s="9"/>
      <c r="V69" s="9"/>
      <c r="W69" s="9"/>
      <c r="X69" s="9"/>
      <c r="Y69" s="9" t="n">
        <f aca="false">Table3[[#This Row],[E1Y]]+X$2</f>
        <v>23.6</v>
      </c>
      <c r="Z69" s="9" t="n">
        <f aca="false">Table3[[#This Row],[E1TY]]+W$2</f>
        <v>22.5</v>
      </c>
      <c r="AA69" s="9" t="n">
        <f aca="false">T$2+U$2*(Table3[[#This Row],[Effect 1 Y]]-1)</f>
        <v>29.6</v>
      </c>
      <c r="AB69" s="9" t="n">
        <f aca="false">Table3[[#This Row],[E2Y]]+X$2</f>
        <v>39.8</v>
      </c>
      <c r="AC69" s="9" t="n">
        <f aca="false">Table3[[#This Row],[E2TY]]+W$2</f>
        <v>38.7</v>
      </c>
      <c r="AD69" s="9" t="n">
        <f aca="false">T$2+U$2*(Table3[[#This Row],[Effect 2 Y]]-1)+V$2</f>
        <v>45.8</v>
      </c>
      <c r="AE69" s="9" t="n">
        <f aca="false">Table3[[#This Row],[E3Y]]+X$2</f>
        <v>25.2</v>
      </c>
      <c r="AF69" s="9" t="n">
        <f aca="false">Table3[[#This Row],[E3TY]]+W$2</f>
        <v>24.1</v>
      </c>
      <c r="AG69" s="11" t="n">
        <f aca="false">T$2+U$2*(Table3[[#This Row],[Effect 3 Y]]-1)+2*V$2</f>
        <v>31.2</v>
      </c>
    </row>
    <row r="70" customFormat="false" ht="15" hidden="false" customHeight="false" outlineLevel="0" collapsed="false">
      <c r="A70" s="7" t="s">
        <v>347</v>
      </c>
      <c r="B70" s="13" t="s">
        <v>199</v>
      </c>
      <c r="C70" s="9"/>
      <c r="D70" s="10"/>
      <c r="E70" s="9" t="n">
        <v>1</v>
      </c>
      <c r="F70" s="9" t="s">
        <v>50</v>
      </c>
      <c r="G70" s="11" t="s">
        <v>348</v>
      </c>
      <c r="H70" s="11" t="s">
        <v>349</v>
      </c>
      <c r="I70" s="10"/>
      <c r="J70" s="9"/>
      <c r="K70" s="11"/>
      <c r="L70" s="11"/>
      <c r="M70" s="9"/>
      <c r="N70" s="12"/>
      <c r="O70" s="9"/>
      <c r="P70" s="11"/>
      <c r="Q70" s="11"/>
      <c r="R70" s="9"/>
      <c r="S70" s="10"/>
      <c r="T70" s="9"/>
      <c r="U70" s="9"/>
      <c r="V70" s="9"/>
      <c r="W70" s="9"/>
      <c r="X70" s="9"/>
      <c r="Y70" s="9" t="n">
        <f aca="false">Table3[[#This Row],[E1Y]]+X$2</f>
        <v>23.6</v>
      </c>
      <c r="Z70" s="9" t="n">
        <f aca="false">Table3[[#This Row],[E1TY]]+W$2</f>
        <v>22.5</v>
      </c>
      <c r="AA70" s="9" t="n">
        <f aca="false">T$2+U$2*(Table3[[#This Row],[Effect 1 Y]]-1)</f>
        <v>29.6</v>
      </c>
      <c r="AB70" s="9" t="n">
        <f aca="false">Table3[[#This Row],[E2Y]]+X$2</f>
        <v>22.2</v>
      </c>
      <c r="AC70" s="9" t="n">
        <f aca="false">Table3[[#This Row],[E2TY]]+W$2</f>
        <v>21.1</v>
      </c>
      <c r="AD70" s="9" t="n">
        <f aca="false">T$2+U$2*(Table3[[#This Row],[Effect 2 Y]]-1)+V$2</f>
        <v>28.2</v>
      </c>
      <c r="AE70" s="9" t="n">
        <f aca="false">Table3[[#This Row],[E3Y]]+X$2</f>
        <v>25.2</v>
      </c>
      <c r="AF70" s="9" t="n">
        <f aca="false">Table3[[#This Row],[E3TY]]+W$2</f>
        <v>24.1</v>
      </c>
      <c r="AG70" s="11" t="n">
        <f aca="false">T$2+U$2*(Table3[[#This Row],[Effect 3 Y]]-1)+2*V$2</f>
        <v>31.2</v>
      </c>
    </row>
    <row r="71" customFormat="false" ht="22.85" hidden="false" customHeight="false" outlineLevel="0" collapsed="false">
      <c r="A71" s="7" t="s">
        <v>350</v>
      </c>
      <c r="B71" s="20" t="s">
        <v>351</v>
      </c>
      <c r="C71" s="9"/>
      <c r="D71" s="18"/>
      <c r="E71" s="9" t="n">
        <v>1</v>
      </c>
      <c r="F71" s="9" t="s">
        <v>50</v>
      </c>
      <c r="G71" s="9" t="s">
        <v>352</v>
      </c>
      <c r="H71" s="9" t="s">
        <v>353</v>
      </c>
      <c r="I71" s="18"/>
      <c r="J71" s="9" t="n">
        <v>5</v>
      </c>
      <c r="K71" s="9" t="s">
        <v>67</v>
      </c>
      <c r="L71" s="9" t="s">
        <v>354</v>
      </c>
      <c r="M71" s="9" t="s">
        <v>355</v>
      </c>
      <c r="N71" s="19"/>
      <c r="O71" s="9" t="n">
        <v>9.5</v>
      </c>
      <c r="P71" s="9" t="s">
        <v>356</v>
      </c>
      <c r="Q71" s="9" t="s">
        <v>357</v>
      </c>
      <c r="R71" s="9" t="s">
        <v>358</v>
      </c>
      <c r="S71" s="18"/>
      <c r="T71" s="9"/>
      <c r="U71" s="9"/>
      <c r="V71" s="9"/>
      <c r="W71" s="9"/>
      <c r="X71" s="9"/>
      <c r="Y71" s="9" t="n">
        <f aca="false">Table3[[#This Row],[E1Y]]+X$2</f>
        <v>23.6</v>
      </c>
      <c r="Z71" s="9" t="n">
        <f aca="false">Table3[[#This Row],[E1TY]]+W$2</f>
        <v>22.5</v>
      </c>
      <c r="AA71" s="9" t="n">
        <f aca="false">T$2+U$2*(Table3[[#This Row],[Effect 1 Y]]-1)</f>
        <v>29.6</v>
      </c>
      <c r="AB71" s="9" t="n">
        <f aca="false">Table3[[#This Row],[E2Y]]+X$2</f>
        <v>44.2</v>
      </c>
      <c r="AC71" s="9" t="n">
        <f aca="false">Table3[[#This Row],[E2TY]]+W$2</f>
        <v>43.1</v>
      </c>
      <c r="AD71" s="9" t="n">
        <f aca="false">T$2+U$2*(Table3[[#This Row],[Effect 2 Y]]-1)+V$2</f>
        <v>50.2</v>
      </c>
      <c r="AE71" s="9" t="n">
        <f aca="false">Table3[[#This Row],[E3Y]]+X$2</f>
        <v>67</v>
      </c>
      <c r="AF71" s="9" t="n">
        <f aca="false">Table3[[#This Row],[E3TY]]+W$2</f>
        <v>65.9</v>
      </c>
      <c r="AG71" s="11" t="n">
        <f aca="false">T$2+U$2*(Table3[[#This Row],[Effect 3 Y]]-1)+2*V$2</f>
        <v>73</v>
      </c>
    </row>
    <row r="72" customFormat="false" ht="22.85" hidden="false" customHeight="false" outlineLevel="0" collapsed="false">
      <c r="A72" s="7" t="s">
        <v>359</v>
      </c>
      <c r="B72" s="20" t="s">
        <v>351</v>
      </c>
      <c r="C72" s="9"/>
      <c r="D72" s="18"/>
      <c r="E72" s="9" t="n">
        <v>1</v>
      </c>
      <c r="F72" s="9" t="s">
        <v>67</v>
      </c>
      <c r="G72" s="9" t="s">
        <v>360</v>
      </c>
      <c r="H72" s="9" t="s">
        <v>361</v>
      </c>
      <c r="I72" s="18"/>
      <c r="J72" s="9" t="n">
        <v>9</v>
      </c>
      <c r="K72" s="9" t="s">
        <v>356</v>
      </c>
      <c r="L72" s="9" t="s">
        <v>357</v>
      </c>
      <c r="M72" s="9" t="s">
        <v>362</v>
      </c>
      <c r="N72" s="19"/>
      <c r="O72" s="9" t="n">
        <v>5</v>
      </c>
      <c r="P72" s="9"/>
      <c r="Q72" s="9"/>
      <c r="R72" s="9"/>
      <c r="S72" s="18"/>
      <c r="T72" s="9"/>
      <c r="U72" s="9"/>
      <c r="V72" s="9"/>
      <c r="W72" s="9"/>
      <c r="X72" s="9"/>
      <c r="Y72" s="9" t="n">
        <f aca="false">Table3[[#This Row],[E1Y]]+X$2</f>
        <v>23.6</v>
      </c>
      <c r="Z72" s="9" t="n">
        <f aca="false">Table3[[#This Row],[E1TY]]+W$2</f>
        <v>22.5</v>
      </c>
      <c r="AA72" s="9" t="n">
        <f aca="false">T$2+U$2*(Table3[[#This Row],[Effect 1 Y]]-1)</f>
        <v>29.6</v>
      </c>
      <c r="AB72" s="9" t="n">
        <f aca="false">Table3[[#This Row],[E2Y]]+X$2</f>
        <v>61.8</v>
      </c>
      <c r="AC72" s="9" t="n">
        <f aca="false">Table3[[#This Row],[E2TY]]+W$2</f>
        <v>60.7</v>
      </c>
      <c r="AD72" s="9" t="n">
        <f aca="false">T$2+U$2*(Table3[[#This Row],[Effect 2 Y]]-1)+V$2</f>
        <v>67.8</v>
      </c>
      <c r="AE72" s="9" t="n">
        <f aca="false">Table3[[#This Row],[E3Y]]+X$2</f>
        <v>47.2</v>
      </c>
      <c r="AF72" s="9" t="n">
        <f aca="false">Table3[[#This Row],[E3TY]]+W$2</f>
        <v>46.1</v>
      </c>
      <c r="AG72" s="11" t="n">
        <f aca="false">T$2+U$2*(Table3[[#This Row],[Effect 3 Y]]-1)+2*V$2</f>
        <v>53.2</v>
      </c>
    </row>
    <row r="73" customFormat="false" ht="33.7" hidden="false" customHeight="false" outlineLevel="0" collapsed="false">
      <c r="A73" s="7" t="s">
        <v>363</v>
      </c>
      <c r="B73" s="20" t="s">
        <v>351</v>
      </c>
      <c r="C73" s="9"/>
      <c r="D73" s="10"/>
      <c r="E73" s="9" t="n">
        <v>1</v>
      </c>
      <c r="F73" s="11" t="s">
        <v>50</v>
      </c>
      <c r="G73" s="11" t="s">
        <v>364</v>
      </c>
      <c r="H73" s="11" t="s">
        <v>365</v>
      </c>
      <c r="I73" s="10"/>
      <c r="J73" s="9" t="n">
        <v>6</v>
      </c>
      <c r="K73" s="9" t="s">
        <v>50</v>
      </c>
      <c r="L73" s="9" t="s">
        <v>366</v>
      </c>
      <c r="M73" s="9" t="s">
        <v>367</v>
      </c>
      <c r="N73" s="12"/>
      <c r="O73" s="9"/>
      <c r="P73" s="9"/>
      <c r="Q73" s="9"/>
      <c r="R73" s="9"/>
      <c r="S73" s="10"/>
      <c r="T73" s="9"/>
      <c r="U73" s="9"/>
      <c r="V73" s="9"/>
      <c r="W73" s="9"/>
      <c r="X73" s="9"/>
      <c r="Y73" s="9" t="n">
        <f aca="false">Table3[[#This Row],[E1Y]]+X$2</f>
        <v>23.6</v>
      </c>
      <c r="Z73" s="9" t="n">
        <f aca="false">Table3[[#This Row],[E1TY]]+W$2</f>
        <v>22.5</v>
      </c>
      <c r="AA73" s="9" t="n">
        <f aca="false">T$2+U$2*(Table3[[#This Row],[Effect 1 Y]]-1)</f>
        <v>29.6</v>
      </c>
      <c r="AB73" s="9" t="n">
        <f aca="false">Table3[[#This Row],[E2Y]]+X$2</f>
        <v>48.6</v>
      </c>
      <c r="AC73" s="9" t="n">
        <f aca="false">Table3[[#This Row],[E2TY]]+W$2</f>
        <v>47.5</v>
      </c>
      <c r="AD73" s="9" t="n">
        <f aca="false">T$2+U$2*(Table3[[#This Row],[Effect 2 Y]]-1)+V$2</f>
        <v>54.6</v>
      </c>
      <c r="AE73" s="9" t="n">
        <f aca="false">Table3[[#This Row],[E3Y]]+X$2</f>
        <v>25.2</v>
      </c>
      <c r="AF73" s="9" t="n">
        <f aca="false">Table3[[#This Row],[E3TY]]+W$2</f>
        <v>24.1</v>
      </c>
      <c r="AG73" s="11" t="n">
        <f aca="false">T$2+U$2*(Table3[[#This Row],[Effect 3 Y]]-1)+2*V$2</f>
        <v>31.2</v>
      </c>
    </row>
    <row r="74" customFormat="false" ht="22.85" hidden="false" customHeight="false" outlineLevel="0" collapsed="false">
      <c r="A74" s="7" t="s">
        <v>368</v>
      </c>
      <c r="B74" s="20" t="s">
        <v>351</v>
      </c>
      <c r="C74" s="9"/>
      <c r="D74" s="18"/>
      <c r="E74" s="9" t="n">
        <v>1</v>
      </c>
      <c r="F74" s="9" t="s">
        <v>50</v>
      </c>
      <c r="G74" s="9" t="s">
        <v>369</v>
      </c>
      <c r="H74" s="9" t="s">
        <v>370</v>
      </c>
      <c r="I74" s="18"/>
      <c r="J74" s="9" t="n">
        <v>5</v>
      </c>
      <c r="K74" s="9" t="s">
        <v>50</v>
      </c>
      <c r="L74" s="9" t="s">
        <v>371</v>
      </c>
      <c r="M74" s="9" t="s">
        <v>372</v>
      </c>
      <c r="N74" s="19"/>
      <c r="O74" s="9" t="n">
        <v>5</v>
      </c>
      <c r="P74" s="9"/>
      <c r="Q74" s="9"/>
      <c r="R74" s="9"/>
      <c r="S74" s="18"/>
      <c r="T74" s="9"/>
      <c r="U74" s="9"/>
      <c r="V74" s="9"/>
      <c r="W74" s="9"/>
      <c r="X74" s="9"/>
      <c r="Y74" s="9" t="n">
        <f aca="false">Table3[[#This Row],[E1Y]]+X$2</f>
        <v>23.6</v>
      </c>
      <c r="Z74" s="9" t="n">
        <f aca="false">Table3[[#This Row],[E1TY]]+W$2</f>
        <v>22.5</v>
      </c>
      <c r="AA74" s="9" t="n">
        <f aca="false">T$2+U$2*(Table3[[#This Row],[Effect 1 Y]]-1)</f>
        <v>29.6</v>
      </c>
      <c r="AB74" s="9" t="n">
        <f aca="false">Table3[[#This Row],[E2Y]]+X$2</f>
        <v>44.2</v>
      </c>
      <c r="AC74" s="9" t="n">
        <f aca="false">Table3[[#This Row],[E2TY]]+W$2</f>
        <v>43.1</v>
      </c>
      <c r="AD74" s="9" t="n">
        <f aca="false">T$2+U$2*(Table3[[#This Row],[Effect 2 Y]]-1)+V$2</f>
        <v>50.2</v>
      </c>
      <c r="AE74" s="9" t="n">
        <f aca="false">Table3[[#This Row],[E3Y]]+X$2</f>
        <v>47.2</v>
      </c>
      <c r="AF74" s="9" t="n">
        <f aca="false">Table3[[#This Row],[E3TY]]+W$2</f>
        <v>46.1</v>
      </c>
      <c r="AG74" s="11" t="n">
        <f aca="false">T$2+U$2*(Table3[[#This Row],[Effect 3 Y]]-1)+2*V$2</f>
        <v>53.2</v>
      </c>
    </row>
    <row r="75" customFormat="false" ht="22.85" hidden="false" customHeight="false" outlineLevel="0" collapsed="false">
      <c r="A75" s="7" t="s">
        <v>373</v>
      </c>
      <c r="B75" s="20" t="s">
        <v>351</v>
      </c>
      <c r="C75" s="9"/>
      <c r="D75" s="10"/>
      <c r="E75" s="9" t="n">
        <v>1</v>
      </c>
      <c r="F75" s="11" t="s">
        <v>50</v>
      </c>
      <c r="G75" s="11" t="s">
        <v>374</v>
      </c>
      <c r="H75" s="11" t="s">
        <v>375</v>
      </c>
      <c r="I75" s="10"/>
      <c r="J75" s="9" t="n">
        <v>5</v>
      </c>
      <c r="K75" s="9" t="s">
        <v>35</v>
      </c>
      <c r="L75" s="9" t="s">
        <v>376</v>
      </c>
      <c r="M75" s="9" t="s">
        <v>377</v>
      </c>
      <c r="N75" s="12"/>
      <c r="O75" s="9"/>
      <c r="P75" s="9"/>
      <c r="Q75" s="9"/>
      <c r="R75" s="9"/>
      <c r="S75" s="10"/>
      <c r="T75" s="9"/>
      <c r="U75" s="9"/>
      <c r="V75" s="9"/>
      <c r="W75" s="9"/>
      <c r="X75" s="9"/>
      <c r="Y75" s="9" t="n">
        <f aca="false">Table3[[#This Row],[E1Y]]+X$2</f>
        <v>23.6</v>
      </c>
      <c r="Z75" s="9" t="n">
        <f aca="false">Table3[[#This Row],[E1TY]]+W$2</f>
        <v>22.5</v>
      </c>
      <c r="AA75" s="9" t="n">
        <f aca="false">T$2+U$2*(Table3[[#This Row],[Effect 1 Y]]-1)</f>
        <v>29.6</v>
      </c>
      <c r="AB75" s="9" t="n">
        <f aca="false">Table3[[#This Row],[E2Y]]+X$2</f>
        <v>44.2</v>
      </c>
      <c r="AC75" s="9" t="n">
        <f aca="false">Table3[[#This Row],[E2TY]]+W$2</f>
        <v>43.1</v>
      </c>
      <c r="AD75" s="9" t="n">
        <f aca="false">T$2+U$2*(Table3[[#This Row],[Effect 2 Y]]-1)+V$2</f>
        <v>50.2</v>
      </c>
      <c r="AE75" s="9" t="n">
        <f aca="false">Table3[[#This Row],[E3Y]]+X$2</f>
        <v>25.2</v>
      </c>
      <c r="AF75" s="9" t="n">
        <f aca="false">Table3[[#This Row],[E3TY]]+W$2</f>
        <v>24.1</v>
      </c>
      <c r="AG75" s="11" t="n">
        <f aca="false">T$2+U$2*(Table3[[#This Row],[Effect 3 Y]]-1)+2*V$2</f>
        <v>31.2</v>
      </c>
    </row>
    <row r="76" customFormat="false" ht="33.7" hidden="false" customHeight="false" outlineLevel="0" collapsed="false">
      <c r="A76" s="7" t="s">
        <v>378</v>
      </c>
      <c r="B76" s="20" t="s">
        <v>351</v>
      </c>
      <c r="C76" s="9"/>
      <c r="D76" s="10"/>
      <c r="E76" s="9" t="n">
        <v>1</v>
      </c>
      <c r="F76" s="11" t="s">
        <v>67</v>
      </c>
      <c r="G76" s="11" t="s">
        <v>379</v>
      </c>
      <c r="H76" s="11" t="s">
        <v>380</v>
      </c>
      <c r="I76" s="10"/>
      <c r="J76" s="9" t="n">
        <v>3</v>
      </c>
      <c r="K76" s="11" t="s">
        <v>35</v>
      </c>
      <c r="L76" s="11" t="s">
        <v>381</v>
      </c>
      <c r="M76" s="9" t="s">
        <v>382</v>
      </c>
      <c r="N76" s="12"/>
      <c r="O76" s="9"/>
      <c r="P76" s="9"/>
      <c r="Q76" s="9"/>
      <c r="R76" s="9"/>
      <c r="S76" s="10"/>
      <c r="T76" s="9"/>
      <c r="U76" s="9"/>
      <c r="V76" s="9"/>
      <c r="W76" s="9"/>
      <c r="X76" s="9"/>
      <c r="Y76" s="9" t="n">
        <f aca="false">Table3[[#This Row],[E1Y]]+X$2</f>
        <v>23.6</v>
      </c>
      <c r="Z76" s="9" t="n">
        <f aca="false">Table3[[#This Row],[E1TY]]+W$2</f>
        <v>22.5</v>
      </c>
      <c r="AA76" s="9" t="n">
        <f aca="false">T$2+U$2*(Table3[[#This Row],[Effect 1 Y]]-1)</f>
        <v>29.6</v>
      </c>
      <c r="AB76" s="9" t="n">
        <f aca="false">Table3[[#This Row],[E2Y]]+X$2</f>
        <v>35.4</v>
      </c>
      <c r="AC76" s="9" t="n">
        <f aca="false">Table3[[#This Row],[E2TY]]+W$2</f>
        <v>34.3</v>
      </c>
      <c r="AD76" s="9" t="n">
        <f aca="false">T$2+U$2*(Table3[[#This Row],[Effect 2 Y]]-1)+V$2</f>
        <v>41.4</v>
      </c>
      <c r="AE76" s="9" t="n">
        <f aca="false">Table3[[#This Row],[E3Y]]+X$2</f>
        <v>25.2</v>
      </c>
      <c r="AF76" s="9" t="n">
        <f aca="false">Table3[[#This Row],[E3TY]]+W$2</f>
        <v>24.1</v>
      </c>
      <c r="AG76" s="11" t="n">
        <f aca="false">T$2+U$2*(Table3[[#This Row],[Effect 3 Y]]-1)+2*V$2</f>
        <v>31.2</v>
      </c>
    </row>
    <row r="77" customFormat="false" ht="22.85" hidden="false" customHeight="false" outlineLevel="0" collapsed="false">
      <c r="A77" s="7" t="s">
        <v>383</v>
      </c>
      <c r="B77" s="20" t="s">
        <v>351</v>
      </c>
      <c r="C77" s="9"/>
      <c r="D77" s="10"/>
      <c r="E77" s="9" t="n">
        <v>1</v>
      </c>
      <c r="F77" s="11" t="s">
        <v>67</v>
      </c>
      <c r="G77" s="11" t="s">
        <v>384</v>
      </c>
      <c r="H77" s="11" t="s">
        <v>380</v>
      </c>
      <c r="I77" s="10"/>
      <c r="J77" s="9" t="n">
        <v>9</v>
      </c>
      <c r="K77" s="9" t="s">
        <v>356</v>
      </c>
      <c r="L77" s="9" t="s">
        <v>357</v>
      </c>
      <c r="M77" s="9" t="s">
        <v>385</v>
      </c>
      <c r="N77" s="12"/>
      <c r="O77" s="9"/>
      <c r="P77" s="9"/>
      <c r="Q77" s="9"/>
      <c r="R77" s="9"/>
      <c r="S77" s="10"/>
      <c r="T77" s="9"/>
      <c r="U77" s="9"/>
      <c r="V77" s="9"/>
      <c r="W77" s="9"/>
      <c r="X77" s="9"/>
      <c r="Y77" s="9" t="n">
        <f aca="false">Table3[[#This Row],[E1Y]]+X$2</f>
        <v>23.6</v>
      </c>
      <c r="Z77" s="9" t="n">
        <f aca="false">Table3[[#This Row],[E1TY]]+W$2</f>
        <v>22.5</v>
      </c>
      <c r="AA77" s="9" t="n">
        <f aca="false">T$2+U$2*(Table3[[#This Row],[Effect 1 Y]]-1)</f>
        <v>29.6</v>
      </c>
      <c r="AB77" s="9" t="n">
        <f aca="false">Table3[[#This Row],[E2Y]]+X$2</f>
        <v>61.8</v>
      </c>
      <c r="AC77" s="9" t="n">
        <f aca="false">Table3[[#This Row],[E2TY]]+W$2</f>
        <v>60.7</v>
      </c>
      <c r="AD77" s="9" t="n">
        <f aca="false">T$2+U$2*(Table3[[#This Row],[Effect 2 Y]]-1)+V$2</f>
        <v>67.8</v>
      </c>
      <c r="AE77" s="9" t="n">
        <f aca="false">Table3[[#This Row],[E3Y]]+X$2</f>
        <v>25.2</v>
      </c>
      <c r="AF77" s="9" t="n">
        <f aca="false">Table3[[#This Row],[E3TY]]+W$2</f>
        <v>24.1</v>
      </c>
      <c r="AG77" s="11" t="n">
        <f aca="false">T$2+U$2*(Table3[[#This Row],[Effect 3 Y]]-1)+2*V$2</f>
        <v>31.2</v>
      </c>
    </row>
    <row r="78" customFormat="false" ht="22.85" hidden="false" customHeight="false" outlineLevel="0" collapsed="false">
      <c r="A78" s="7" t="s">
        <v>386</v>
      </c>
      <c r="B78" s="20" t="s">
        <v>351</v>
      </c>
      <c r="C78" s="9"/>
      <c r="D78" s="10"/>
      <c r="E78" s="9" t="n">
        <v>1</v>
      </c>
      <c r="F78" s="11" t="s">
        <v>67</v>
      </c>
      <c r="G78" s="11" t="s">
        <v>387</v>
      </c>
      <c r="H78" s="11" t="s">
        <v>388</v>
      </c>
      <c r="I78" s="10"/>
      <c r="J78" s="9" t="n">
        <v>4</v>
      </c>
      <c r="K78" s="9" t="s">
        <v>35</v>
      </c>
      <c r="L78" s="9" t="s">
        <v>389</v>
      </c>
      <c r="M78" s="9" t="s">
        <v>390</v>
      </c>
      <c r="N78" s="12"/>
      <c r="O78" s="9"/>
      <c r="P78" s="9"/>
      <c r="Q78" s="9"/>
      <c r="R78" s="9"/>
      <c r="S78" s="10"/>
      <c r="T78" s="9"/>
      <c r="U78" s="9"/>
      <c r="V78" s="9"/>
      <c r="W78" s="9"/>
      <c r="X78" s="9"/>
      <c r="Y78" s="9" t="n">
        <f aca="false">Table3[[#This Row],[E1Y]]+X$2</f>
        <v>23.6</v>
      </c>
      <c r="Z78" s="9" t="n">
        <f aca="false">Table3[[#This Row],[E1TY]]+W$2</f>
        <v>22.5</v>
      </c>
      <c r="AA78" s="9" t="n">
        <f aca="false">T$2+U$2*(Table3[[#This Row],[Effect 1 Y]]-1)</f>
        <v>29.6</v>
      </c>
      <c r="AB78" s="9" t="n">
        <f aca="false">Table3[[#This Row],[E2Y]]+X$2</f>
        <v>39.8</v>
      </c>
      <c r="AC78" s="9" t="n">
        <f aca="false">Table3[[#This Row],[E2TY]]+W$2</f>
        <v>38.7</v>
      </c>
      <c r="AD78" s="9" t="n">
        <f aca="false">T$2+U$2*(Table3[[#This Row],[Effect 2 Y]]-1)+V$2</f>
        <v>45.8</v>
      </c>
      <c r="AE78" s="9" t="n">
        <f aca="false">Table3[[#This Row],[E3Y]]+X$2</f>
        <v>25.2</v>
      </c>
      <c r="AF78" s="9" t="n">
        <f aca="false">Table3[[#This Row],[E3TY]]+W$2</f>
        <v>24.1</v>
      </c>
      <c r="AG78" s="11" t="n">
        <f aca="false">T$2+U$2*(Table3[[#This Row],[Effect 3 Y]]-1)+2*V$2</f>
        <v>31.2</v>
      </c>
    </row>
    <row r="79" customFormat="false" ht="44.55" hidden="false" customHeight="false" outlineLevel="0" collapsed="false">
      <c r="A79" s="7" t="s">
        <v>391</v>
      </c>
      <c r="B79" s="20" t="s">
        <v>351</v>
      </c>
      <c r="C79" s="9"/>
      <c r="D79" s="10"/>
      <c r="E79" s="9" t="n">
        <v>1</v>
      </c>
      <c r="F79" s="11" t="s">
        <v>50</v>
      </c>
      <c r="G79" s="11" t="s">
        <v>392</v>
      </c>
      <c r="H79" s="11" t="s">
        <v>393</v>
      </c>
      <c r="I79" s="10"/>
      <c r="J79" s="11" t="n">
        <v>5</v>
      </c>
      <c r="K79" s="9" t="s">
        <v>35</v>
      </c>
      <c r="L79" s="9" t="s">
        <v>394</v>
      </c>
      <c r="M79" s="9" t="s">
        <v>395</v>
      </c>
      <c r="N79" s="12"/>
      <c r="O79" s="9"/>
      <c r="P79" s="9"/>
      <c r="Q79" s="9"/>
      <c r="R79" s="9"/>
      <c r="S79" s="10"/>
      <c r="T79" s="9"/>
      <c r="U79" s="9"/>
      <c r="V79" s="9"/>
      <c r="W79" s="9"/>
      <c r="X79" s="9"/>
      <c r="Y79" s="9" t="n">
        <f aca="false">Table3[[#This Row],[E1Y]]+X$2</f>
        <v>23.6</v>
      </c>
      <c r="Z79" s="9" t="n">
        <f aca="false">Table3[[#This Row],[E1TY]]+W$2</f>
        <v>22.5</v>
      </c>
      <c r="AA79" s="9" t="n">
        <f aca="false">T$2+U$2*(Table3[[#This Row],[Effect 1 Y]]-1)</f>
        <v>29.6</v>
      </c>
      <c r="AB79" s="9" t="n">
        <f aca="false">Table3[[#This Row],[E2Y]]+X$2</f>
        <v>44.2</v>
      </c>
      <c r="AC79" s="9" t="n">
        <f aca="false">Table3[[#This Row],[E2TY]]+W$2</f>
        <v>43.1</v>
      </c>
      <c r="AD79" s="9" t="n">
        <f aca="false">T$2+U$2*(Table3[[#This Row],[Effect 2 Y]]-1)+V$2</f>
        <v>50.2</v>
      </c>
      <c r="AE79" s="9" t="n">
        <f aca="false">Table3[[#This Row],[E3Y]]+X$2</f>
        <v>25.2</v>
      </c>
      <c r="AF79" s="9" t="n">
        <f aca="false">Table3[[#This Row],[E3TY]]+W$2</f>
        <v>24.1</v>
      </c>
      <c r="AG79" s="11" t="n">
        <f aca="false">T$2+U$2*(Table3[[#This Row],[Effect 3 Y]]-1)+2*V$2</f>
        <v>31.2</v>
      </c>
    </row>
    <row r="80" customFormat="false" ht="22.85" hidden="false" customHeight="false" outlineLevel="0" collapsed="false">
      <c r="A80" s="7" t="s">
        <v>396</v>
      </c>
      <c r="B80" s="20" t="s">
        <v>351</v>
      </c>
      <c r="C80" s="9"/>
      <c r="D80" s="10"/>
      <c r="E80" s="9" t="n">
        <v>1</v>
      </c>
      <c r="F80" s="11" t="s">
        <v>67</v>
      </c>
      <c r="G80" s="11" t="s">
        <v>397</v>
      </c>
      <c r="H80" s="11" t="s">
        <v>398</v>
      </c>
      <c r="I80" s="10"/>
      <c r="J80" s="9" t="n">
        <v>3</v>
      </c>
      <c r="K80" s="9" t="s">
        <v>50</v>
      </c>
      <c r="L80" s="9" t="s">
        <v>399</v>
      </c>
      <c r="M80" s="9" t="s">
        <v>400</v>
      </c>
      <c r="N80" s="12"/>
      <c r="O80" s="9"/>
      <c r="P80" s="9"/>
      <c r="Q80" s="9"/>
      <c r="R80" s="9"/>
      <c r="S80" s="10"/>
      <c r="T80" s="9"/>
      <c r="U80" s="9"/>
      <c r="V80" s="9"/>
      <c r="W80" s="9"/>
      <c r="X80" s="9"/>
      <c r="Y80" s="9" t="n">
        <f aca="false">Table3[[#This Row],[E1Y]]+X$2</f>
        <v>23.6</v>
      </c>
      <c r="Z80" s="9" t="n">
        <f aca="false">Table3[[#This Row],[E1TY]]+W$2</f>
        <v>22.5</v>
      </c>
      <c r="AA80" s="9" t="n">
        <f aca="false">T$2+U$2*(Table3[[#This Row],[Effect 1 Y]]-1)</f>
        <v>29.6</v>
      </c>
      <c r="AB80" s="9" t="n">
        <f aca="false">Table3[[#This Row],[E2Y]]+X$2</f>
        <v>35.4</v>
      </c>
      <c r="AC80" s="9" t="n">
        <f aca="false">Table3[[#This Row],[E2TY]]+W$2</f>
        <v>34.3</v>
      </c>
      <c r="AD80" s="9" t="n">
        <f aca="false">T$2+U$2*(Table3[[#This Row],[Effect 2 Y]]-1)+V$2</f>
        <v>41.4</v>
      </c>
      <c r="AE80" s="9" t="n">
        <f aca="false">Table3[[#This Row],[E3Y]]+X$2</f>
        <v>25.2</v>
      </c>
      <c r="AF80" s="9" t="n">
        <f aca="false">Table3[[#This Row],[E3TY]]+W$2</f>
        <v>24.1</v>
      </c>
      <c r="AG80" s="11" t="n">
        <f aca="false">T$2+U$2*(Table3[[#This Row],[Effect 3 Y]]-1)+2*V$2</f>
        <v>31.2</v>
      </c>
    </row>
    <row r="81" customFormat="false" ht="22.85" hidden="false" customHeight="false" outlineLevel="0" collapsed="false">
      <c r="A81" s="7" t="s">
        <v>401</v>
      </c>
      <c r="B81" s="20" t="s">
        <v>351</v>
      </c>
      <c r="C81" s="9"/>
      <c r="D81" s="10"/>
      <c r="E81" s="9" t="n">
        <v>1</v>
      </c>
      <c r="F81" s="11" t="s">
        <v>67</v>
      </c>
      <c r="G81" s="11" t="s">
        <v>402</v>
      </c>
      <c r="H81" s="11" t="s">
        <v>403</v>
      </c>
      <c r="I81" s="10"/>
      <c r="J81" s="11" t="n">
        <v>3</v>
      </c>
      <c r="K81" s="9" t="s">
        <v>50</v>
      </c>
      <c r="L81" s="9" t="s">
        <v>404</v>
      </c>
      <c r="M81" s="9" t="s">
        <v>405</v>
      </c>
      <c r="N81" s="12"/>
      <c r="O81" s="9" t="n">
        <v>9.5</v>
      </c>
      <c r="P81" s="9" t="s">
        <v>356</v>
      </c>
      <c r="Q81" s="9" t="s">
        <v>357</v>
      </c>
      <c r="R81" s="9" t="s">
        <v>406</v>
      </c>
      <c r="S81" s="10"/>
      <c r="T81" s="9"/>
      <c r="U81" s="9"/>
      <c r="V81" s="9"/>
      <c r="W81" s="9"/>
      <c r="X81" s="9"/>
      <c r="Y81" s="9" t="n">
        <f aca="false">Table3[[#This Row],[E1Y]]+X$2</f>
        <v>23.6</v>
      </c>
      <c r="Z81" s="9" t="n">
        <f aca="false">Table3[[#This Row],[E1TY]]+W$2</f>
        <v>22.5</v>
      </c>
      <c r="AA81" s="9" t="n">
        <f aca="false">T$2+U$2*(Table3[[#This Row],[Effect 1 Y]]-1)</f>
        <v>29.6</v>
      </c>
      <c r="AB81" s="9" t="n">
        <f aca="false">Table3[[#This Row],[E2Y]]+X$2</f>
        <v>35.4</v>
      </c>
      <c r="AC81" s="9" t="n">
        <f aca="false">Table3[[#This Row],[E2TY]]+W$2</f>
        <v>34.3</v>
      </c>
      <c r="AD81" s="9" t="n">
        <f aca="false">T$2+U$2*(Table3[[#This Row],[Effect 2 Y]]-1)+V$2</f>
        <v>41.4</v>
      </c>
      <c r="AE81" s="9" t="n">
        <f aca="false">Table3[[#This Row],[E3Y]]+X$2</f>
        <v>67</v>
      </c>
      <c r="AF81" s="9" t="n">
        <f aca="false">Table3[[#This Row],[E3TY]]+W$2</f>
        <v>65.9</v>
      </c>
      <c r="AG81" s="11" t="n">
        <f aca="false">T$2+U$2*(Table3[[#This Row],[Effect 3 Y]]-1)+2*V$2</f>
        <v>73</v>
      </c>
    </row>
    <row r="82" customFormat="false" ht="22.85" hidden="false" customHeight="false" outlineLevel="0" collapsed="false">
      <c r="A82" s="7" t="s">
        <v>407</v>
      </c>
      <c r="B82" s="20" t="s">
        <v>351</v>
      </c>
      <c r="C82" s="9"/>
      <c r="D82" s="10"/>
      <c r="E82" s="9" t="n">
        <v>1</v>
      </c>
      <c r="F82" s="11" t="s">
        <v>67</v>
      </c>
      <c r="G82" s="11" t="s">
        <v>408</v>
      </c>
      <c r="H82" s="11" t="s">
        <v>361</v>
      </c>
      <c r="I82" s="10"/>
      <c r="J82" s="9" t="n">
        <v>3</v>
      </c>
      <c r="K82" s="9" t="s">
        <v>50</v>
      </c>
      <c r="L82" s="9" t="s">
        <v>409</v>
      </c>
      <c r="M82" s="9" t="s">
        <v>410</v>
      </c>
      <c r="N82" s="12"/>
      <c r="O82" s="9" t="n">
        <v>9.5</v>
      </c>
      <c r="P82" s="9" t="s">
        <v>356</v>
      </c>
      <c r="Q82" s="9" t="s">
        <v>357</v>
      </c>
      <c r="R82" s="9" t="s">
        <v>411</v>
      </c>
      <c r="S82" s="10"/>
      <c r="T82" s="9"/>
      <c r="U82" s="9"/>
      <c r="V82" s="9"/>
      <c r="W82" s="9"/>
      <c r="X82" s="9"/>
      <c r="Y82" s="9" t="n">
        <f aca="false">Table3[[#This Row],[E1Y]]+X$2</f>
        <v>23.6</v>
      </c>
      <c r="Z82" s="9" t="n">
        <f aca="false">Table3[[#This Row],[E1TY]]+W$2</f>
        <v>22.5</v>
      </c>
      <c r="AA82" s="9" t="n">
        <f aca="false">T$2+U$2*(Table3[[#This Row],[Effect 1 Y]]-1)</f>
        <v>29.6</v>
      </c>
      <c r="AB82" s="9" t="n">
        <f aca="false">Table3[[#This Row],[E2Y]]+X$2</f>
        <v>35.4</v>
      </c>
      <c r="AC82" s="9" t="n">
        <f aca="false">Table3[[#This Row],[E2TY]]+W$2</f>
        <v>34.3</v>
      </c>
      <c r="AD82" s="9" t="n">
        <f aca="false">T$2+U$2*(Table3[[#This Row],[Effect 2 Y]]-1)+V$2</f>
        <v>41.4</v>
      </c>
      <c r="AE82" s="9" t="n">
        <f aca="false">Table3[[#This Row],[E3Y]]+X$2</f>
        <v>67</v>
      </c>
      <c r="AF82" s="9" t="n">
        <f aca="false">Table3[[#This Row],[E3TY]]+W$2</f>
        <v>65.9</v>
      </c>
      <c r="AG82" s="11" t="n">
        <f aca="false">T$2+U$2*(Table3[[#This Row],[Effect 3 Y]]-1)+2*V$2</f>
        <v>73</v>
      </c>
    </row>
    <row r="83" customFormat="false" ht="22.85" hidden="false" customHeight="false" outlineLevel="0" collapsed="false">
      <c r="A83" s="7" t="s">
        <v>412</v>
      </c>
      <c r="B83" s="20" t="s">
        <v>351</v>
      </c>
      <c r="C83" s="9"/>
      <c r="D83" s="10"/>
      <c r="E83" s="9" t="n">
        <v>1</v>
      </c>
      <c r="F83" s="11" t="s">
        <v>50</v>
      </c>
      <c r="G83" s="11" t="s">
        <v>413</v>
      </c>
      <c r="H83" s="11" t="s">
        <v>414</v>
      </c>
      <c r="I83" s="10"/>
      <c r="J83" s="9" t="n">
        <v>5</v>
      </c>
      <c r="K83" s="9" t="s">
        <v>67</v>
      </c>
      <c r="L83" s="9" t="s">
        <v>415</v>
      </c>
      <c r="M83" s="9" t="s">
        <v>416</v>
      </c>
      <c r="N83" s="12"/>
      <c r="O83" s="9"/>
      <c r="P83" s="9"/>
      <c r="Q83" s="9"/>
      <c r="R83" s="9"/>
      <c r="S83" s="10"/>
      <c r="T83" s="9"/>
      <c r="U83" s="9"/>
      <c r="V83" s="9"/>
      <c r="W83" s="9"/>
      <c r="X83" s="9"/>
      <c r="Y83" s="9" t="n">
        <f aca="false">Table3[[#This Row],[E1Y]]+X$2</f>
        <v>23.6</v>
      </c>
      <c r="Z83" s="9" t="n">
        <f aca="false">Table3[[#This Row],[E1TY]]+W$2</f>
        <v>22.5</v>
      </c>
      <c r="AA83" s="9" t="n">
        <f aca="false">T$2+U$2*(Table3[[#This Row],[Effect 1 Y]]-1)</f>
        <v>29.6</v>
      </c>
      <c r="AB83" s="9" t="n">
        <f aca="false">Table3[[#This Row],[E2Y]]+X$2</f>
        <v>44.2</v>
      </c>
      <c r="AC83" s="9" t="n">
        <f aca="false">Table3[[#This Row],[E2TY]]+W$2</f>
        <v>43.1</v>
      </c>
      <c r="AD83" s="9" t="n">
        <f aca="false">T$2+U$2*(Table3[[#This Row],[Effect 2 Y]]-1)+V$2</f>
        <v>50.2</v>
      </c>
      <c r="AE83" s="9" t="n">
        <f aca="false">Table3[[#This Row],[E3Y]]+X$2</f>
        <v>25.2</v>
      </c>
      <c r="AF83" s="9" t="n">
        <f aca="false">Table3[[#This Row],[E3TY]]+W$2</f>
        <v>24.1</v>
      </c>
      <c r="AG83" s="11" t="n">
        <f aca="false">T$2+U$2*(Table3[[#This Row],[Effect 3 Y]]-1)+2*V$2</f>
        <v>31.2</v>
      </c>
    </row>
    <row r="84" customFormat="false" ht="22.85" hidden="false" customHeight="false" outlineLevel="0" collapsed="false">
      <c r="A84" s="7" t="s">
        <v>417</v>
      </c>
      <c r="B84" s="20" t="s">
        <v>351</v>
      </c>
      <c r="C84" s="9"/>
      <c r="D84" s="10"/>
      <c r="E84" s="9" t="n">
        <v>1</v>
      </c>
      <c r="F84" s="11" t="s">
        <v>218</v>
      </c>
      <c r="G84" s="11" t="s">
        <v>418</v>
      </c>
      <c r="H84" s="11" t="s">
        <v>419</v>
      </c>
      <c r="I84" s="10"/>
      <c r="J84" s="9"/>
      <c r="K84" s="9"/>
      <c r="L84" s="9"/>
      <c r="M84" s="9"/>
      <c r="N84" s="12"/>
      <c r="O84" s="9"/>
      <c r="P84" s="9"/>
      <c r="Q84" s="9"/>
      <c r="R84" s="9"/>
      <c r="S84" s="10"/>
      <c r="T84" s="9"/>
      <c r="U84" s="9"/>
      <c r="V84" s="9"/>
      <c r="W84" s="9"/>
      <c r="X84" s="9"/>
      <c r="Y84" s="9" t="n">
        <f aca="false">Table3[[#This Row],[E1Y]]+X$2</f>
        <v>23.6</v>
      </c>
      <c r="Z84" s="9" t="n">
        <f aca="false">Table3[[#This Row],[E1TY]]+W$2</f>
        <v>22.5</v>
      </c>
      <c r="AA84" s="9" t="n">
        <f aca="false">T$2+U$2*(Table3[[#This Row],[Effect 1 Y]]-1)</f>
        <v>29.6</v>
      </c>
      <c r="AB84" s="9" t="n">
        <f aca="false">Table3[[#This Row],[E2Y]]+X$2</f>
        <v>22.2</v>
      </c>
      <c r="AC84" s="9" t="n">
        <f aca="false">Table3[[#This Row],[E2TY]]+W$2</f>
        <v>21.1</v>
      </c>
      <c r="AD84" s="9" t="n">
        <f aca="false">T$2+U$2*(Table3[[#This Row],[Effect 2 Y]]-1)+V$2</f>
        <v>28.2</v>
      </c>
      <c r="AE84" s="9" t="n">
        <f aca="false">Table3[[#This Row],[E3Y]]+X$2</f>
        <v>25.2</v>
      </c>
      <c r="AF84" s="9" t="n">
        <f aca="false">Table3[[#This Row],[E3TY]]+W$2</f>
        <v>24.1</v>
      </c>
      <c r="AG84" s="11" t="n">
        <f aca="false">T$2+U$2*(Table3[[#This Row],[Effect 3 Y]]-1)+2*V$2</f>
        <v>31.2</v>
      </c>
    </row>
    <row r="85" customFormat="false" ht="33.7" hidden="false" customHeight="false" outlineLevel="0" collapsed="false">
      <c r="A85" s="7" t="s">
        <v>420</v>
      </c>
      <c r="B85" s="20" t="s">
        <v>351</v>
      </c>
      <c r="C85" s="9" t="s">
        <v>258</v>
      </c>
      <c r="D85" s="10"/>
      <c r="E85" s="9" t="n">
        <v>1</v>
      </c>
      <c r="F85" s="11" t="s">
        <v>50</v>
      </c>
      <c r="G85" s="11" t="s">
        <v>421</v>
      </c>
      <c r="H85" s="11" t="s">
        <v>422</v>
      </c>
      <c r="I85" s="10"/>
      <c r="J85" s="9" t="n">
        <v>4</v>
      </c>
      <c r="K85" s="9" t="s">
        <v>218</v>
      </c>
      <c r="L85" s="9" t="s">
        <v>423</v>
      </c>
      <c r="M85" s="9" t="s">
        <v>424</v>
      </c>
      <c r="N85" s="12"/>
      <c r="O85" s="9"/>
      <c r="P85" s="9"/>
      <c r="Q85" s="9"/>
      <c r="R85" s="9"/>
      <c r="S85" s="10"/>
      <c r="T85" s="9"/>
      <c r="U85" s="9"/>
      <c r="V85" s="9"/>
      <c r="W85" s="9"/>
      <c r="X85" s="9"/>
      <c r="Y85" s="9" t="n">
        <f aca="false">Table3[[#This Row],[E1Y]]+X$2</f>
        <v>23.6</v>
      </c>
      <c r="Z85" s="9" t="n">
        <f aca="false">Table3[[#This Row],[E1TY]]+W$2</f>
        <v>22.5</v>
      </c>
      <c r="AA85" s="9" t="n">
        <f aca="false">T$2+U$2*(Table3[[#This Row],[Effect 1 Y]]-1)</f>
        <v>29.6</v>
      </c>
      <c r="AB85" s="9" t="n">
        <f aca="false">Table3[[#This Row],[E2Y]]+X$2</f>
        <v>39.8</v>
      </c>
      <c r="AC85" s="9" t="n">
        <f aca="false">Table3[[#This Row],[E2TY]]+W$2</f>
        <v>38.7</v>
      </c>
      <c r="AD85" s="9" t="n">
        <f aca="false">T$2+U$2*(Table3[[#This Row],[Effect 2 Y]]-1)+V$2</f>
        <v>45.8</v>
      </c>
      <c r="AE85" s="9" t="n">
        <f aca="false">Table3[[#This Row],[E3Y]]+X$2</f>
        <v>25.2</v>
      </c>
      <c r="AF85" s="9" t="n">
        <f aca="false">Table3[[#This Row],[E3TY]]+W$2</f>
        <v>24.1</v>
      </c>
      <c r="AG85" s="11" t="n">
        <f aca="false">T$2+U$2*(Table3[[#This Row],[Effect 3 Y]]-1)+2*V$2</f>
        <v>31.2</v>
      </c>
    </row>
    <row r="86" customFormat="false" ht="22.85" hidden="false" customHeight="false" outlineLevel="0" collapsed="false">
      <c r="A86" s="7" t="s">
        <v>425</v>
      </c>
      <c r="B86" s="20" t="s">
        <v>351</v>
      </c>
      <c r="C86" s="9"/>
      <c r="D86" s="10"/>
      <c r="E86" s="9" t="n">
        <v>1</v>
      </c>
      <c r="F86" s="11" t="s">
        <v>67</v>
      </c>
      <c r="G86" s="11" t="s">
        <v>426</v>
      </c>
      <c r="H86" s="11" t="s">
        <v>416</v>
      </c>
      <c r="I86" s="10"/>
      <c r="J86" s="11" t="n">
        <v>9.5</v>
      </c>
      <c r="K86" s="9" t="s">
        <v>356</v>
      </c>
      <c r="L86" s="9" t="s">
        <v>357</v>
      </c>
      <c r="M86" s="9" t="s">
        <v>427</v>
      </c>
      <c r="N86" s="12"/>
      <c r="O86" s="9"/>
      <c r="P86" s="9"/>
      <c r="Q86" s="9"/>
      <c r="R86" s="9"/>
      <c r="S86" s="10"/>
      <c r="T86" s="9"/>
      <c r="U86" s="9"/>
      <c r="V86" s="9"/>
      <c r="W86" s="9"/>
      <c r="X86" s="9"/>
      <c r="Y86" s="9" t="n">
        <f aca="false">Table3[[#This Row],[E1Y]]+X$2</f>
        <v>23.6</v>
      </c>
      <c r="Z86" s="9" t="n">
        <f aca="false">Table3[[#This Row],[E1TY]]+W$2</f>
        <v>22.5</v>
      </c>
      <c r="AA86" s="9" t="n">
        <f aca="false">T$2+U$2*(Table3[[#This Row],[Effect 1 Y]]-1)</f>
        <v>29.6</v>
      </c>
      <c r="AB86" s="9" t="n">
        <f aca="false">Table3[[#This Row],[E2Y]]+X$2</f>
        <v>64</v>
      </c>
      <c r="AC86" s="9" t="n">
        <f aca="false">Table3[[#This Row],[E2TY]]+W$2</f>
        <v>62.9</v>
      </c>
      <c r="AD86" s="9" t="n">
        <f aca="false">T$2+U$2*(Table3[[#This Row],[Effect 2 Y]]-1)+V$2</f>
        <v>70</v>
      </c>
      <c r="AE86" s="9" t="n">
        <f aca="false">Table3[[#This Row],[E3Y]]+X$2</f>
        <v>25.2</v>
      </c>
      <c r="AF86" s="9" t="n">
        <f aca="false">Table3[[#This Row],[E3TY]]+W$2</f>
        <v>24.1</v>
      </c>
      <c r="AG86" s="11" t="n">
        <f aca="false">T$2+U$2*(Table3[[#This Row],[Effect 3 Y]]-1)+2*V$2</f>
        <v>31.2</v>
      </c>
    </row>
    <row r="87" customFormat="false" ht="33.7" hidden="false" customHeight="false" outlineLevel="0" collapsed="false">
      <c r="A87" s="7" t="s">
        <v>428</v>
      </c>
      <c r="B87" s="20" t="s">
        <v>351</v>
      </c>
      <c r="C87" s="9"/>
      <c r="D87" s="10"/>
      <c r="E87" s="9" t="n">
        <v>1</v>
      </c>
      <c r="F87" s="11" t="s">
        <v>67</v>
      </c>
      <c r="G87" s="11" t="s">
        <v>429</v>
      </c>
      <c r="H87" s="11" t="s">
        <v>430</v>
      </c>
      <c r="I87" s="10"/>
      <c r="J87" s="9" t="n">
        <v>3</v>
      </c>
      <c r="K87" s="9" t="s">
        <v>67</v>
      </c>
      <c r="L87" s="9" t="s">
        <v>431</v>
      </c>
      <c r="M87" s="9" t="s">
        <v>432</v>
      </c>
      <c r="N87" s="12"/>
      <c r="O87" s="11" t="n">
        <v>9.5</v>
      </c>
      <c r="P87" s="9" t="s">
        <v>356</v>
      </c>
      <c r="Q87" s="9" t="s">
        <v>357</v>
      </c>
      <c r="R87" s="9" t="s">
        <v>427</v>
      </c>
      <c r="S87" s="10"/>
      <c r="T87" s="9"/>
      <c r="U87" s="9"/>
      <c r="V87" s="9"/>
      <c r="W87" s="9"/>
      <c r="X87" s="9"/>
      <c r="Y87" s="9" t="n">
        <f aca="false">Table3[[#This Row],[E1Y]]+X$2</f>
        <v>23.6</v>
      </c>
      <c r="Z87" s="9" t="n">
        <f aca="false">Table3[[#This Row],[E1TY]]+W$2</f>
        <v>22.5</v>
      </c>
      <c r="AA87" s="9" t="n">
        <f aca="false">T$2+U$2*(Table3[[#This Row],[Effect 1 Y]]-1)</f>
        <v>29.6</v>
      </c>
      <c r="AB87" s="9" t="n">
        <f aca="false">Table3[[#This Row],[E2Y]]+X$2</f>
        <v>35.4</v>
      </c>
      <c r="AC87" s="9" t="n">
        <f aca="false">Table3[[#This Row],[E2TY]]+W$2</f>
        <v>34.3</v>
      </c>
      <c r="AD87" s="9" t="n">
        <f aca="false">T$2+U$2*(Table3[[#This Row],[Effect 2 Y]]-1)+V$2</f>
        <v>41.4</v>
      </c>
      <c r="AE87" s="9" t="n">
        <f aca="false">Table3[[#This Row],[E3Y]]+X$2</f>
        <v>67</v>
      </c>
      <c r="AF87" s="9" t="n">
        <f aca="false">Table3[[#This Row],[E3TY]]+W$2</f>
        <v>65.9</v>
      </c>
      <c r="AG87" s="11" t="n">
        <f aca="false">T$2+U$2*(Table3[[#This Row],[Effect 3 Y]]-1)+2*V$2</f>
        <v>73</v>
      </c>
    </row>
    <row r="88" customFormat="false" ht="33.7" hidden="false" customHeight="false" outlineLevel="0" collapsed="false">
      <c r="A88" s="7" t="s">
        <v>433</v>
      </c>
      <c r="B88" s="21" t="s">
        <v>351</v>
      </c>
      <c r="C88" s="11"/>
      <c r="D88" s="10"/>
      <c r="E88" s="9" t="n">
        <v>1</v>
      </c>
      <c r="F88" s="11" t="s">
        <v>67</v>
      </c>
      <c r="G88" s="11" t="s">
        <v>434</v>
      </c>
      <c r="H88" s="11" t="s">
        <v>435</v>
      </c>
      <c r="I88" s="10"/>
      <c r="J88" s="9"/>
      <c r="K88" s="9"/>
      <c r="L88" s="9"/>
      <c r="M88" s="11"/>
      <c r="N88" s="12"/>
      <c r="O88" s="9"/>
      <c r="P88" s="9"/>
      <c r="Q88" s="9"/>
      <c r="R88" s="11"/>
      <c r="S88" s="10"/>
      <c r="T88" s="9"/>
      <c r="U88" s="9"/>
      <c r="V88" s="9"/>
      <c r="W88" s="9"/>
      <c r="X88" s="9"/>
      <c r="Y88" s="9" t="n">
        <f aca="false">Table3[[#This Row],[E1Y]]+X$2</f>
        <v>23.6</v>
      </c>
      <c r="Z88" s="9" t="n">
        <f aca="false">Table3[[#This Row],[E1TY]]+W$2</f>
        <v>22.5</v>
      </c>
      <c r="AA88" s="9" t="n">
        <f aca="false">T$2+U$2*(Table3[[#This Row],[Effect 1 Y]]-1)</f>
        <v>29.6</v>
      </c>
      <c r="AB88" s="9" t="n">
        <f aca="false">Table3[[#This Row],[E2Y]]+X$2</f>
        <v>22.2</v>
      </c>
      <c r="AC88" s="9" t="n">
        <f aca="false">Table3[[#This Row],[E2TY]]+W$2</f>
        <v>21.1</v>
      </c>
      <c r="AD88" s="9" t="n">
        <f aca="false">T$2+U$2*(Table3[[#This Row],[Effect 2 Y]]-1)+V$2</f>
        <v>28.2</v>
      </c>
      <c r="AE88" s="9" t="n">
        <f aca="false">Table3[[#This Row],[E3Y]]+X$2</f>
        <v>25.2</v>
      </c>
      <c r="AF88" s="9" t="n">
        <f aca="false">Table3[[#This Row],[E3TY]]+W$2</f>
        <v>24.1</v>
      </c>
      <c r="AG88" s="11" t="n">
        <f aca="false">T$2+U$2*(Table3[[#This Row],[Effect 3 Y]]-1)+2*V$2</f>
        <v>31.2</v>
      </c>
    </row>
    <row r="89" customFormat="false" ht="55.4" hidden="false" customHeight="false" outlineLevel="0" collapsed="false">
      <c r="A89" s="7" t="s">
        <v>436</v>
      </c>
      <c r="B89" s="20" t="s">
        <v>351</v>
      </c>
      <c r="C89" s="9"/>
      <c r="D89" s="10"/>
      <c r="E89" s="9" t="n">
        <v>1</v>
      </c>
      <c r="F89" s="11" t="s">
        <v>67</v>
      </c>
      <c r="G89" s="11" t="s">
        <v>437</v>
      </c>
      <c r="H89" s="11" t="s">
        <v>438</v>
      </c>
      <c r="I89" s="10"/>
      <c r="J89" s="9" t="n">
        <v>8.5</v>
      </c>
      <c r="K89" s="9" t="s">
        <v>67</v>
      </c>
      <c r="L89" s="9" t="s">
        <v>439</v>
      </c>
      <c r="M89" s="22" t="s">
        <v>440</v>
      </c>
      <c r="N89" s="12"/>
      <c r="O89" s="9"/>
      <c r="P89" s="9"/>
      <c r="Q89" s="9"/>
      <c r="R89" s="9"/>
      <c r="S89" s="10"/>
      <c r="T89" s="9"/>
      <c r="U89" s="9"/>
      <c r="V89" s="9"/>
      <c r="W89" s="9"/>
      <c r="X89" s="9"/>
      <c r="Y89" s="9" t="n">
        <f aca="false">Table3[[#This Row],[E1Y]]+X$2</f>
        <v>23.6</v>
      </c>
      <c r="Z89" s="9" t="n">
        <f aca="false">Table3[[#This Row],[E1TY]]+W$2</f>
        <v>22.5</v>
      </c>
      <c r="AA89" s="9" t="n">
        <f aca="false">T$2+U$2*(Table3[[#This Row],[Effect 1 Y]]-1)</f>
        <v>29.6</v>
      </c>
      <c r="AB89" s="9" t="n">
        <f aca="false">Table3[[#This Row],[E2Y]]+X$2</f>
        <v>59.6</v>
      </c>
      <c r="AC89" s="9" t="n">
        <f aca="false">Table3[[#This Row],[E2TY]]+W$2</f>
        <v>58.5</v>
      </c>
      <c r="AD89" s="9" t="n">
        <f aca="false">T$2+U$2*(Table3[[#This Row],[Effect 2 Y]]-1)+V$2</f>
        <v>65.6</v>
      </c>
      <c r="AE89" s="9" t="n">
        <f aca="false">Table3[[#This Row],[E3Y]]+X$2</f>
        <v>25.2</v>
      </c>
      <c r="AF89" s="9" t="n">
        <f aca="false">Table3[[#This Row],[E3TY]]+W$2</f>
        <v>24.1</v>
      </c>
      <c r="AG89" s="11" t="n">
        <f aca="false">T$2+U$2*(Table3[[#This Row],[Effect 3 Y]]-1)+2*V$2</f>
        <v>31.2</v>
      </c>
    </row>
    <row r="90" customFormat="false" ht="22.85" hidden="false" customHeight="false" outlineLevel="0" collapsed="false">
      <c r="A90" s="7" t="s">
        <v>441</v>
      </c>
      <c r="B90" s="20" t="s">
        <v>351</v>
      </c>
      <c r="C90" s="11"/>
      <c r="D90" s="10"/>
      <c r="E90" s="9" t="n">
        <v>1</v>
      </c>
      <c r="F90" s="11" t="s">
        <v>67</v>
      </c>
      <c r="G90" s="11" t="s">
        <v>442</v>
      </c>
      <c r="H90" s="11" t="s">
        <v>430</v>
      </c>
      <c r="I90" s="10"/>
      <c r="J90" s="9" t="n">
        <v>3</v>
      </c>
      <c r="K90" s="9" t="s">
        <v>50</v>
      </c>
      <c r="L90" s="9" t="s">
        <v>443</v>
      </c>
      <c r="M90" s="9" t="s">
        <v>444</v>
      </c>
      <c r="N90" s="12"/>
      <c r="O90" s="9"/>
      <c r="P90" s="9"/>
      <c r="Q90" s="9"/>
      <c r="R90" s="11"/>
      <c r="S90" s="10"/>
      <c r="T90" s="9"/>
      <c r="U90" s="9"/>
      <c r="V90" s="9"/>
      <c r="W90" s="9"/>
      <c r="X90" s="9"/>
      <c r="Y90" s="9" t="n">
        <f aca="false">Table3[[#This Row],[E1Y]]+X$2</f>
        <v>23.6</v>
      </c>
      <c r="Z90" s="9" t="n">
        <f aca="false">Table3[[#This Row],[E1TY]]+W$2</f>
        <v>22.5</v>
      </c>
      <c r="AA90" s="9" t="n">
        <f aca="false">T$2+U$2*(Table3[[#This Row],[Effect 1 Y]]-1)</f>
        <v>29.6</v>
      </c>
      <c r="AB90" s="9" t="n">
        <f aca="false">Table3[[#This Row],[E2Y]]+X$2</f>
        <v>35.4</v>
      </c>
      <c r="AC90" s="9" t="n">
        <f aca="false">Table3[[#This Row],[E2TY]]+W$2</f>
        <v>34.3</v>
      </c>
      <c r="AD90" s="9" t="n">
        <f aca="false">T$2+U$2*(Table3[[#This Row],[Effect 2 Y]]-1)+V$2</f>
        <v>41.4</v>
      </c>
      <c r="AE90" s="9" t="n">
        <f aca="false">Table3[[#This Row],[E3Y]]+X$2</f>
        <v>25.2</v>
      </c>
      <c r="AF90" s="9" t="n">
        <f aca="false">Table3[[#This Row],[E3TY]]+W$2</f>
        <v>24.1</v>
      </c>
      <c r="AG90" s="11" t="n">
        <f aca="false">T$2+U$2*(Table3[[#This Row],[Effect 3 Y]]-1)+2*V$2</f>
        <v>31.2</v>
      </c>
    </row>
    <row r="91" customFormat="false" ht="44.55" hidden="false" customHeight="false" outlineLevel="0" collapsed="false">
      <c r="A91" s="7" t="s">
        <v>445</v>
      </c>
      <c r="B91" s="20" t="s">
        <v>351</v>
      </c>
      <c r="C91" s="9"/>
      <c r="D91" s="10"/>
      <c r="E91" s="9" t="n">
        <v>1</v>
      </c>
      <c r="F91" s="11" t="s">
        <v>67</v>
      </c>
      <c r="G91" s="11" t="s">
        <v>446</v>
      </c>
      <c r="H91" s="11" t="s">
        <v>380</v>
      </c>
      <c r="I91" s="10"/>
      <c r="J91" s="9" t="n">
        <v>3</v>
      </c>
      <c r="K91" s="9" t="s">
        <v>67</v>
      </c>
      <c r="L91" s="9" t="s">
        <v>447</v>
      </c>
      <c r="M91" s="9" t="s">
        <v>448</v>
      </c>
      <c r="N91" s="12"/>
      <c r="O91" s="9"/>
      <c r="P91" s="9"/>
      <c r="Q91" s="9"/>
      <c r="R91" s="9"/>
      <c r="S91" s="10"/>
      <c r="T91" s="9"/>
      <c r="U91" s="9"/>
      <c r="V91" s="9"/>
      <c r="W91" s="9"/>
      <c r="X91" s="9"/>
      <c r="Y91" s="9" t="n">
        <f aca="false">Table3[[#This Row],[E1Y]]+X$2</f>
        <v>23.6</v>
      </c>
      <c r="Z91" s="9" t="n">
        <f aca="false">Table3[[#This Row],[E1TY]]+W$2</f>
        <v>22.5</v>
      </c>
      <c r="AA91" s="9" t="n">
        <f aca="false">T$2+U$2*(Table3[[#This Row],[Effect 1 Y]]-1)</f>
        <v>29.6</v>
      </c>
      <c r="AB91" s="9" t="n">
        <f aca="false">Table3[[#This Row],[E2Y]]+X$2</f>
        <v>35.4</v>
      </c>
      <c r="AC91" s="9" t="n">
        <f aca="false">Table3[[#This Row],[E2TY]]+W$2</f>
        <v>34.3</v>
      </c>
      <c r="AD91" s="9" t="n">
        <f aca="false">T$2+U$2*(Table3[[#This Row],[Effect 2 Y]]-1)+V$2</f>
        <v>41.4</v>
      </c>
      <c r="AE91" s="9" t="n">
        <f aca="false">Table3[[#This Row],[E3Y]]+X$2</f>
        <v>25.2</v>
      </c>
      <c r="AF91" s="9" t="n">
        <f aca="false">Table3[[#This Row],[E3TY]]+W$2</f>
        <v>24.1</v>
      </c>
      <c r="AG91" s="11" t="n">
        <f aca="false">T$2+U$2*(Table3[[#This Row],[Effect 3 Y]]-1)+2*V$2</f>
        <v>31.2</v>
      </c>
    </row>
    <row r="92" customFormat="false" ht="22.85" hidden="false" customHeight="false" outlineLevel="0" collapsed="false">
      <c r="A92" s="7" t="s">
        <v>449</v>
      </c>
      <c r="B92" s="20" t="s">
        <v>351</v>
      </c>
      <c r="C92" s="9"/>
      <c r="D92" s="10"/>
      <c r="E92" s="9" t="n">
        <v>1</v>
      </c>
      <c r="F92" s="11" t="s">
        <v>67</v>
      </c>
      <c r="G92" s="11" t="s">
        <v>450</v>
      </c>
      <c r="H92" s="11" t="s">
        <v>451</v>
      </c>
      <c r="I92" s="10"/>
      <c r="J92" s="9" t="n">
        <v>3</v>
      </c>
      <c r="K92" s="9" t="s">
        <v>218</v>
      </c>
      <c r="L92" s="9" t="s">
        <v>452</v>
      </c>
      <c r="M92" s="9" t="s">
        <v>453</v>
      </c>
      <c r="N92" s="12"/>
      <c r="O92" s="9"/>
      <c r="P92" s="9"/>
      <c r="Q92" s="9"/>
      <c r="R92" s="9"/>
      <c r="S92" s="10"/>
      <c r="T92" s="9"/>
      <c r="U92" s="9"/>
      <c r="V92" s="9"/>
      <c r="W92" s="9"/>
      <c r="X92" s="9"/>
      <c r="Y92" s="9" t="n">
        <f aca="false">Table3[[#This Row],[E1Y]]+X$2</f>
        <v>23.6</v>
      </c>
      <c r="Z92" s="9" t="n">
        <f aca="false">Table3[[#This Row],[E1TY]]+W$2</f>
        <v>22.5</v>
      </c>
      <c r="AA92" s="9" t="n">
        <f aca="false">T$2+U$2*(Table3[[#This Row],[Effect 1 Y]]-1)</f>
        <v>29.6</v>
      </c>
      <c r="AB92" s="9" t="n">
        <f aca="false">Table3[[#This Row],[E2Y]]+X$2</f>
        <v>35.4</v>
      </c>
      <c r="AC92" s="9" t="n">
        <f aca="false">Table3[[#This Row],[E2TY]]+W$2</f>
        <v>34.3</v>
      </c>
      <c r="AD92" s="9" t="n">
        <f aca="false">T$2+U$2*(Table3[[#This Row],[Effect 2 Y]]-1)+V$2</f>
        <v>41.4</v>
      </c>
      <c r="AE92" s="9" t="n">
        <f aca="false">Table3[[#This Row],[E3Y]]+X$2</f>
        <v>25.2</v>
      </c>
      <c r="AF92" s="9" t="n">
        <f aca="false">Table3[[#This Row],[E3TY]]+W$2</f>
        <v>24.1</v>
      </c>
      <c r="AG92" s="11" t="n">
        <f aca="false">T$2+U$2*(Table3[[#This Row],[Effect 3 Y]]-1)+2*V$2</f>
        <v>31.2</v>
      </c>
    </row>
    <row r="93" customFormat="false" ht="44.55" hidden="false" customHeight="false" outlineLevel="0" collapsed="false">
      <c r="A93" s="7" t="s">
        <v>454</v>
      </c>
      <c r="B93" s="20" t="s">
        <v>351</v>
      </c>
      <c r="C93" s="9" t="s">
        <v>455</v>
      </c>
      <c r="D93" s="10"/>
      <c r="E93" s="9" t="n">
        <v>1</v>
      </c>
      <c r="F93" s="11" t="s">
        <v>50</v>
      </c>
      <c r="G93" s="11" t="s">
        <v>456</v>
      </c>
      <c r="H93" s="11" t="s">
        <v>457</v>
      </c>
      <c r="I93" s="10"/>
      <c r="J93" s="9" t="n">
        <v>5</v>
      </c>
      <c r="K93" s="9" t="s">
        <v>50</v>
      </c>
      <c r="L93" s="9" t="s">
        <v>458</v>
      </c>
      <c r="M93" s="9" t="s">
        <v>459</v>
      </c>
      <c r="N93" s="12"/>
      <c r="O93" s="9"/>
      <c r="P93" s="9"/>
      <c r="Q93" s="9"/>
      <c r="R93" s="9"/>
      <c r="S93" s="10"/>
      <c r="T93" s="9"/>
      <c r="U93" s="9"/>
      <c r="V93" s="9"/>
      <c r="W93" s="9"/>
      <c r="X93" s="9"/>
      <c r="Y93" s="9" t="n">
        <f aca="false">Table3[[#This Row],[E1Y]]+X$2</f>
        <v>23.6</v>
      </c>
      <c r="Z93" s="9" t="n">
        <f aca="false">Table3[[#This Row],[E1TY]]+W$2</f>
        <v>22.5</v>
      </c>
      <c r="AA93" s="9" t="n">
        <f aca="false">T$2+U$2*(Table3[[#This Row],[Effect 1 Y]]-1)</f>
        <v>29.6</v>
      </c>
      <c r="AB93" s="9" t="n">
        <f aca="false">Table3[[#This Row],[E2Y]]+X$2</f>
        <v>44.2</v>
      </c>
      <c r="AC93" s="9" t="n">
        <f aca="false">Table3[[#This Row],[E2TY]]+W$2</f>
        <v>43.1</v>
      </c>
      <c r="AD93" s="9" t="n">
        <f aca="false">T$2+U$2*(Table3[[#This Row],[Effect 2 Y]]-1)+V$2</f>
        <v>50.2</v>
      </c>
      <c r="AE93" s="9" t="n">
        <f aca="false">Table3[[#This Row],[E3Y]]+X$2</f>
        <v>25.2</v>
      </c>
      <c r="AF93" s="9" t="n">
        <f aca="false">Table3[[#This Row],[E3TY]]+W$2</f>
        <v>24.1</v>
      </c>
      <c r="AG93" s="11" t="n">
        <f aca="false">T$2+U$2*(Table3[[#This Row],[Effect 3 Y]]-1)+2*V$2</f>
        <v>31.2</v>
      </c>
    </row>
    <row r="94" customFormat="false" ht="33.7" hidden="false" customHeight="false" outlineLevel="0" collapsed="false">
      <c r="A94" s="7" t="s">
        <v>460</v>
      </c>
      <c r="B94" s="20" t="s">
        <v>351</v>
      </c>
      <c r="C94" s="11"/>
      <c r="D94" s="10"/>
      <c r="E94" s="9" t="n">
        <v>1</v>
      </c>
      <c r="F94" s="11" t="s">
        <v>67</v>
      </c>
      <c r="G94" s="11" t="s">
        <v>461</v>
      </c>
      <c r="H94" s="11" t="s">
        <v>380</v>
      </c>
      <c r="I94" s="10"/>
      <c r="J94" s="9" t="n">
        <v>3</v>
      </c>
      <c r="K94" s="9" t="s">
        <v>35</v>
      </c>
      <c r="L94" s="9" t="s">
        <v>462</v>
      </c>
      <c r="M94" s="11" t="s">
        <v>463</v>
      </c>
      <c r="N94" s="12"/>
      <c r="O94" s="9"/>
      <c r="P94" s="9"/>
      <c r="Q94" s="9"/>
      <c r="R94" s="11"/>
      <c r="S94" s="10"/>
      <c r="T94" s="9"/>
      <c r="U94" s="9"/>
      <c r="V94" s="9"/>
      <c r="W94" s="9"/>
      <c r="X94" s="9"/>
      <c r="Y94" s="9" t="n">
        <f aca="false">Table3[[#This Row],[E1Y]]+X$2</f>
        <v>23.6</v>
      </c>
      <c r="Z94" s="9" t="n">
        <f aca="false">Table3[[#This Row],[E1TY]]+W$2</f>
        <v>22.5</v>
      </c>
      <c r="AA94" s="9" t="n">
        <f aca="false">T$2+U$2*(Table3[[#This Row],[Effect 1 Y]]-1)</f>
        <v>29.6</v>
      </c>
      <c r="AB94" s="9" t="n">
        <f aca="false">Table3[[#This Row],[E2Y]]+X$2</f>
        <v>35.4</v>
      </c>
      <c r="AC94" s="9" t="n">
        <f aca="false">Table3[[#This Row],[E2TY]]+W$2</f>
        <v>34.3</v>
      </c>
      <c r="AD94" s="9" t="n">
        <f aca="false">T$2+U$2*(Table3[[#This Row],[Effect 2 Y]]-1)+V$2</f>
        <v>41.4</v>
      </c>
      <c r="AE94" s="9" t="n">
        <f aca="false">Table3[[#This Row],[E3Y]]+X$2</f>
        <v>25.2</v>
      </c>
      <c r="AF94" s="9" t="n">
        <f aca="false">Table3[[#This Row],[E3TY]]+W$2</f>
        <v>24.1</v>
      </c>
      <c r="AG94" s="11" t="n">
        <f aca="false">T$2+U$2*(Table3[[#This Row],[Effect 3 Y]]-1)+2*V$2</f>
        <v>31.2</v>
      </c>
    </row>
    <row r="95" customFormat="false" ht="33.7" hidden="false" customHeight="false" outlineLevel="0" collapsed="false">
      <c r="A95" s="7" t="s">
        <v>464</v>
      </c>
      <c r="B95" s="20" t="s">
        <v>351</v>
      </c>
      <c r="C95" s="9"/>
      <c r="D95" s="10"/>
      <c r="E95" s="9" t="n">
        <v>1</v>
      </c>
      <c r="F95" s="11" t="s">
        <v>67</v>
      </c>
      <c r="G95" s="11" t="s">
        <v>465</v>
      </c>
      <c r="H95" s="11" t="s">
        <v>466</v>
      </c>
      <c r="I95" s="10"/>
      <c r="J95" s="9" t="n">
        <v>4</v>
      </c>
      <c r="K95" s="9" t="s">
        <v>35</v>
      </c>
      <c r="L95" s="9" t="s">
        <v>467</v>
      </c>
      <c r="M95" s="9" t="s">
        <v>468</v>
      </c>
      <c r="N95" s="12"/>
      <c r="O95" s="9"/>
      <c r="P95" s="9"/>
      <c r="Q95" s="9"/>
      <c r="R95" s="9"/>
      <c r="S95" s="10"/>
      <c r="T95" s="9"/>
      <c r="U95" s="9"/>
      <c r="V95" s="9"/>
      <c r="W95" s="9"/>
      <c r="X95" s="9"/>
      <c r="Y95" s="9" t="n">
        <f aca="false">Table3[[#This Row],[E1Y]]+X$2</f>
        <v>23.6</v>
      </c>
      <c r="Z95" s="9" t="n">
        <f aca="false">Table3[[#This Row],[E1TY]]+W$2</f>
        <v>22.5</v>
      </c>
      <c r="AA95" s="9" t="n">
        <f aca="false">T$2+U$2*(Table3[[#This Row],[Effect 1 Y]]-1)</f>
        <v>29.6</v>
      </c>
      <c r="AB95" s="9" t="n">
        <f aca="false">Table3[[#This Row],[E2Y]]+X$2</f>
        <v>39.8</v>
      </c>
      <c r="AC95" s="9" t="n">
        <f aca="false">Table3[[#This Row],[E2TY]]+W$2</f>
        <v>38.7</v>
      </c>
      <c r="AD95" s="9" t="n">
        <f aca="false">T$2+U$2*(Table3[[#This Row],[Effect 2 Y]]-1)+V$2</f>
        <v>45.8</v>
      </c>
      <c r="AE95" s="9" t="n">
        <f aca="false">Table3[[#This Row],[E3Y]]+X$2</f>
        <v>25.2</v>
      </c>
      <c r="AF95" s="9" t="n">
        <f aca="false">Table3[[#This Row],[E3TY]]+W$2</f>
        <v>24.1</v>
      </c>
      <c r="AG95" s="11" t="n">
        <f aca="false">T$2+U$2*(Table3[[#This Row],[Effect 3 Y]]-1)+2*V$2</f>
        <v>31.2</v>
      </c>
    </row>
    <row r="96" customFormat="false" ht="22.85" hidden="false" customHeight="false" outlineLevel="0" collapsed="false">
      <c r="A96" s="7" t="s">
        <v>469</v>
      </c>
      <c r="B96" s="20" t="s">
        <v>351</v>
      </c>
      <c r="C96" s="9"/>
      <c r="D96" s="10"/>
      <c r="E96" s="9" t="n">
        <v>1</v>
      </c>
      <c r="F96" s="11" t="s">
        <v>67</v>
      </c>
      <c r="G96" s="11" t="s">
        <v>470</v>
      </c>
      <c r="H96" s="11" t="s">
        <v>430</v>
      </c>
      <c r="I96" s="10"/>
      <c r="J96" s="9" t="n">
        <v>10</v>
      </c>
      <c r="K96" s="9" t="s">
        <v>356</v>
      </c>
      <c r="L96" s="9" t="s">
        <v>357</v>
      </c>
      <c r="M96" s="9" t="s">
        <v>471</v>
      </c>
      <c r="N96" s="12"/>
      <c r="O96" s="9"/>
      <c r="P96" s="9"/>
      <c r="Q96" s="9"/>
      <c r="R96" s="9"/>
      <c r="S96" s="10"/>
      <c r="T96" s="9"/>
      <c r="U96" s="9"/>
      <c r="V96" s="9"/>
      <c r="W96" s="9"/>
      <c r="X96" s="9"/>
      <c r="Y96" s="9" t="n">
        <f aca="false">Table3[[#This Row],[E1Y]]+X$2</f>
        <v>23.6</v>
      </c>
      <c r="Z96" s="9" t="n">
        <f aca="false">Table3[[#This Row],[E1TY]]+W$2</f>
        <v>22.5</v>
      </c>
      <c r="AA96" s="9" t="n">
        <f aca="false">T$2+U$2*(Table3[[#This Row],[Effect 1 Y]]-1)</f>
        <v>29.6</v>
      </c>
      <c r="AB96" s="9" t="n">
        <f aca="false">Table3[[#This Row],[E2Y]]+X$2</f>
        <v>66.2</v>
      </c>
      <c r="AC96" s="9" t="n">
        <f aca="false">Table3[[#This Row],[E2TY]]+W$2</f>
        <v>65.1</v>
      </c>
      <c r="AD96" s="9" t="n">
        <f aca="false">T$2+U$2*(Table3[[#This Row],[Effect 2 Y]]-1)+V$2</f>
        <v>72.2</v>
      </c>
      <c r="AE96" s="9" t="n">
        <f aca="false">Table3[[#This Row],[E3Y]]+X$2</f>
        <v>25.2</v>
      </c>
      <c r="AF96" s="9" t="n">
        <f aca="false">Table3[[#This Row],[E3TY]]+W$2</f>
        <v>24.1</v>
      </c>
      <c r="AG96" s="11" t="n">
        <f aca="false">T$2+U$2*(Table3[[#This Row],[Effect 3 Y]]-1)+2*V$2</f>
        <v>31.2</v>
      </c>
    </row>
    <row r="97" customFormat="false" ht="33.7" hidden="false" customHeight="false" outlineLevel="0" collapsed="false">
      <c r="A97" s="7" t="s">
        <v>472</v>
      </c>
      <c r="B97" s="20" t="s">
        <v>351</v>
      </c>
      <c r="C97" s="9"/>
      <c r="D97" s="10"/>
      <c r="E97" s="9" t="n">
        <v>1</v>
      </c>
      <c r="F97" s="11" t="s">
        <v>218</v>
      </c>
      <c r="G97" s="11" t="s">
        <v>473</v>
      </c>
      <c r="H97" s="11" t="s">
        <v>474</v>
      </c>
      <c r="I97" s="10"/>
      <c r="J97" s="9" t="n">
        <v>6</v>
      </c>
      <c r="K97" s="9" t="s">
        <v>35</v>
      </c>
      <c r="L97" s="9" t="s">
        <v>475</v>
      </c>
      <c r="M97" s="9" t="s">
        <v>476</v>
      </c>
      <c r="N97" s="12"/>
      <c r="O97" s="9"/>
      <c r="P97" s="9"/>
      <c r="Q97" s="9"/>
      <c r="R97" s="9"/>
      <c r="S97" s="10"/>
      <c r="T97" s="9"/>
      <c r="U97" s="9"/>
      <c r="V97" s="9"/>
      <c r="W97" s="9"/>
      <c r="X97" s="9"/>
      <c r="Y97" s="9" t="n">
        <f aca="false">Table3[[#This Row],[E1Y]]+X$2</f>
        <v>23.6</v>
      </c>
      <c r="Z97" s="9" t="n">
        <f aca="false">Table3[[#This Row],[E1TY]]+W$2</f>
        <v>22.5</v>
      </c>
      <c r="AA97" s="9" t="n">
        <f aca="false">T$2+U$2*(Table3[[#This Row],[Effect 1 Y]]-1)</f>
        <v>29.6</v>
      </c>
      <c r="AB97" s="9" t="n">
        <f aca="false">Table3[[#This Row],[E2Y]]+X$2</f>
        <v>48.6</v>
      </c>
      <c r="AC97" s="9" t="n">
        <f aca="false">Table3[[#This Row],[E2TY]]+W$2</f>
        <v>47.5</v>
      </c>
      <c r="AD97" s="9" t="n">
        <f aca="false">T$2+U$2*(Table3[[#This Row],[Effect 2 Y]]-1)+V$2</f>
        <v>54.6</v>
      </c>
      <c r="AE97" s="9" t="n">
        <f aca="false">Table3[[#This Row],[E3Y]]+X$2</f>
        <v>25.2</v>
      </c>
      <c r="AF97" s="9" t="n">
        <f aca="false">Table3[[#This Row],[E3TY]]+W$2</f>
        <v>24.1</v>
      </c>
      <c r="AG97" s="11" t="n">
        <f aca="false">T$2+U$2*(Table3[[#This Row],[Effect 3 Y]]-1)+2*V$2</f>
        <v>31.2</v>
      </c>
    </row>
    <row r="98" customFormat="false" ht="22.85" hidden="false" customHeight="false" outlineLevel="0" collapsed="false">
      <c r="A98" s="7" t="s">
        <v>477</v>
      </c>
      <c r="B98" s="20" t="s">
        <v>351</v>
      </c>
      <c r="C98" s="9"/>
      <c r="D98" s="10"/>
      <c r="E98" s="9" t="n">
        <v>1</v>
      </c>
      <c r="F98" s="11" t="s">
        <v>67</v>
      </c>
      <c r="G98" s="11" t="s">
        <v>478</v>
      </c>
      <c r="H98" s="11" t="s">
        <v>361</v>
      </c>
      <c r="I98" s="10"/>
      <c r="J98" s="9" t="n">
        <v>3</v>
      </c>
      <c r="K98" s="9" t="s">
        <v>35</v>
      </c>
      <c r="L98" s="9" t="s">
        <v>479</v>
      </c>
      <c r="M98" s="9" t="s">
        <v>480</v>
      </c>
      <c r="N98" s="12"/>
      <c r="O98" s="9" t="n">
        <v>11</v>
      </c>
      <c r="P98" s="9" t="s">
        <v>356</v>
      </c>
      <c r="Q98" s="9" t="s">
        <v>357</v>
      </c>
      <c r="R98" s="9" t="s">
        <v>481</v>
      </c>
      <c r="S98" s="10"/>
      <c r="T98" s="9"/>
      <c r="U98" s="9"/>
      <c r="V98" s="9"/>
      <c r="W98" s="9"/>
      <c r="X98" s="9"/>
      <c r="Y98" s="9" t="n">
        <f aca="false">Table3[[#This Row],[E1Y]]+X$2</f>
        <v>23.6</v>
      </c>
      <c r="Z98" s="9" t="n">
        <f aca="false">Table3[[#This Row],[E1TY]]+W$2</f>
        <v>22.5</v>
      </c>
      <c r="AA98" s="9" t="n">
        <f aca="false">T$2+U$2*(Table3[[#This Row],[Effect 1 Y]]-1)</f>
        <v>29.6</v>
      </c>
      <c r="AB98" s="9" t="n">
        <f aca="false">Table3[[#This Row],[E2Y]]+X$2</f>
        <v>35.4</v>
      </c>
      <c r="AC98" s="9" t="n">
        <f aca="false">Table3[[#This Row],[E2TY]]+W$2</f>
        <v>34.3</v>
      </c>
      <c r="AD98" s="9" t="n">
        <f aca="false">T$2+U$2*(Table3[[#This Row],[Effect 2 Y]]-1)+V$2</f>
        <v>41.4</v>
      </c>
      <c r="AE98" s="9" t="n">
        <f aca="false">Table3[[#This Row],[E3Y]]+X$2</f>
        <v>73.6</v>
      </c>
      <c r="AF98" s="9" t="n">
        <f aca="false">Table3[[#This Row],[E3TY]]+W$2</f>
        <v>72.5</v>
      </c>
      <c r="AG98" s="11" t="n">
        <f aca="false">T$2+U$2*(Table3[[#This Row],[Effect 3 Y]]-1)+2*V$2</f>
        <v>79.6</v>
      </c>
    </row>
    <row r="99" customFormat="false" ht="22.85" hidden="false" customHeight="false" outlineLevel="0" collapsed="false">
      <c r="A99" s="7" t="s">
        <v>482</v>
      </c>
      <c r="B99" s="20" t="s">
        <v>351</v>
      </c>
      <c r="C99" s="9"/>
      <c r="D99" s="10"/>
      <c r="E99" s="9" t="n">
        <v>1</v>
      </c>
      <c r="F99" s="11" t="s">
        <v>67</v>
      </c>
      <c r="G99" s="11" t="s">
        <v>483</v>
      </c>
      <c r="H99" s="11" t="s">
        <v>484</v>
      </c>
      <c r="I99" s="10"/>
      <c r="J99" s="9"/>
      <c r="K99" s="9"/>
      <c r="L99" s="9"/>
      <c r="M99" s="9"/>
      <c r="N99" s="12"/>
      <c r="O99" s="9"/>
      <c r="P99" s="9"/>
      <c r="Q99" s="9"/>
      <c r="R99" s="9"/>
      <c r="S99" s="10"/>
      <c r="T99" s="9"/>
      <c r="U99" s="9"/>
      <c r="V99" s="9"/>
      <c r="W99" s="9"/>
      <c r="X99" s="9"/>
      <c r="Y99" s="9" t="n">
        <f aca="false">Table3[[#This Row],[E1Y]]+X$2</f>
        <v>23.6</v>
      </c>
      <c r="Z99" s="9" t="n">
        <f aca="false">Table3[[#This Row],[E1TY]]+W$2</f>
        <v>22.5</v>
      </c>
      <c r="AA99" s="9" t="n">
        <f aca="false">T$2+U$2*(Table3[[#This Row],[Effect 1 Y]]-1)</f>
        <v>29.6</v>
      </c>
      <c r="AB99" s="9" t="n">
        <f aca="false">Table3[[#This Row],[E2Y]]+X$2</f>
        <v>22.2</v>
      </c>
      <c r="AC99" s="9" t="n">
        <f aca="false">Table3[[#This Row],[E2TY]]+W$2</f>
        <v>21.1</v>
      </c>
      <c r="AD99" s="9" t="n">
        <f aca="false">T$2+U$2*(Table3[[#This Row],[Effect 2 Y]]-1)+V$2</f>
        <v>28.2</v>
      </c>
      <c r="AE99" s="9" t="n">
        <f aca="false">Table3[[#This Row],[E3Y]]+X$2</f>
        <v>25.2</v>
      </c>
      <c r="AF99" s="9" t="n">
        <f aca="false">Table3[[#This Row],[E3TY]]+W$2</f>
        <v>24.1</v>
      </c>
      <c r="AG99" s="11" t="n">
        <f aca="false">T$2+U$2*(Table3[[#This Row],[Effect 3 Y]]-1)+2*V$2</f>
        <v>31.2</v>
      </c>
    </row>
    <row r="100" customFormat="false" ht="22.85" hidden="false" customHeight="false" outlineLevel="0" collapsed="false">
      <c r="A100" s="7" t="s">
        <v>485</v>
      </c>
      <c r="B100" s="21" t="s">
        <v>351</v>
      </c>
      <c r="C100" s="11"/>
      <c r="D100" s="10"/>
      <c r="E100" s="9" t="n">
        <v>1</v>
      </c>
      <c r="F100" s="11" t="s">
        <v>67</v>
      </c>
      <c r="G100" s="11" t="s">
        <v>486</v>
      </c>
      <c r="H100" s="11" t="s">
        <v>487</v>
      </c>
      <c r="I100" s="10"/>
      <c r="J100" s="9"/>
      <c r="K100" s="9"/>
      <c r="L100" s="9"/>
      <c r="M100" s="11"/>
      <c r="N100" s="12"/>
      <c r="O100" s="9"/>
      <c r="P100" s="9"/>
      <c r="Q100" s="9"/>
      <c r="R100" s="11"/>
      <c r="S100" s="10"/>
      <c r="T100" s="9"/>
      <c r="U100" s="9"/>
      <c r="V100" s="9"/>
      <c r="W100" s="9"/>
      <c r="X100" s="9"/>
      <c r="Y100" s="9" t="n">
        <f aca="false">Table3[[#This Row],[E1Y]]+X$2</f>
        <v>23.6</v>
      </c>
      <c r="Z100" s="9" t="n">
        <f aca="false">Table3[[#This Row],[E1TY]]+W$2</f>
        <v>22.5</v>
      </c>
      <c r="AA100" s="9" t="n">
        <f aca="false">T$2+U$2*(Table3[[#This Row],[Effect 1 Y]]-1)</f>
        <v>29.6</v>
      </c>
      <c r="AB100" s="9" t="n">
        <f aca="false">Table3[[#This Row],[E2Y]]+X$2</f>
        <v>22.2</v>
      </c>
      <c r="AC100" s="9" t="n">
        <f aca="false">Table3[[#This Row],[E2TY]]+W$2</f>
        <v>21.1</v>
      </c>
      <c r="AD100" s="9" t="n">
        <f aca="false">T$2+U$2*(Table3[[#This Row],[Effect 2 Y]]-1)+V$2</f>
        <v>28.2</v>
      </c>
      <c r="AE100" s="9" t="n">
        <f aca="false">Table3[[#This Row],[E3Y]]+X$2</f>
        <v>25.2</v>
      </c>
      <c r="AF100" s="9" t="n">
        <f aca="false">Table3[[#This Row],[E3TY]]+W$2</f>
        <v>24.1</v>
      </c>
      <c r="AG100" s="11" t="n">
        <f aca="false">T$2+U$2*(Table3[[#This Row],[Effect 3 Y]]-1)+2*V$2</f>
        <v>31.2</v>
      </c>
    </row>
    <row r="101" customFormat="false" ht="44.55" hidden="false" customHeight="false" outlineLevel="0" collapsed="false">
      <c r="A101" s="7" t="s">
        <v>488</v>
      </c>
      <c r="B101" s="20" t="s">
        <v>351</v>
      </c>
      <c r="C101" s="9"/>
      <c r="D101" s="10"/>
      <c r="E101" s="9" t="n">
        <v>1</v>
      </c>
      <c r="F101" s="11" t="s">
        <v>67</v>
      </c>
      <c r="G101" s="11" t="s">
        <v>489</v>
      </c>
      <c r="H101" s="11" t="s">
        <v>416</v>
      </c>
      <c r="I101" s="10"/>
      <c r="J101" s="9" t="n">
        <v>3</v>
      </c>
      <c r="K101" s="9" t="s">
        <v>50</v>
      </c>
      <c r="L101" s="9" t="s">
        <v>490</v>
      </c>
      <c r="M101" s="9" t="s">
        <v>491</v>
      </c>
      <c r="N101" s="12"/>
      <c r="O101" s="9" t="n">
        <v>10</v>
      </c>
      <c r="P101" s="9" t="s">
        <v>50</v>
      </c>
      <c r="Q101" s="9" t="s">
        <v>492</v>
      </c>
      <c r="R101" s="9" t="s">
        <v>493</v>
      </c>
      <c r="S101" s="10"/>
      <c r="T101" s="9"/>
      <c r="U101" s="9"/>
      <c r="V101" s="9"/>
      <c r="W101" s="9"/>
      <c r="X101" s="9"/>
      <c r="Y101" s="9" t="n">
        <f aca="false">Table3[[#This Row],[E1Y]]+X$2</f>
        <v>23.6</v>
      </c>
      <c r="Z101" s="9" t="n">
        <f aca="false">Table3[[#This Row],[E1TY]]+W$2</f>
        <v>22.5</v>
      </c>
      <c r="AA101" s="9" t="n">
        <f aca="false">T$2+U$2*(Table3[[#This Row],[Effect 1 Y]]-1)</f>
        <v>29.6</v>
      </c>
      <c r="AB101" s="9" t="n">
        <f aca="false">Table3[[#This Row],[E2Y]]+X$2</f>
        <v>35.4</v>
      </c>
      <c r="AC101" s="9" t="n">
        <f aca="false">Table3[[#This Row],[E2TY]]+W$2</f>
        <v>34.3</v>
      </c>
      <c r="AD101" s="9" t="n">
        <f aca="false">T$2+U$2*(Table3[[#This Row],[Effect 2 Y]]-1)+V$2</f>
        <v>41.4</v>
      </c>
      <c r="AE101" s="9" t="n">
        <f aca="false">Table3[[#This Row],[E3Y]]+X$2</f>
        <v>69.2</v>
      </c>
      <c r="AF101" s="9" t="n">
        <f aca="false">Table3[[#This Row],[E3TY]]+W$2</f>
        <v>68.1</v>
      </c>
      <c r="AG101" s="11" t="n">
        <f aca="false">T$2+U$2*(Table3[[#This Row],[Effect 3 Y]]-1)+2*V$2</f>
        <v>75.2</v>
      </c>
    </row>
    <row r="102" customFormat="false" ht="22.85" hidden="false" customHeight="false" outlineLevel="0" collapsed="false">
      <c r="A102" s="7" t="s">
        <v>494</v>
      </c>
      <c r="B102" s="20" t="s">
        <v>351</v>
      </c>
      <c r="C102" s="9"/>
      <c r="D102" s="10"/>
      <c r="E102" s="9" t="n">
        <v>1</v>
      </c>
      <c r="F102" s="11" t="s">
        <v>67</v>
      </c>
      <c r="G102" s="11" t="s">
        <v>478</v>
      </c>
      <c r="H102" s="11" t="s">
        <v>495</v>
      </c>
      <c r="I102" s="10"/>
      <c r="J102" s="9" t="n">
        <v>10</v>
      </c>
      <c r="K102" s="9" t="s">
        <v>356</v>
      </c>
      <c r="L102" s="9" t="s">
        <v>357</v>
      </c>
      <c r="M102" s="9" t="s">
        <v>496</v>
      </c>
      <c r="N102" s="12"/>
      <c r="O102" s="9"/>
      <c r="P102" s="9"/>
      <c r="Q102" s="9"/>
      <c r="R102" s="9"/>
      <c r="S102" s="10"/>
      <c r="T102" s="9"/>
      <c r="U102" s="9"/>
      <c r="V102" s="9"/>
      <c r="W102" s="9"/>
      <c r="X102" s="9"/>
      <c r="Y102" s="9" t="n">
        <f aca="false">Table3[[#This Row],[E1Y]]+X$2</f>
        <v>23.6</v>
      </c>
      <c r="Z102" s="9" t="n">
        <f aca="false">Table3[[#This Row],[E1TY]]+W$2</f>
        <v>22.5</v>
      </c>
      <c r="AA102" s="9" t="n">
        <f aca="false">T$2+U$2*(Table3[[#This Row],[Effect 1 Y]]-1)</f>
        <v>29.6</v>
      </c>
      <c r="AB102" s="9" t="n">
        <f aca="false">Table3[[#This Row],[E2Y]]+X$2</f>
        <v>66.2</v>
      </c>
      <c r="AC102" s="9" t="n">
        <f aca="false">Table3[[#This Row],[E2TY]]+W$2</f>
        <v>65.1</v>
      </c>
      <c r="AD102" s="9" t="n">
        <f aca="false">T$2+U$2*(Table3[[#This Row],[Effect 2 Y]]-1)+V$2</f>
        <v>72.2</v>
      </c>
      <c r="AE102" s="9" t="n">
        <f aca="false">Table3[[#This Row],[E3Y]]+X$2</f>
        <v>25.2</v>
      </c>
      <c r="AF102" s="9" t="n">
        <f aca="false">Table3[[#This Row],[E3TY]]+W$2</f>
        <v>24.1</v>
      </c>
      <c r="AG102" s="11" t="n">
        <f aca="false">T$2+U$2*(Table3[[#This Row],[Effect 3 Y]]-1)+2*V$2</f>
        <v>31.2</v>
      </c>
    </row>
    <row r="103" customFormat="false" ht="33.7" hidden="false" customHeight="false" outlineLevel="0" collapsed="false">
      <c r="A103" s="7" t="s">
        <v>497</v>
      </c>
      <c r="B103" s="20" t="s">
        <v>351</v>
      </c>
      <c r="C103" s="9"/>
      <c r="D103" s="10"/>
      <c r="E103" s="9" t="n">
        <v>1</v>
      </c>
      <c r="F103" s="11" t="s">
        <v>67</v>
      </c>
      <c r="G103" s="11" t="s">
        <v>498</v>
      </c>
      <c r="H103" s="11" t="s">
        <v>499</v>
      </c>
      <c r="I103" s="10"/>
      <c r="J103" s="9"/>
      <c r="K103" s="9"/>
      <c r="L103" s="9"/>
      <c r="M103" s="9"/>
      <c r="N103" s="12"/>
      <c r="O103" s="9"/>
      <c r="P103" s="9"/>
      <c r="Q103" s="9"/>
      <c r="R103" s="9"/>
      <c r="S103" s="10"/>
      <c r="T103" s="9"/>
      <c r="U103" s="9"/>
      <c r="V103" s="9"/>
      <c r="W103" s="9"/>
      <c r="X103" s="9"/>
      <c r="Y103" s="9" t="n">
        <f aca="false">Table3[[#This Row],[E1Y]]+X$2</f>
        <v>23.6</v>
      </c>
      <c r="Z103" s="9" t="n">
        <f aca="false">Table3[[#This Row],[E1TY]]+W$2</f>
        <v>22.5</v>
      </c>
      <c r="AA103" s="9" t="n">
        <f aca="false">T$2+U$2*(Table3[[#This Row],[Effect 1 Y]]-1)</f>
        <v>29.6</v>
      </c>
      <c r="AB103" s="9" t="n">
        <f aca="false">Table3[[#This Row],[E2Y]]+X$2</f>
        <v>22.2</v>
      </c>
      <c r="AC103" s="9" t="n">
        <f aca="false">Table3[[#This Row],[E2TY]]+W$2</f>
        <v>21.1</v>
      </c>
      <c r="AD103" s="9" t="n">
        <f aca="false">T$2+U$2*(Table3[[#This Row],[Effect 2 Y]]-1)+V$2</f>
        <v>28.2</v>
      </c>
      <c r="AE103" s="9" t="n">
        <f aca="false">Table3[[#This Row],[E3Y]]+X$2</f>
        <v>25.2</v>
      </c>
      <c r="AF103" s="9" t="n">
        <f aca="false">Table3[[#This Row],[E3TY]]+W$2</f>
        <v>24.1</v>
      </c>
      <c r="AG103" s="11" t="n">
        <f aca="false">T$2+U$2*(Table3[[#This Row],[Effect 3 Y]]-1)+2*V$2</f>
        <v>31.2</v>
      </c>
    </row>
    <row r="104" customFormat="false" ht="33.7" hidden="false" customHeight="false" outlineLevel="0" collapsed="false">
      <c r="A104" s="7" t="s">
        <v>500</v>
      </c>
      <c r="B104" s="20" t="s">
        <v>351</v>
      </c>
      <c r="C104" s="9"/>
      <c r="D104" s="10"/>
      <c r="E104" s="9" t="n">
        <v>1</v>
      </c>
      <c r="F104" s="11" t="s">
        <v>50</v>
      </c>
      <c r="G104" s="11" t="s">
        <v>501</v>
      </c>
      <c r="H104" s="11" t="s">
        <v>502</v>
      </c>
      <c r="I104" s="10"/>
      <c r="J104" s="9" t="n">
        <v>5</v>
      </c>
      <c r="K104" s="9" t="s">
        <v>35</v>
      </c>
      <c r="L104" s="9" t="s">
        <v>503</v>
      </c>
      <c r="M104" s="9" t="s">
        <v>504</v>
      </c>
      <c r="N104" s="12"/>
      <c r="O104" s="9"/>
      <c r="P104" s="9"/>
      <c r="Q104" s="9"/>
      <c r="R104" s="9"/>
      <c r="S104" s="10"/>
      <c r="T104" s="9"/>
      <c r="U104" s="9"/>
      <c r="V104" s="9"/>
      <c r="W104" s="9"/>
      <c r="X104" s="9"/>
      <c r="Y104" s="9" t="n">
        <f aca="false">Table3[[#This Row],[E1Y]]+X$2</f>
        <v>23.6</v>
      </c>
      <c r="Z104" s="9" t="n">
        <f aca="false">Table3[[#This Row],[E1TY]]+W$2</f>
        <v>22.5</v>
      </c>
      <c r="AA104" s="9" t="n">
        <f aca="false">T$2+U$2*(Table3[[#This Row],[Effect 1 Y]]-1)</f>
        <v>29.6</v>
      </c>
      <c r="AB104" s="9" t="n">
        <f aca="false">Table3[[#This Row],[E2Y]]+X$2</f>
        <v>44.2</v>
      </c>
      <c r="AC104" s="9" t="n">
        <f aca="false">Table3[[#This Row],[E2TY]]+W$2</f>
        <v>43.1</v>
      </c>
      <c r="AD104" s="9" t="n">
        <f aca="false">T$2+U$2*(Table3[[#This Row],[Effect 2 Y]]-1)+V$2</f>
        <v>50.2</v>
      </c>
      <c r="AE104" s="9" t="n">
        <f aca="false">Table3[[#This Row],[E3Y]]+X$2</f>
        <v>25.2</v>
      </c>
      <c r="AF104" s="9" t="n">
        <f aca="false">Table3[[#This Row],[E3TY]]+W$2</f>
        <v>24.1</v>
      </c>
      <c r="AG104" s="11" t="n">
        <f aca="false">T$2+U$2*(Table3[[#This Row],[Effect 3 Y]]-1)+2*V$2</f>
        <v>31.2</v>
      </c>
    </row>
    <row r="105" customFormat="false" ht="44.55" hidden="false" customHeight="false" outlineLevel="0" collapsed="false">
      <c r="A105" s="7" t="s">
        <v>505</v>
      </c>
      <c r="B105" s="21" t="s">
        <v>351</v>
      </c>
      <c r="C105" s="11" t="s">
        <v>506</v>
      </c>
      <c r="D105" s="10"/>
      <c r="E105" s="9" t="n">
        <v>1</v>
      </c>
      <c r="F105" s="11" t="s">
        <v>50</v>
      </c>
      <c r="G105" s="11" t="s">
        <v>507</v>
      </c>
      <c r="H105" s="11" t="s">
        <v>508</v>
      </c>
      <c r="I105" s="10"/>
      <c r="J105" s="9" t="n">
        <v>9</v>
      </c>
      <c r="K105" s="9" t="s">
        <v>35</v>
      </c>
      <c r="L105" s="9" t="s">
        <v>211</v>
      </c>
      <c r="M105" s="11" t="s">
        <v>509</v>
      </c>
      <c r="N105" s="12"/>
      <c r="O105" s="9"/>
      <c r="P105" s="9"/>
      <c r="Q105" s="9"/>
      <c r="R105" s="11"/>
      <c r="S105" s="10"/>
      <c r="T105" s="9"/>
      <c r="U105" s="9"/>
      <c r="V105" s="9"/>
      <c r="W105" s="9"/>
      <c r="X105" s="9"/>
      <c r="Y105" s="9" t="n">
        <f aca="false">Table3[[#This Row],[E1Y]]+X$2</f>
        <v>23.6</v>
      </c>
      <c r="Z105" s="9" t="n">
        <f aca="false">Table3[[#This Row],[E1TY]]+W$2</f>
        <v>22.5</v>
      </c>
      <c r="AA105" s="9" t="n">
        <f aca="false">T$2+U$2*(Table3[[#This Row],[Effect 1 Y]]-1)</f>
        <v>29.6</v>
      </c>
      <c r="AB105" s="9" t="n">
        <f aca="false">Table3[[#This Row],[E2Y]]+X$2</f>
        <v>61.8</v>
      </c>
      <c r="AC105" s="9" t="n">
        <f aca="false">Table3[[#This Row],[E2TY]]+W$2</f>
        <v>60.7</v>
      </c>
      <c r="AD105" s="9" t="n">
        <f aca="false">T$2+U$2*(Table3[[#This Row],[Effect 2 Y]]-1)+V$2</f>
        <v>67.8</v>
      </c>
      <c r="AE105" s="9" t="n">
        <f aca="false">Table3[[#This Row],[E3Y]]+X$2</f>
        <v>25.2</v>
      </c>
      <c r="AF105" s="9" t="n">
        <f aca="false">Table3[[#This Row],[E3TY]]+W$2</f>
        <v>24.1</v>
      </c>
      <c r="AG105" s="11" t="n">
        <f aca="false">T$2+U$2*(Table3[[#This Row],[Effect 3 Y]]-1)+2*V$2</f>
        <v>31.2</v>
      </c>
    </row>
    <row r="106" customFormat="false" ht="33.7" hidden="false" customHeight="false" outlineLevel="0" collapsed="false">
      <c r="A106" s="7" t="s">
        <v>510</v>
      </c>
      <c r="B106" s="20" t="s">
        <v>351</v>
      </c>
      <c r="C106" s="9" t="s">
        <v>506</v>
      </c>
      <c r="D106" s="10"/>
      <c r="E106" s="9" t="n">
        <v>1</v>
      </c>
      <c r="F106" s="11" t="s">
        <v>67</v>
      </c>
      <c r="G106" s="11" t="s">
        <v>511</v>
      </c>
      <c r="H106" s="11" t="s">
        <v>512</v>
      </c>
      <c r="I106" s="10"/>
      <c r="J106" s="9" t="n">
        <v>3</v>
      </c>
      <c r="K106" s="9" t="s">
        <v>50</v>
      </c>
      <c r="L106" s="9" t="s">
        <v>513</v>
      </c>
      <c r="M106" s="9" t="s">
        <v>514</v>
      </c>
      <c r="N106" s="12"/>
      <c r="O106" s="9"/>
      <c r="P106" s="9"/>
      <c r="Q106" s="9"/>
      <c r="R106" s="9"/>
      <c r="S106" s="10"/>
      <c r="T106" s="9"/>
      <c r="U106" s="9"/>
      <c r="V106" s="9"/>
      <c r="W106" s="9"/>
      <c r="X106" s="9"/>
      <c r="Y106" s="9" t="n">
        <f aca="false">Table3[[#This Row],[E1Y]]+X$2</f>
        <v>23.6</v>
      </c>
      <c r="Z106" s="9" t="n">
        <f aca="false">Table3[[#This Row],[E1TY]]+W$2</f>
        <v>22.5</v>
      </c>
      <c r="AA106" s="9" t="n">
        <f aca="false">T$2+U$2*(Table3[[#This Row],[Effect 1 Y]]-1)</f>
        <v>29.6</v>
      </c>
      <c r="AB106" s="9" t="n">
        <f aca="false">Table3[[#This Row],[E2Y]]+X$2</f>
        <v>35.4</v>
      </c>
      <c r="AC106" s="9" t="n">
        <f aca="false">Table3[[#This Row],[E2TY]]+W$2</f>
        <v>34.3</v>
      </c>
      <c r="AD106" s="9" t="n">
        <f aca="false">T$2+U$2*(Table3[[#This Row],[Effect 2 Y]]-1)+V$2</f>
        <v>41.4</v>
      </c>
      <c r="AE106" s="9" t="n">
        <f aca="false">Table3[[#This Row],[E3Y]]+X$2</f>
        <v>25.2</v>
      </c>
      <c r="AF106" s="9" t="n">
        <f aca="false">Table3[[#This Row],[E3TY]]+W$2</f>
        <v>24.1</v>
      </c>
      <c r="AG106" s="11" t="n">
        <f aca="false">T$2+U$2*(Table3[[#This Row],[Effect 3 Y]]-1)+2*V$2</f>
        <v>31.2</v>
      </c>
    </row>
    <row r="107" customFormat="false" ht="22.85" hidden="false" customHeight="false" outlineLevel="0" collapsed="false">
      <c r="A107" s="7" t="s">
        <v>515</v>
      </c>
      <c r="B107" s="20" t="s">
        <v>351</v>
      </c>
      <c r="C107" s="9"/>
      <c r="D107" s="10"/>
      <c r="E107" s="9" t="n">
        <v>1</v>
      </c>
      <c r="F107" s="11" t="s">
        <v>67</v>
      </c>
      <c r="G107" s="11" t="s">
        <v>516</v>
      </c>
      <c r="H107" s="11" t="s">
        <v>380</v>
      </c>
      <c r="I107" s="10"/>
      <c r="J107" s="9" t="n">
        <v>3</v>
      </c>
      <c r="K107" s="9" t="s">
        <v>50</v>
      </c>
      <c r="L107" s="9" t="s">
        <v>517</v>
      </c>
      <c r="M107" s="9" t="s">
        <v>518</v>
      </c>
      <c r="N107" s="12"/>
      <c r="O107" s="9" t="n">
        <v>10</v>
      </c>
      <c r="P107" s="9" t="s">
        <v>356</v>
      </c>
      <c r="Q107" s="9" t="s">
        <v>357</v>
      </c>
      <c r="R107" s="9" t="s">
        <v>427</v>
      </c>
      <c r="S107" s="10"/>
      <c r="T107" s="9"/>
      <c r="U107" s="9"/>
      <c r="V107" s="9"/>
      <c r="W107" s="9"/>
      <c r="X107" s="9"/>
      <c r="Y107" s="9" t="n">
        <f aca="false">Table3[[#This Row],[E1Y]]+X$2</f>
        <v>23.6</v>
      </c>
      <c r="Z107" s="9" t="n">
        <f aca="false">Table3[[#This Row],[E1TY]]+W$2</f>
        <v>22.5</v>
      </c>
      <c r="AA107" s="9" t="n">
        <f aca="false">T$2+U$2*(Table3[[#This Row],[Effect 1 Y]]-1)</f>
        <v>29.6</v>
      </c>
      <c r="AB107" s="9" t="n">
        <f aca="false">Table3[[#This Row],[E2Y]]+X$2</f>
        <v>35.4</v>
      </c>
      <c r="AC107" s="9" t="n">
        <f aca="false">Table3[[#This Row],[E2TY]]+W$2</f>
        <v>34.3</v>
      </c>
      <c r="AD107" s="9" t="n">
        <f aca="false">T$2+U$2*(Table3[[#This Row],[Effect 2 Y]]-1)+V$2</f>
        <v>41.4</v>
      </c>
      <c r="AE107" s="9" t="n">
        <f aca="false">Table3[[#This Row],[E3Y]]+X$2</f>
        <v>69.2</v>
      </c>
      <c r="AF107" s="9" t="n">
        <f aca="false">Table3[[#This Row],[E3TY]]+W$2</f>
        <v>68.1</v>
      </c>
      <c r="AG107" s="11" t="n">
        <f aca="false">T$2+U$2*(Table3[[#This Row],[Effect 3 Y]]-1)+2*V$2</f>
        <v>75.2</v>
      </c>
    </row>
    <row r="108" customFormat="false" ht="24.05" hidden="false" customHeight="false" outlineLevel="0" collapsed="false">
      <c r="A108" s="7" t="s">
        <v>519</v>
      </c>
      <c r="B108" s="20" t="s">
        <v>351</v>
      </c>
      <c r="C108" s="9"/>
      <c r="D108" s="10"/>
      <c r="E108" s="9" t="n">
        <v>1</v>
      </c>
      <c r="F108" s="11" t="s">
        <v>67</v>
      </c>
      <c r="G108" s="11" t="s">
        <v>520</v>
      </c>
      <c r="H108" s="11" t="s">
        <v>521</v>
      </c>
      <c r="I108" s="10"/>
      <c r="J108" s="9" t="n">
        <v>10</v>
      </c>
      <c r="K108" s="9" t="s">
        <v>356</v>
      </c>
      <c r="L108" s="9" t="s">
        <v>357</v>
      </c>
      <c r="M108" s="9" t="s">
        <v>522</v>
      </c>
      <c r="N108" s="12"/>
      <c r="O108" s="9"/>
      <c r="P108" s="9"/>
      <c r="Q108" s="9"/>
      <c r="R108" s="9"/>
      <c r="S108" s="10"/>
      <c r="T108" s="9"/>
      <c r="U108" s="9"/>
      <c r="V108" s="9"/>
      <c r="W108" s="9"/>
      <c r="X108" s="9"/>
      <c r="Y108" s="9" t="n">
        <f aca="false">Table3[[#This Row],[E1Y]]+X$2</f>
        <v>23.6</v>
      </c>
      <c r="Z108" s="9" t="n">
        <f aca="false">Table3[[#This Row],[E1TY]]+W$2</f>
        <v>22.5</v>
      </c>
      <c r="AA108" s="9" t="n">
        <f aca="false">T$2+U$2*(Table3[[#This Row],[Effect 1 Y]]-1)</f>
        <v>29.6</v>
      </c>
      <c r="AB108" s="9" t="n">
        <f aca="false">Table3[[#This Row],[E2Y]]+X$2</f>
        <v>66.2</v>
      </c>
      <c r="AC108" s="9" t="n">
        <f aca="false">Table3[[#This Row],[E2TY]]+W$2</f>
        <v>65.1</v>
      </c>
      <c r="AD108" s="9" t="n">
        <f aca="false">T$2+U$2*(Table3[[#This Row],[Effect 2 Y]]-1)+V$2</f>
        <v>72.2</v>
      </c>
      <c r="AE108" s="9" t="n">
        <f aca="false">Table3[[#This Row],[E3Y]]+X$2</f>
        <v>25.2</v>
      </c>
      <c r="AF108" s="9" t="n">
        <f aca="false">Table3[[#This Row],[E3TY]]+W$2</f>
        <v>24.1</v>
      </c>
      <c r="AG108" s="11" t="n">
        <f aca="false">T$2+U$2*(Table3[[#This Row],[Effect 3 Y]]-1)+2*V$2</f>
        <v>31.2</v>
      </c>
    </row>
    <row r="109" customFormat="false" ht="44.55" hidden="false" customHeight="false" outlineLevel="0" collapsed="false">
      <c r="A109" s="7" t="s">
        <v>523</v>
      </c>
      <c r="B109" s="20" t="s">
        <v>351</v>
      </c>
      <c r="C109" s="9"/>
      <c r="D109" s="18"/>
      <c r="E109" s="9" t="n">
        <v>1</v>
      </c>
      <c r="F109" s="9" t="s">
        <v>67</v>
      </c>
      <c r="G109" s="9" t="s">
        <v>524</v>
      </c>
      <c r="H109" s="9" t="s">
        <v>525</v>
      </c>
      <c r="I109" s="18"/>
      <c r="J109" s="9" t="n">
        <v>5</v>
      </c>
      <c r="K109" s="9" t="s">
        <v>35</v>
      </c>
      <c r="L109" s="9" t="s">
        <v>526</v>
      </c>
      <c r="M109" s="9" t="s">
        <v>527</v>
      </c>
      <c r="N109" s="19"/>
      <c r="O109" s="9" t="n">
        <v>5</v>
      </c>
      <c r="P109" s="9"/>
      <c r="Q109" s="9"/>
      <c r="R109" s="9"/>
      <c r="S109" s="18"/>
      <c r="T109" s="11"/>
      <c r="U109" s="11"/>
      <c r="V109" s="9"/>
      <c r="W109" s="9"/>
      <c r="X109" s="9"/>
      <c r="Y109" s="9" t="n">
        <f aca="false">Table3[[#This Row],[E1Y]]+X$2</f>
        <v>23.6</v>
      </c>
      <c r="Z109" s="9" t="n">
        <f aca="false">Table3[[#This Row],[E1TY]]+W$2</f>
        <v>22.5</v>
      </c>
      <c r="AA109" s="9" t="n">
        <f aca="false">T$2+U$2*(Table3[[#This Row],[Effect 1 Y]]-1)</f>
        <v>29.6</v>
      </c>
      <c r="AB109" s="9" t="n">
        <f aca="false">Table3[[#This Row],[E2Y]]+X$2</f>
        <v>44.2</v>
      </c>
      <c r="AC109" s="9" t="n">
        <f aca="false">Table3[[#This Row],[E2TY]]+W$2</f>
        <v>43.1</v>
      </c>
      <c r="AD109" s="9" t="n">
        <f aca="false">T$2+U$2*(Table3[[#This Row],[Effect 2 Y]]-1)+V$2</f>
        <v>50.2</v>
      </c>
      <c r="AE109" s="9" t="n">
        <f aca="false">Table3[[#This Row],[E3Y]]+X$2</f>
        <v>47.2</v>
      </c>
      <c r="AF109" s="9" t="n">
        <f aca="false">Table3[[#This Row],[E3TY]]+W$2</f>
        <v>46.1</v>
      </c>
      <c r="AG109" s="11" t="n">
        <f aca="false">T$2+U$2*(Table3[[#This Row],[Effect 3 Y]]-1)+2*V$2</f>
        <v>53.2</v>
      </c>
    </row>
    <row r="110" customFormat="false" ht="22.85" hidden="false" customHeight="false" outlineLevel="0" collapsed="false">
      <c r="A110" s="7" t="s">
        <v>528</v>
      </c>
      <c r="B110" s="20" t="s">
        <v>351</v>
      </c>
      <c r="C110" s="11"/>
      <c r="D110" s="10"/>
      <c r="E110" s="9" t="n">
        <v>1</v>
      </c>
      <c r="F110" s="11" t="s">
        <v>67</v>
      </c>
      <c r="G110" s="11" t="s">
        <v>529</v>
      </c>
      <c r="H110" s="11" t="s">
        <v>530</v>
      </c>
      <c r="I110" s="10"/>
      <c r="J110" s="9" t="n">
        <v>9</v>
      </c>
      <c r="K110" s="9" t="s">
        <v>356</v>
      </c>
      <c r="L110" s="9" t="s">
        <v>357</v>
      </c>
      <c r="M110" s="11" t="s">
        <v>531</v>
      </c>
      <c r="N110" s="12"/>
      <c r="O110" s="9"/>
      <c r="P110" s="9"/>
      <c r="Q110" s="9"/>
      <c r="R110" s="11"/>
      <c r="S110" s="10"/>
      <c r="T110" s="9"/>
      <c r="U110" s="9"/>
      <c r="V110" s="9"/>
      <c r="W110" s="9"/>
      <c r="X110" s="9"/>
      <c r="Y110" s="9" t="n">
        <f aca="false">Table3[[#This Row],[E1Y]]+X$2</f>
        <v>23.6</v>
      </c>
      <c r="Z110" s="9" t="n">
        <f aca="false">Table3[[#This Row],[E1TY]]+W$2</f>
        <v>22.5</v>
      </c>
      <c r="AA110" s="9" t="n">
        <f aca="false">T$2+U$2*(Table3[[#This Row],[Effect 1 Y]]-1)</f>
        <v>29.6</v>
      </c>
      <c r="AB110" s="9" t="n">
        <f aca="false">Table3[[#This Row],[E2Y]]+X$2</f>
        <v>61.8</v>
      </c>
      <c r="AC110" s="9" t="n">
        <f aca="false">Table3[[#This Row],[E2TY]]+W$2</f>
        <v>60.7</v>
      </c>
      <c r="AD110" s="9" t="n">
        <f aca="false">T$2+U$2*(Table3[[#This Row],[Effect 2 Y]]-1)+V$2</f>
        <v>67.8</v>
      </c>
      <c r="AE110" s="9" t="n">
        <f aca="false">Table3[[#This Row],[E3Y]]+X$2</f>
        <v>25.2</v>
      </c>
      <c r="AF110" s="9" t="n">
        <f aca="false">Table3[[#This Row],[E3TY]]+W$2</f>
        <v>24.1</v>
      </c>
      <c r="AG110" s="11" t="n">
        <f aca="false">T$2+U$2*(Table3[[#This Row],[Effect 3 Y]]-1)+2*V$2</f>
        <v>31.2</v>
      </c>
    </row>
    <row r="111" customFormat="false" ht="22.85" hidden="false" customHeight="false" outlineLevel="0" collapsed="false">
      <c r="A111" s="7" t="s">
        <v>532</v>
      </c>
      <c r="B111" s="20" t="s">
        <v>351</v>
      </c>
      <c r="C111" s="11"/>
      <c r="D111" s="10"/>
      <c r="E111" s="9" t="n">
        <v>1</v>
      </c>
      <c r="F111" s="11" t="s">
        <v>67</v>
      </c>
      <c r="G111" s="11" t="s">
        <v>533</v>
      </c>
      <c r="H111" s="11" t="s">
        <v>534</v>
      </c>
      <c r="I111" s="10"/>
      <c r="J111" s="9" t="n">
        <v>10</v>
      </c>
      <c r="K111" s="9" t="s">
        <v>356</v>
      </c>
      <c r="L111" s="9" t="s">
        <v>357</v>
      </c>
      <c r="M111" s="11" t="s">
        <v>481</v>
      </c>
      <c r="N111" s="12"/>
      <c r="O111" s="9"/>
      <c r="P111" s="9"/>
      <c r="Q111" s="9"/>
      <c r="R111" s="11"/>
      <c r="S111" s="10"/>
      <c r="T111" s="9"/>
      <c r="U111" s="9"/>
      <c r="V111" s="9"/>
      <c r="W111" s="9"/>
      <c r="X111" s="9"/>
      <c r="Y111" s="9" t="n">
        <f aca="false">Table3[[#This Row],[E1Y]]+X$2</f>
        <v>23.6</v>
      </c>
      <c r="Z111" s="9" t="n">
        <f aca="false">Table3[[#This Row],[E1TY]]+W$2</f>
        <v>22.5</v>
      </c>
      <c r="AA111" s="9" t="n">
        <f aca="false">T$2+U$2*(Table3[[#This Row],[Effect 1 Y]]-1)</f>
        <v>29.6</v>
      </c>
      <c r="AB111" s="9" t="n">
        <f aca="false">Table3[[#This Row],[E2Y]]+X$2</f>
        <v>66.2</v>
      </c>
      <c r="AC111" s="9" t="n">
        <f aca="false">Table3[[#This Row],[E2TY]]+W$2</f>
        <v>65.1</v>
      </c>
      <c r="AD111" s="9" t="n">
        <f aca="false">T$2+U$2*(Table3[[#This Row],[Effect 2 Y]]-1)+V$2</f>
        <v>72.2</v>
      </c>
      <c r="AE111" s="9" t="n">
        <f aca="false">Table3[[#This Row],[E3Y]]+X$2</f>
        <v>25.2</v>
      </c>
      <c r="AF111" s="9" t="n">
        <f aca="false">Table3[[#This Row],[E3TY]]+W$2</f>
        <v>24.1</v>
      </c>
      <c r="AG111" s="11" t="n">
        <f aca="false">T$2+U$2*(Table3[[#This Row],[Effect 3 Y]]-1)+2*V$2</f>
        <v>31.2</v>
      </c>
    </row>
    <row r="112" customFormat="false" ht="33.7" hidden="false" customHeight="false" outlineLevel="0" collapsed="false">
      <c r="A112" s="7" t="s">
        <v>535</v>
      </c>
      <c r="B112" s="20" t="s">
        <v>351</v>
      </c>
      <c r="C112" s="11"/>
      <c r="D112" s="10"/>
      <c r="E112" s="9" t="n">
        <v>1</v>
      </c>
      <c r="F112" s="11" t="s">
        <v>67</v>
      </c>
      <c r="G112" s="11" t="s">
        <v>536</v>
      </c>
      <c r="H112" s="11" t="s">
        <v>537</v>
      </c>
      <c r="I112" s="10"/>
      <c r="J112" s="9" t="n">
        <v>9</v>
      </c>
      <c r="K112" s="9" t="s">
        <v>356</v>
      </c>
      <c r="L112" s="9" t="s">
        <v>357</v>
      </c>
      <c r="M112" s="11" t="s">
        <v>538</v>
      </c>
      <c r="N112" s="12"/>
      <c r="O112" s="9"/>
      <c r="P112" s="9"/>
      <c r="Q112" s="9"/>
      <c r="R112" s="11"/>
      <c r="S112" s="10"/>
      <c r="T112" s="9"/>
      <c r="U112" s="9"/>
      <c r="V112" s="9"/>
      <c r="W112" s="9"/>
      <c r="X112" s="9"/>
      <c r="Y112" s="9" t="n">
        <f aca="false">Table3[[#This Row],[E1Y]]+X$2</f>
        <v>23.6</v>
      </c>
      <c r="Z112" s="9" t="n">
        <f aca="false">Table3[[#This Row],[E1TY]]+W$2</f>
        <v>22.5</v>
      </c>
      <c r="AA112" s="9" t="n">
        <f aca="false">T$2+U$2*(Table3[[#This Row],[Effect 1 Y]]-1)</f>
        <v>29.6</v>
      </c>
      <c r="AB112" s="9" t="n">
        <f aca="false">Table3[[#This Row],[E2Y]]+X$2</f>
        <v>61.8</v>
      </c>
      <c r="AC112" s="9" t="n">
        <f aca="false">Table3[[#This Row],[E2TY]]+W$2</f>
        <v>60.7</v>
      </c>
      <c r="AD112" s="9" t="n">
        <f aca="false">T$2+U$2*(Table3[[#This Row],[Effect 2 Y]]-1)+V$2</f>
        <v>67.8</v>
      </c>
      <c r="AE112" s="9" t="n">
        <f aca="false">Table3[[#This Row],[E3Y]]+X$2</f>
        <v>25.2</v>
      </c>
      <c r="AF112" s="9" t="n">
        <f aca="false">Table3[[#This Row],[E3TY]]+W$2</f>
        <v>24.1</v>
      </c>
      <c r="AG112" s="11" t="n">
        <f aca="false">T$2+U$2*(Table3[[#This Row],[Effect 3 Y]]-1)+2*V$2</f>
        <v>31.2</v>
      </c>
    </row>
    <row r="113" customFormat="false" ht="22.85" hidden="false" customHeight="false" outlineLevel="0" collapsed="false">
      <c r="A113" s="7" t="s">
        <v>539</v>
      </c>
      <c r="B113" s="20" t="s">
        <v>351</v>
      </c>
      <c r="C113" s="11"/>
      <c r="D113" s="10"/>
      <c r="E113" s="9" t="n">
        <v>1</v>
      </c>
      <c r="F113" s="11" t="s">
        <v>67</v>
      </c>
      <c r="G113" s="11" t="s">
        <v>540</v>
      </c>
      <c r="H113" s="11" t="s">
        <v>541</v>
      </c>
      <c r="I113" s="10"/>
      <c r="J113" s="9"/>
      <c r="K113" s="9"/>
      <c r="L113" s="9"/>
      <c r="M113" s="11"/>
      <c r="N113" s="12"/>
      <c r="O113" s="9"/>
      <c r="P113" s="9"/>
      <c r="Q113" s="9"/>
      <c r="R113" s="11"/>
      <c r="S113" s="10"/>
      <c r="T113" s="9"/>
      <c r="U113" s="9"/>
      <c r="V113" s="9"/>
      <c r="W113" s="9"/>
      <c r="X113" s="9"/>
      <c r="Y113" s="9" t="n">
        <f aca="false">Table3[[#This Row],[E1Y]]+X$2</f>
        <v>23.6</v>
      </c>
      <c r="Z113" s="9" t="n">
        <f aca="false">Table3[[#This Row],[E1TY]]+W$2</f>
        <v>22.5</v>
      </c>
      <c r="AA113" s="9" t="n">
        <f aca="false">T$2+U$2*(Table3[[#This Row],[Effect 1 Y]]-1)</f>
        <v>29.6</v>
      </c>
      <c r="AB113" s="9" t="n">
        <f aca="false">Table3[[#This Row],[E2Y]]+X$2</f>
        <v>22.2</v>
      </c>
      <c r="AC113" s="9" t="n">
        <f aca="false">Table3[[#This Row],[E2TY]]+W$2</f>
        <v>21.1</v>
      </c>
      <c r="AD113" s="9" t="n">
        <f aca="false">T$2+U$2*(Table3[[#This Row],[Effect 2 Y]]-1)+V$2</f>
        <v>28.2</v>
      </c>
      <c r="AE113" s="9" t="n">
        <f aca="false">Table3[[#This Row],[E3Y]]+X$2</f>
        <v>25.2</v>
      </c>
      <c r="AF113" s="9" t="n">
        <f aca="false">Table3[[#This Row],[E3TY]]+W$2</f>
        <v>24.1</v>
      </c>
      <c r="AG113" s="11" t="n">
        <f aca="false">T$2+U$2*(Table3[[#This Row],[Effect 3 Y]]-1)+2*V$2</f>
        <v>31.2</v>
      </c>
    </row>
    <row r="114" customFormat="false" ht="33.7" hidden="false" customHeight="false" outlineLevel="0" collapsed="false">
      <c r="A114" s="7" t="s">
        <v>542</v>
      </c>
      <c r="B114" s="20" t="s">
        <v>351</v>
      </c>
      <c r="C114" s="9"/>
      <c r="D114" s="10"/>
      <c r="E114" s="9" t="n">
        <v>1</v>
      </c>
      <c r="F114" s="11" t="s">
        <v>50</v>
      </c>
      <c r="G114" s="11" t="s">
        <v>543</v>
      </c>
      <c r="H114" s="11" t="s">
        <v>544</v>
      </c>
      <c r="I114" s="10"/>
      <c r="J114" s="9" t="n">
        <v>4</v>
      </c>
      <c r="K114" s="9" t="s">
        <v>35</v>
      </c>
      <c r="L114" s="9" t="s">
        <v>545</v>
      </c>
      <c r="M114" s="9" t="s">
        <v>546</v>
      </c>
      <c r="N114" s="12"/>
      <c r="O114" s="9" t="n">
        <v>8</v>
      </c>
      <c r="P114" s="9" t="s">
        <v>35</v>
      </c>
      <c r="Q114" s="9" t="s">
        <v>547</v>
      </c>
      <c r="R114" s="9" t="s">
        <v>548</v>
      </c>
      <c r="S114" s="10"/>
      <c r="T114" s="9"/>
      <c r="U114" s="9"/>
      <c r="V114" s="9"/>
      <c r="W114" s="9"/>
      <c r="X114" s="9"/>
      <c r="Y114" s="9" t="n">
        <f aca="false">Table3[[#This Row],[E1Y]]+X$2</f>
        <v>23.6</v>
      </c>
      <c r="Z114" s="9" t="n">
        <f aca="false">Table3[[#This Row],[E1TY]]+W$2</f>
        <v>22.5</v>
      </c>
      <c r="AA114" s="9" t="n">
        <f aca="false">T$2+U$2*(Table3[[#This Row],[Effect 1 Y]]-1)</f>
        <v>29.6</v>
      </c>
      <c r="AB114" s="9" t="n">
        <f aca="false">Table3[[#This Row],[E2Y]]+X$2</f>
        <v>39.8</v>
      </c>
      <c r="AC114" s="9" t="n">
        <f aca="false">Table3[[#This Row],[E2TY]]+W$2</f>
        <v>38.7</v>
      </c>
      <c r="AD114" s="9" t="n">
        <f aca="false">T$2+U$2*(Table3[[#This Row],[Effect 2 Y]]-1)+V$2</f>
        <v>45.8</v>
      </c>
      <c r="AE114" s="9" t="n">
        <f aca="false">Table3[[#This Row],[E3Y]]+X$2</f>
        <v>60.4</v>
      </c>
      <c r="AF114" s="9" t="n">
        <f aca="false">Table3[[#This Row],[E3TY]]+W$2</f>
        <v>59.3</v>
      </c>
      <c r="AG114" s="11" t="n">
        <f aca="false">T$2+U$2*(Table3[[#This Row],[Effect 3 Y]]-1)+2*V$2</f>
        <v>66.4</v>
      </c>
    </row>
    <row r="115" customFormat="false" ht="44.55" hidden="false" customHeight="false" outlineLevel="0" collapsed="false">
      <c r="A115" s="7" t="s">
        <v>549</v>
      </c>
      <c r="B115" s="20" t="s">
        <v>351</v>
      </c>
      <c r="C115" s="11"/>
      <c r="D115" s="10"/>
      <c r="E115" s="9" t="n">
        <v>1</v>
      </c>
      <c r="F115" s="11" t="s">
        <v>67</v>
      </c>
      <c r="G115" s="11" t="s">
        <v>550</v>
      </c>
      <c r="H115" s="11" t="s">
        <v>551</v>
      </c>
      <c r="I115" s="10"/>
      <c r="J115" s="9"/>
      <c r="K115" s="9"/>
      <c r="L115" s="9"/>
      <c r="M115" s="11"/>
      <c r="N115" s="12"/>
      <c r="O115" s="9"/>
      <c r="P115" s="9"/>
      <c r="Q115" s="9"/>
      <c r="R115" s="11"/>
      <c r="S115" s="10"/>
      <c r="T115" s="9"/>
      <c r="U115" s="9"/>
      <c r="V115" s="9"/>
      <c r="W115" s="9"/>
      <c r="X115" s="9"/>
      <c r="Y115" s="9" t="n">
        <f aca="false">Table3[[#This Row],[E1Y]]+X$2</f>
        <v>23.6</v>
      </c>
      <c r="Z115" s="9" t="n">
        <f aca="false">Table3[[#This Row],[E1TY]]+W$2</f>
        <v>22.5</v>
      </c>
      <c r="AA115" s="9" t="n">
        <f aca="false">T$2+U$2*(Table3[[#This Row],[Effect 1 Y]]-1)</f>
        <v>29.6</v>
      </c>
      <c r="AB115" s="9" t="n">
        <f aca="false">Table3[[#This Row],[E2Y]]+X$2</f>
        <v>22.2</v>
      </c>
      <c r="AC115" s="9" t="n">
        <f aca="false">Table3[[#This Row],[E2TY]]+W$2</f>
        <v>21.1</v>
      </c>
      <c r="AD115" s="9" t="n">
        <f aca="false">T$2+U$2*(Table3[[#This Row],[Effect 2 Y]]-1)+V$2</f>
        <v>28.2</v>
      </c>
      <c r="AE115" s="9" t="n">
        <f aca="false">Table3[[#This Row],[E3Y]]+X$2</f>
        <v>25.2</v>
      </c>
      <c r="AF115" s="9" t="n">
        <f aca="false">Table3[[#This Row],[E3TY]]+W$2</f>
        <v>24.1</v>
      </c>
      <c r="AG115" s="11" t="n">
        <f aca="false">T$2+U$2*(Table3[[#This Row],[Effect 3 Y]]-1)+2*V$2</f>
        <v>31.2</v>
      </c>
    </row>
    <row r="116" customFormat="false" ht="33.7" hidden="false" customHeight="false" outlineLevel="0" collapsed="false">
      <c r="A116" s="7" t="s">
        <v>552</v>
      </c>
      <c r="B116" s="20" t="s">
        <v>351</v>
      </c>
      <c r="C116" s="11"/>
      <c r="D116" s="10"/>
      <c r="E116" s="9" t="n">
        <v>1</v>
      </c>
      <c r="F116" s="11" t="s">
        <v>50</v>
      </c>
      <c r="G116" s="11" t="s">
        <v>553</v>
      </c>
      <c r="H116" s="11" t="s">
        <v>554</v>
      </c>
      <c r="I116" s="10"/>
      <c r="J116" s="9" t="n">
        <v>4</v>
      </c>
      <c r="K116" s="9" t="s">
        <v>67</v>
      </c>
      <c r="L116" s="9" t="s">
        <v>555</v>
      </c>
      <c r="M116" s="11" t="s">
        <v>556</v>
      </c>
      <c r="N116" s="12"/>
      <c r="O116" s="9"/>
      <c r="P116" s="9"/>
      <c r="Q116" s="9"/>
      <c r="R116" s="11"/>
      <c r="S116" s="10"/>
      <c r="T116" s="9"/>
      <c r="U116" s="9"/>
      <c r="V116" s="9"/>
      <c r="W116" s="9"/>
      <c r="X116" s="9"/>
      <c r="Y116" s="9" t="n">
        <f aca="false">Table3[[#This Row],[E1Y]]+X$2</f>
        <v>23.6</v>
      </c>
      <c r="Z116" s="9" t="n">
        <f aca="false">Table3[[#This Row],[E1TY]]+W$2</f>
        <v>22.5</v>
      </c>
      <c r="AA116" s="9" t="n">
        <f aca="false">T$2+U$2*(Table3[[#This Row],[Effect 1 Y]]-1)</f>
        <v>29.6</v>
      </c>
      <c r="AB116" s="9" t="n">
        <f aca="false">Table3[[#This Row],[E2Y]]+X$2</f>
        <v>39.8</v>
      </c>
      <c r="AC116" s="9" t="n">
        <f aca="false">Table3[[#This Row],[E2TY]]+W$2</f>
        <v>38.7</v>
      </c>
      <c r="AD116" s="9" t="n">
        <f aca="false">T$2+U$2*(Table3[[#This Row],[Effect 2 Y]]-1)+V$2</f>
        <v>45.8</v>
      </c>
      <c r="AE116" s="9" t="n">
        <f aca="false">Table3[[#This Row],[E3Y]]+X$2</f>
        <v>25.2</v>
      </c>
      <c r="AF116" s="9" t="n">
        <f aca="false">Table3[[#This Row],[E3TY]]+W$2</f>
        <v>24.1</v>
      </c>
      <c r="AG116" s="11" t="n">
        <f aca="false">T$2+U$2*(Table3[[#This Row],[Effect 3 Y]]-1)+2*V$2</f>
        <v>31.2</v>
      </c>
    </row>
    <row r="117" customFormat="false" ht="44.55" hidden="false" customHeight="false" outlineLevel="0" collapsed="false">
      <c r="A117" s="7" t="s">
        <v>557</v>
      </c>
      <c r="B117" s="20" t="s">
        <v>351</v>
      </c>
      <c r="C117" s="11"/>
      <c r="D117" s="10"/>
      <c r="E117" s="9" t="n">
        <v>1</v>
      </c>
      <c r="F117" s="11" t="s">
        <v>67</v>
      </c>
      <c r="G117" s="11" t="s">
        <v>558</v>
      </c>
      <c r="H117" s="11" t="s">
        <v>380</v>
      </c>
      <c r="I117" s="10"/>
      <c r="J117" s="9" t="n">
        <v>3</v>
      </c>
      <c r="K117" s="9" t="s">
        <v>35</v>
      </c>
      <c r="L117" s="9" t="s">
        <v>559</v>
      </c>
      <c r="M117" s="11" t="s">
        <v>560</v>
      </c>
      <c r="N117" s="12"/>
      <c r="O117" s="9"/>
      <c r="P117" s="9"/>
      <c r="Q117" s="9"/>
      <c r="R117" s="11"/>
      <c r="S117" s="10"/>
      <c r="T117" s="9"/>
      <c r="U117" s="9"/>
      <c r="V117" s="9"/>
      <c r="W117" s="9"/>
      <c r="X117" s="9"/>
      <c r="Y117" s="9" t="n">
        <f aca="false">Table3[[#This Row],[E1Y]]+X$2</f>
        <v>23.6</v>
      </c>
      <c r="Z117" s="9" t="n">
        <f aca="false">Table3[[#This Row],[E1TY]]+W$2</f>
        <v>22.5</v>
      </c>
      <c r="AA117" s="9" t="n">
        <f aca="false">T$2+U$2*(Table3[[#This Row],[Effect 1 Y]]-1)</f>
        <v>29.6</v>
      </c>
      <c r="AB117" s="9" t="n">
        <f aca="false">Table3[[#This Row],[E2Y]]+X$2</f>
        <v>35.4</v>
      </c>
      <c r="AC117" s="9" t="n">
        <f aca="false">Table3[[#This Row],[E2TY]]+W$2</f>
        <v>34.3</v>
      </c>
      <c r="AD117" s="9" t="n">
        <f aca="false">T$2+U$2*(Table3[[#This Row],[Effect 2 Y]]-1)+V$2</f>
        <v>41.4</v>
      </c>
      <c r="AE117" s="9" t="n">
        <f aca="false">Table3[[#This Row],[E3Y]]+X$2</f>
        <v>25.2</v>
      </c>
      <c r="AF117" s="9" t="n">
        <f aca="false">Table3[[#This Row],[E3TY]]+W$2</f>
        <v>24.1</v>
      </c>
      <c r="AG117" s="11" t="n">
        <f aca="false">T$2+U$2*(Table3[[#This Row],[Effect 3 Y]]-1)+2*V$2</f>
        <v>31.2</v>
      </c>
    </row>
    <row r="118" customFormat="false" ht="22.85" hidden="false" customHeight="false" outlineLevel="0" collapsed="false">
      <c r="A118" s="7" t="s">
        <v>561</v>
      </c>
      <c r="B118" s="20" t="s">
        <v>351</v>
      </c>
      <c r="C118" s="11"/>
      <c r="D118" s="10"/>
      <c r="E118" s="9" t="n">
        <v>1</v>
      </c>
      <c r="F118" s="11" t="s">
        <v>67</v>
      </c>
      <c r="G118" s="11" t="s">
        <v>562</v>
      </c>
      <c r="H118" s="11" t="s">
        <v>563</v>
      </c>
      <c r="I118" s="10"/>
      <c r="J118" s="9" t="n">
        <v>3</v>
      </c>
      <c r="K118" s="9" t="s">
        <v>218</v>
      </c>
      <c r="L118" s="9" t="s">
        <v>564</v>
      </c>
      <c r="M118" s="9" t="s">
        <v>565</v>
      </c>
      <c r="N118" s="12"/>
      <c r="O118" s="9" t="n">
        <v>10</v>
      </c>
      <c r="P118" s="9" t="s">
        <v>356</v>
      </c>
      <c r="Q118" s="9" t="s">
        <v>357</v>
      </c>
      <c r="R118" s="11" t="s">
        <v>566</v>
      </c>
      <c r="S118" s="10"/>
      <c r="T118" s="9"/>
      <c r="U118" s="9"/>
      <c r="V118" s="9"/>
      <c r="W118" s="9"/>
      <c r="X118" s="9"/>
      <c r="Y118" s="9" t="n">
        <f aca="false">Table3[[#This Row],[E1Y]]+X$2</f>
        <v>23.6</v>
      </c>
      <c r="Z118" s="9" t="n">
        <f aca="false">Table3[[#This Row],[E1TY]]+W$2</f>
        <v>22.5</v>
      </c>
      <c r="AA118" s="9" t="n">
        <f aca="false">T$2+U$2*(Table3[[#This Row],[Effect 1 Y]]-1)</f>
        <v>29.6</v>
      </c>
      <c r="AB118" s="9" t="n">
        <f aca="false">Table3[[#This Row],[E2Y]]+X$2</f>
        <v>35.4</v>
      </c>
      <c r="AC118" s="9" t="n">
        <f aca="false">Table3[[#This Row],[E2TY]]+W$2</f>
        <v>34.3</v>
      </c>
      <c r="AD118" s="9" t="n">
        <f aca="false">T$2+U$2*(Table3[[#This Row],[Effect 2 Y]]-1)+V$2</f>
        <v>41.4</v>
      </c>
      <c r="AE118" s="9" t="n">
        <f aca="false">Table3[[#This Row],[E3Y]]+X$2</f>
        <v>69.2</v>
      </c>
      <c r="AF118" s="9" t="n">
        <f aca="false">Table3[[#This Row],[E3TY]]+W$2</f>
        <v>68.1</v>
      </c>
      <c r="AG118" s="11" t="n">
        <f aca="false">T$2+U$2*(Table3[[#This Row],[Effect 3 Y]]-1)+2*V$2</f>
        <v>75.2</v>
      </c>
    </row>
    <row r="119" customFormat="false" ht="44.55" hidden="false" customHeight="false" outlineLevel="0" collapsed="false">
      <c r="A119" s="7" t="s">
        <v>567</v>
      </c>
      <c r="B119" s="20" t="s">
        <v>351</v>
      </c>
      <c r="C119" s="11"/>
      <c r="D119" s="10"/>
      <c r="E119" s="9" t="n">
        <v>1</v>
      </c>
      <c r="F119" s="11" t="s">
        <v>67</v>
      </c>
      <c r="G119" s="11" t="s">
        <v>568</v>
      </c>
      <c r="H119" s="11" t="s">
        <v>451</v>
      </c>
      <c r="I119" s="10"/>
      <c r="J119" s="9" t="n">
        <v>3</v>
      </c>
      <c r="K119" s="9" t="s">
        <v>50</v>
      </c>
      <c r="L119" s="9" t="s">
        <v>569</v>
      </c>
      <c r="M119" s="9" t="s">
        <v>570</v>
      </c>
      <c r="N119" s="12"/>
      <c r="O119" s="9"/>
      <c r="P119" s="9"/>
      <c r="Q119" s="9"/>
      <c r="R119" s="11"/>
      <c r="S119" s="10"/>
      <c r="T119" s="9"/>
      <c r="U119" s="9"/>
      <c r="V119" s="9"/>
      <c r="W119" s="9"/>
      <c r="X119" s="9"/>
      <c r="Y119" s="9" t="n">
        <f aca="false">Table3[[#This Row],[E1Y]]+X$2</f>
        <v>23.6</v>
      </c>
      <c r="Z119" s="9" t="n">
        <f aca="false">Table3[[#This Row],[E1TY]]+W$2</f>
        <v>22.5</v>
      </c>
      <c r="AA119" s="9" t="n">
        <f aca="false">T$2+U$2*(Table3[[#This Row],[Effect 1 Y]]-1)</f>
        <v>29.6</v>
      </c>
      <c r="AB119" s="9" t="n">
        <f aca="false">Table3[[#This Row],[E2Y]]+X$2</f>
        <v>35.4</v>
      </c>
      <c r="AC119" s="9" t="n">
        <f aca="false">Table3[[#This Row],[E2TY]]+W$2</f>
        <v>34.3</v>
      </c>
      <c r="AD119" s="9" t="n">
        <f aca="false">T$2+U$2*(Table3[[#This Row],[Effect 2 Y]]-1)+V$2</f>
        <v>41.4</v>
      </c>
      <c r="AE119" s="9" t="n">
        <f aca="false">Table3[[#This Row],[E3Y]]+X$2</f>
        <v>25.2</v>
      </c>
      <c r="AF119" s="9" t="n">
        <f aca="false">Table3[[#This Row],[E3TY]]+W$2</f>
        <v>24.1</v>
      </c>
      <c r="AG119" s="11" t="n">
        <f aca="false">T$2+U$2*(Table3[[#This Row],[Effect 3 Y]]-1)+2*V$2</f>
        <v>31.2</v>
      </c>
    </row>
    <row r="120" customFormat="false" ht="22.85" hidden="false" customHeight="false" outlineLevel="0" collapsed="false">
      <c r="A120" s="7" t="s">
        <v>571</v>
      </c>
      <c r="B120" s="20" t="s">
        <v>351</v>
      </c>
      <c r="C120" s="11"/>
      <c r="D120" s="10"/>
      <c r="E120" s="9" t="n">
        <v>1</v>
      </c>
      <c r="F120" s="11" t="s">
        <v>67</v>
      </c>
      <c r="G120" s="11" t="s">
        <v>572</v>
      </c>
      <c r="H120" s="11" t="s">
        <v>573</v>
      </c>
      <c r="I120" s="10"/>
      <c r="J120" s="9"/>
      <c r="K120" s="9"/>
      <c r="L120" s="9"/>
      <c r="M120" s="11"/>
      <c r="N120" s="12"/>
      <c r="O120" s="9"/>
      <c r="P120" s="9"/>
      <c r="Q120" s="9"/>
      <c r="R120" s="11"/>
      <c r="S120" s="10"/>
      <c r="T120" s="9"/>
      <c r="U120" s="9"/>
      <c r="V120" s="9"/>
      <c r="W120" s="9"/>
      <c r="X120" s="9"/>
      <c r="Y120" s="9" t="n">
        <f aca="false">Table3[[#This Row],[E1Y]]+X$2</f>
        <v>23.6</v>
      </c>
      <c r="Z120" s="9" t="n">
        <f aca="false">Table3[[#This Row],[E1TY]]+W$2</f>
        <v>22.5</v>
      </c>
      <c r="AA120" s="9" t="n">
        <f aca="false">T$2+U$2*(Table3[[#This Row],[Effect 1 Y]]-1)</f>
        <v>29.6</v>
      </c>
      <c r="AB120" s="9" t="n">
        <f aca="false">Table3[[#This Row],[E2Y]]+X$2</f>
        <v>22.2</v>
      </c>
      <c r="AC120" s="9" t="n">
        <f aca="false">Table3[[#This Row],[E2TY]]+W$2</f>
        <v>21.1</v>
      </c>
      <c r="AD120" s="9" t="n">
        <f aca="false">T$2+U$2*(Table3[[#This Row],[Effect 2 Y]]-1)+V$2</f>
        <v>28.2</v>
      </c>
      <c r="AE120" s="9" t="n">
        <f aca="false">Table3[[#This Row],[E3Y]]+X$2</f>
        <v>25.2</v>
      </c>
      <c r="AF120" s="9" t="n">
        <f aca="false">Table3[[#This Row],[E3TY]]+W$2</f>
        <v>24.1</v>
      </c>
      <c r="AG120" s="11" t="n">
        <f aca="false">T$2+U$2*(Table3[[#This Row],[Effect 3 Y]]-1)+2*V$2</f>
        <v>31.2</v>
      </c>
    </row>
    <row r="121" customFormat="false" ht="14.25" hidden="false" customHeight="false" outlineLevel="0" collapsed="false">
      <c r="A121" s="23"/>
      <c r="B121" s="23"/>
      <c r="C121" s="23"/>
      <c r="D121" s="23"/>
      <c r="E121" s="23"/>
      <c r="F121" s="24"/>
      <c r="G121" s="24"/>
      <c r="H121" s="23"/>
      <c r="I121" s="23"/>
      <c r="J121" s="23"/>
      <c r="K121" s="24"/>
      <c r="L121" s="24"/>
      <c r="M121" s="25"/>
      <c r="N121" s="23"/>
      <c r="O121" s="23"/>
      <c r="P121" s="24"/>
      <c r="Q121" s="24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4"/>
    </row>
    <row r="122" customFormat="false" ht="14.25" hidden="false" customHeight="false" outlineLevel="0" collapsed="false">
      <c r="A122" s="23"/>
      <c r="B122" s="23"/>
      <c r="C122" s="23"/>
      <c r="D122" s="23"/>
      <c r="E122" s="23"/>
      <c r="F122" s="24"/>
      <c r="G122" s="24"/>
      <c r="H122" s="23"/>
      <c r="I122" s="23"/>
      <c r="J122" s="23"/>
      <c r="K122" s="24"/>
      <c r="L122" s="24"/>
      <c r="M122" s="25"/>
      <c r="N122" s="23"/>
      <c r="O122" s="23"/>
      <c r="P122" s="24"/>
      <c r="Q122" s="24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4"/>
    </row>
    <row r="123" customFormat="false" ht="14.25" hidden="false" customHeight="false" outlineLevel="0" collapsed="false">
      <c r="A123" s="23"/>
      <c r="B123" s="23"/>
      <c r="C123" s="23"/>
      <c r="D123" s="23"/>
      <c r="E123" s="23"/>
      <c r="F123" s="24"/>
      <c r="G123" s="24"/>
      <c r="H123" s="23"/>
      <c r="I123" s="23"/>
      <c r="J123" s="23"/>
      <c r="K123" s="24"/>
      <c r="L123" s="24"/>
      <c r="M123" s="25"/>
      <c r="N123" s="23"/>
      <c r="O123" s="23"/>
      <c r="P123" s="24"/>
      <c r="Q123" s="24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4"/>
    </row>
    <row r="124" customFormat="false" ht="14.25" hidden="false" customHeight="false" outlineLevel="0" collapsed="false">
      <c r="A124" s="23"/>
      <c r="B124" s="23"/>
      <c r="C124" s="23"/>
      <c r="D124" s="23"/>
      <c r="E124" s="23"/>
      <c r="F124" s="24"/>
      <c r="G124" s="24"/>
      <c r="H124" s="23"/>
      <c r="I124" s="23"/>
      <c r="J124" s="23"/>
      <c r="K124" s="24"/>
      <c r="L124" s="24"/>
      <c r="M124" s="25"/>
      <c r="N124" s="23"/>
      <c r="O124" s="23"/>
      <c r="P124" s="24"/>
      <c r="Q124" s="24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4"/>
    </row>
    <row r="125" customFormat="false" ht="14.25" hidden="false" customHeight="false" outlineLevel="0" collapsed="false">
      <c r="A125" s="23"/>
      <c r="B125" s="23"/>
      <c r="C125" s="23"/>
      <c r="D125" s="23"/>
      <c r="E125" s="23"/>
      <c r="F125" s="24"/>
      <c r="G125" s="24"/>
      <c r="H125" s="23"/>
      <c r="I125" s="23"/>
      <c r="J125" s="23"/>
      <c r="K125" s="24"/>
      <c r="L125" s="24"/>
      <c r="M125" s="25"/>
      <c r="N125" s="23"/>
      <c r="O125" s="23"/>
      <c r="P125" s="24"/>
      <c r="Q125" s="24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4"/>
    </row>
    <row r="126" customFormat="false" ht="14.25" hidden="false" customHeight="false" outlineLevel="0" collapsed="false">
      <c r="A126" s="23"/>
      <c r="B126" s="23"/>
      <c r="C126" s="23"/>
      <c r="D126" s="23"/>
      <c r="E126" s="23"/>
      <c r="F126" s="24"/>
      <c r="G126" s="24"/>
      <c r="H126" s="23"/>
      <c r="I126" s="23"/>
      <c r="J126" s="23"/>
      <c r="K126" s="24"/>
      <c r="L126" s="24"/>
      <c r="M126" s="25"/>
      <c r="N126" s="23"/>
      <c r="O126" s="23"/>
      <c r="P126" s="24"/>
      <c r="Q126" s="24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4"/>
    </row>
    <row r="127" customFormat="false" ht="14.25" hidden="false" customHeight="false" outlineLevel="0" collapsed="false">
      <c r="A127" s="23"/>
      <c r="B127" s="23"/>
      <c r="C127" s="23"/>
      <c r="D127" s="23"/>
      <c r="E127" s="23"/>
      <c r="F127" s="24"/>
      <c r="G127" s="24"/>
      <c r="H127" s="23"/>
      <c r="I127" s="23"/>
      <c r="J127" s="23"/>
      <c r="K127" s="24"/>
      <c r="L127" s="24"/>
      <c r="M127" s="25"/>
      <c r="N127" s="23"/>
      <c r="O127" s="23"/>
      <c r="P127" s="24"/>
      <c r="Q127" s="24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4"/>
    </row>
    <row r="128" customFormat="false" ht="14.25" hidden="false" customHeight="false" outlineLevel="0" collapsed="false">
      <c r="A128" s="23"/>
      <c r="B128" s="23"/>
      <c r="C128" s="23"/>
      <c r="D128" s="23"/>
      <c r="E128" s="23"/>
      <c r="F128" s="24"/>
      <c r="G128" s="24"/>
      <c r="H128" s="23"/>
      <c r="I128" s="23"/>
      <c r="J128" s="23"/>
      <c r="K128" s="24"/>
      <c r="L128" s="24"/>
      <c r="M128" s="25"/>
      <c r="N128" s="23"/>
      <c r="O128" s="23"/>
      <c r="P128" s="24"/>
      <c r="Q128" s="24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4"/>
    </row>
    <row r="129" customFormat="false" ht="14.25" hidden="false" customHeight="false" outlineLevel="0" collapsed="false">
      <c r="A129" s="23"/>
      <c r="B129" s="23"/>
      <c r="C129" s="23"/>
      <c r="D129" s="23"/>
      <c r="E129" s="23"/>
      <c r="F129" s="24"/>
      <c r="G129" s="24"/>
      <c r="H129" s="23"/>
      <c r="I129" s="23"/>
      <c r="J129" s="23"/>
      <c r="K129" s="24"/>
      <c r="L129" s="24"/>
      <c r="M129" s="25"/>
      <c r="N129" s="23"/>
      <c r="O129" s="23"/>
      <c r="P129" s="24"/>
      <c r="Q129" s="24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4"/>
    </row>
    <row r="130" customFormat="false" ht="14.25" hidden="false" customHeight="false" outlineLevel="0" collapsed="false">
      <c r="A130" s="23"/>
      <c r="B130" s="23"/>
      <c r="C130" s="23"/>
      <c r="D130" s="23"/>
      <c r="E130" s="23"/>
      <c r="F130" s="24"/>
      <c r="G130" s="24"/>
      <c r="H130" s="23"/>
      <c r="I130" s="23"/>
      <c r="J130" s="23"/>
      <c r="K130" s="24"/>
      <c r="L130" s="24"/>
      <c r="M130" s="25"/>
      <c r="N130" s="23"/>
      <c r="O130" s="23"/>
      <c r="P130" s="24"/>
      <c r="Q130" s="24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4"/>
    </row>
    <row r="131" customFormat="false" ht="14.25" hidden="false" customHeight="false" outlineLevel="0" collapsed="false">
      <c r="A131" s="23"/>
      <c r="B131" s="23"/>
      <c r="C131" s="23"/>
      <c r="D131" s="23"/>
      <c r="E131" s="23"/>
      <c r="F131" s="24"/>
      <c r="G131" s="24"/>
      <c r="H131" s="23"/>
      <c r="I131" s="23"/>
      <c r="J131" s="23"/>
      <c r="K131" s="24"/>
      <c r="L131" s="24"/>
      <c r="M131" s="25"/>
      <c r="N131" s="23"/>
      <c r="O131" s="23"/>
      <c r="P131" s="24"/>
      <c r="Q131" s="24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4"/>
    </row>
    <row r="132" customFormat="false" ht="14.25" hidden="false" customHeight="false" outlineLevel="0" collapsed="false">
      <c r="A132" s="23"/>
      <c r="B132" s="23"/>
      <c r="C132" s="23"/>
      <c r="D132" s="23"/>
      <c r="E132" s="23"/>
      <c r="F132" s="24"/>
      <c r="G132" s="24"/>
      <c r="H132" s="23"/>
      <c r="I132" s="23"/>
      <c r="J132" s="23"/>
      <c r="K132" s="24"/>
      <c r="L132" s="24"/>
      <c r="M132" s="25"/>
      <c r="N132" s="23"/>
      <c r="O132" s="23"/>
      <c r="P132" s="24"/>
      <c r="Q132" s="24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4"/>
    </row>
    <row r="133" customFormat="false" ht="14.25" hidden="false" customHeight="false" outlineLevel="0" collapsed="false">
      <c r="A133" s="23"/>
      <c r="B133" s="23"/>
      <c r="C133" s="23"/>
      <c r="D133" s="23"/>
      <c r="E133" s="23"/>
      <c r="F133" s="24"/>
      <c r="G133" s="24"/>
      <c r="H133" s="23"/>
      <c r="I133" s="23"/>
      <c r="J133" s="23"/>
      <c r="K133" s="24"/>
      <c r="L133" s="24"/>
      <c r="M133" s="25"/>
      <c r="N133" s="23"/>
      <c r="O133" s="23"/>
      <c r="P133" s="24"/>
      <c r="Q133" s="24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4"/>
    </row>
    <row r="134" customFormat="false" ht="14.25" hidden="false" customHeight="false" outlineLevel="0" collapsed="false">
      <c r="A134" s="23"/>
      <c r="B134" s="23"/>
      <c r="C134" s="23"/>
      <c r="D134" s="23"/>
      <c r="E134" s="23"/>
      <c r="F134" s="24"/>
      <c r="G134" s="24"/>
      <c r="H134" s="23"/>
      <c r="I134" s="23"/>
      <c r="J134" s="23"/>
      <c r="K134" s="24"/>
      <c r="L134" s="24"/>
      <c r="M134" s="25"/>
      <c r="N134" s="23"/>
      <c r="O134" s="23"/>
      <c r="P134" s="24"/>
      <c r="Q134" s="24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4"/>
    </row>
    <row r="135" customFormat="false" ht="14.25" hidden="false" customHeight="false" outlineLevel="0" collapsed="false">
      <c r="A135" s="23"/>
      <c r="B135" s="23"/>
      <c r="C135" s="23"/>
      <c r="D135" s="23"/>
      <c r="E135" s="23"/>
      <c r="F135" s="24"/>
      <c r="G135" s="24"/>
      <c r="H135" s="23"/>
      <c r="I135" s="23"/>
      <c r="J135" s="23"/>
      <c r="K135" s="24"/>
      <c r="L135" s="24"/>
      <c r="M135" s="25"/>
      <c r="N135" s="23"/>
      <c r="O135" s="23"/>
      <c r="P135" s="24"/>
      <c r="Q135" s="24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4"/>
    </row>
    <row r="136" customFormat="false" ht="14.25" hidden="false" customHeight="false" outlineLevel="0" collapsed="false">
      <c r="A136" s="23"/>
      <c r="B136" s="23"/>
      <c r="C136" s="23"/>
      <c r="D136" s="23"/>
      <c r="E136" s="23"/>
      <c r="F136" s="24"/>
      <c r="G136" s="24"/>
      <c r="H136" s="23"/>
      <c r="I136" s="23"/>
      <c r="J136" s="23"/>
      <c r="K136" s="24"/>
      <c r="L136" s="24"/>
      <c r="M136" s="25"/>
      <c r="N136" s="23"/>
      <c r="O136" s="23"/>
      <c r="P136" s="24"/>
      <c r="Q136" s="24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4"/>
    </row>
    <row r="137" customFormat="false" ht="14.25" hidden="false" customHeight="false" outlineLevel="0" collapsed="false">
      <c r="A137" s="23"/>
      <c r="B137" s="23"/>
      <c r="C137" s="23"/>
      <c r="D137" s="23"/>
      <c r="E137" s="23"/>
      <c r="F137" s="24"/>
      <c r="G137" s="24"/>
      <c r="H137" s="23"/>
      <c r="I137" s="23"/>
      <c r="J137" s="23"/>
      <c r="K137" s="24"/>
      <c r="L137" s="24"/>
      <c r="M137" s="25"/>
      <c r="N137" s="23"/>
      <c r="O137" s="23"/>
      <c r="P137" s="24"/>
      <c r="Q137" s="24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4"/>
    </row>
    <row r="138" customFormat="false" ht="14.25" hidden="false" customHeight="false" outlineLevel="0" collapsed="false">
      <c r="A138" s="23"/>
      <c r="B138" s="23"/>
      <c r="C138" s="23"/>
      <c r="D138" s="23"/>
      <c r="E138" s="23"/>
      <c r="F138" s="24"/>
      <c r="G138" s="24"/>
      <c r="H138" s="23"/>
      <c r="I138" s="23"/>
      <c r="J138" s="23"/>
      <c r="K138" s="24"/>
      <c r="L138" s="24"/>
      <c r="M138" s="25"/>
      <c r="N138" s="23"/>
      <c r="O138" s="23"/>
      <c r="P138" s="24"/>
      <c r="Q138" s="24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4"/>
    </row>
    <row r="139" customFormat="false" ht="14.25" hidden="false" customHeight="false" outlineLevel="0" collapsed="false">
      <c r="A139" s="23"/>
      <c r="B139" s="23"/>
      <c r="C139" s="23"/>
      <c r="D139" s="23"/>
      <c r="E139" s="23"/>
      <c r="F139" s="24"/>
      <c r="G139" s="24"/>
      <c r="H139" s="23"/>
      <c r="I139" s="23"/>
      <c r="J139" s="23"/>
      <c r="K139" s="24"/>
      <c r="L139" s="24"/>
      <c r="M139" s="25"/>
      <c r="N139" s="23"/>
      <c r="O139" s="23"/>
      <c r="P139" s="24"/>
      <c r="Q139" s="24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4"/>
    </row>
    <row r="140" customFormat="false" ht="14.25" hidden="false" customHeight="false" outlineLevel="0" collapsed="false">
      <c r="A140" s="23"/>
      <c r="B140" s="23"/>
      <c r="C140" s="23"/>
      <c r="D140" s="23"/>
      <c r="E140" s="23"/>
      <c r="F140" s="24"/>
      <c r="G140" s="24"/>
      <c r="H140" s="23"/>
      <c r="I140" s="23"/>
      <c r="J140" s="23"/>
      <c r="K140" s="24"/>
      <c r="L140" s="24"/>
      <c r="M140" s="25"/>
      <c r="N140" s="23"/>
      <c r="O140" s="23"/>
      <c r="P140" s="24"/>
      <c r="Q140" s="24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4"/>
    </row>
    <row r="141" customFormat="false" ht="14.25" hidden="false" customHeight="false" outlineLevel="0" collapsed="false">
      <c r="A141" s="23"/>
      <c r="B141" s="23"/>
      <c r="C141" s="23"/>
      <c r="D141" s="23"/>
      <c r="E141" s="23"/>
      <c r="F141" s="24"/>
      <c r="G141" s="24"/>
      <c r="H141" s="23"/>
      <c r="I141" s="23"/>
      <c r="J141" s="23"/>
      <c r="K141" s="24"/>
      <c r="L141" s="24"/>
      <c r="M141" s="25"/>
      <c r="N141" s="23"/>
      <c r="O141" s="23"/>
      <c r="P141" s="24"/>
      <c r="Q141" s="24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4"/>
    </row>
    <row r="142" customFormat="false" ht="14.25" hidden="false" customHeight="false" outlineLevel="0" collapsed="false">
      <c r="A142" s="23"/>
      <c r="B142" s="23"/>
      <c r="C142" s="23"/>
      <c r="D142" s="23"/>
      <c r="E142" s="23"/>
      <c r="F142" s="24"/>
      <c r="G142" s="24"/>
      <c r="H142" s="23"/>
      <c r="I142" s="23"/>
      <c r="J142" s="23"/>
      <c r="K142" s="24"/>
      <c r="L142" s="24"/>
      <c r="M142" s="25"/>
      <c r="N142" s="23"/>
      <c r="O142" s="23"/>
      <c r="P142" s="24"/>
      <c r="Q142" s="24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4"/>
    </row>
    <row r="143" customFormat="false" ht="14.25" hidden="false" customHeight="false" outlineLevel="0" collapsed="false">
      <c r="A143" s="23"/>
      <c r="B143" s="23"/>
      <c r="C143" s="23"/>
      <c r="D143" s="23"/>
      <c r="E143" s="23"/>
      <c r="F143" s="24"/>
      <c r="G143" s="24"/>
      <c r="H143" s="23"/>
      <c r="I143" s="23"/>
      <c r="J143" s="23"/>
      <c r="K143" s="24"/>
      <c r="L143" s="24"/>
      <c r="M143" s="25"/>
      <c r="N143" s="23"/>
      <c r="O143" s="23"/>
      <c r="P143" s="24"/>
      <c r="Q143" s="24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4"/>
    </row>
    <row r="144" customFormat="false" ht="14.25" hidden="false" customHeight="false" outlineLevel="0" collapsed="false">
      <c r="A144" s="23"/>
      <c r="B144" s="23"/>
      <c r="C144" s="23"/>
      <c r="D144" s="23"/>
      <c r="E144" s="23"/>
      <c r="F144" s="24"/>
      <c r="G144" s="24"/>
      <c r="H144" s="23"/>
      <c r="I144" s="23"/>
      <c r="J144" s="23"/>
      <c r="K144" s="24"/>
      <c r="L144" s="24"/>
      <c r="M144" s="25"/>
      <c r="N144" s="23"/>
      <c r="O144" s="23"/>
      <c r="P144" s="24"/>
      <c r="Q144" s="24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4"/>
    </row>
    <row r="145" customFormat="false" ht="14.25" hidden="false" customHeight="false" outlineLevel="0" collapsed="false">
      <c r="A145" s="23"/>
      <c r="B145" s="23"/>
      <c r="C145" s="23"/>
      <c r="D145" s="23"/>
      <c r="E145" s="23"/>
      <c r="F145" s="24"/>
      <c r="G145" s="24"/>
      <c r="H145" s="23"/>
      <c r="I145" s="23"/>
      <c r="J145" s="23"/>
      <c r="K145" s="24"/>
      <c r="L145" s="24"/>
      <c r="M145" s="25"/>
      <c r="N145" s="23"/>
      <c r="O145" s="23"/>
      <c r="P145" s="24"/>
      <c r="Q145" s="24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4"/>
    </row>
    <row r="146" customFormat="false" ht="14.25" hidden="false" customHeight="false" outlineLevel="0" collapsed="false">
      <c r="A146" s="23"/>
      <c r="B146" s="23"/>
      <c r="C146" s="23"/>
      <c r="D146" s="23"/>
      <c r="E146" s="23"/>
      <c r="F146" s="24"/>
      <c r="G146" s="24"/>
      <c r="H146" s="23"/>
      <c r="I146" s="23"/>
      <c r="J146" s="23"/>
      <c r="K146" s="24"/>
      <c r="L146" s="24"/>
      <c r="M146" s="25"/>
      <c r="N146" s="23"/>
      <c r="O146" s="23"/>
      <c r="P146" s="24"/>
      <c r="Q146" s="24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4"/>
    </row>
    <row r="147" customFormat="false" ht="14.25" hidden="false" customHeight="false" outlineLevel="0" collapsed="false">
      <c r="A147" s="23"/>
      <c r="B147" s="23"/>
      <c r="C147" s="23"/>
      <c r="D147" s="23"/>
      <c r="E147" s="23"/>
      <c r="F147" s="24"/>
      <c r="G147" s="24"/>
      <c r="H147" s="23"/>
      <c r="I147" s="23"/>
      <c r="J147" s="23"/>
      <c r="K147" s="24"/>
      <c r="L147" s="24"/>
      <c r="M147" s="25"/>
      <c r="N147" s="23"/>
      <c r="O147" s="23"/>
      <c r="P147" s="24"/>
      <c r="Q147" s="24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4"/>
    </row>
    <row r="148" customFormat="false" ht="14.25" hidden="false" customHeight="false" outlineLevel="0" collapsed="false">
      <c r="A148" s="23"/>
      <c r="B148" s="23"/>
      <c r="C148" s="23"/>
      <c r="D148" s="23"/>
      <c r="E148" s="23"/>
      <c r="F148" s="24"/>
      <c r="G148" s="24"/>
      <c r="H148" s="23"/>
      <c r="I148" s="23"/>
      <c r="J148" s="23"/>
      <c r="K148" s="24"/>
      <c r="L148" s="24"/>
      <c r="M148" s="25"/>
      <c r="N148" s="23"/>
      <c r="O148" s="23"/>
      <c r="P148" s="24"/>
      <c r="Q148" s="24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4"/>
    </row>
    <row r="149" customFormat="false" ht="14.25" hidden="false" customHeight="false" outlineLevel="0" collapsed="false">
      <c r="A149" s="23"/>
      <c r="B149" s="23"/>
      <c r="C149" s="23"/>
      <c r="D149" s="23"/>
      <c r="E149" s="23"/>
      <c r="F149" s="24"/>
      <c r="G149" s="24"/>
      <c r="H149" s="23"/>
      <c r="I149" s="23"/>
      <c r="J149" s="23"/>
      <c r="K149" s="24"/>
      <c r="L149" s="24"/>
      <c r="M149" s="25"/>
      <c r="N149" s="23"/>
      <c r="O149" s="23"/>
      <c r="P149" s="24"/>
      <c r="Q149" s="24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4"/>
    </row>
    <row r="150" customFormat="false" ht="14.25" hidden="false" customHeight="false" outlineLevel="0" collapsed="false">
      <c r="A150" s="23"/>
      <c r="B150" s="23"/>
      <c r="C150" s="23"/>
      <c r="D150" s="23"/>
      <c r="E150" s="23"/>
      <c r="F150" s="24"/>
      <c r="G150" s="24"/>
      <c r="H150" s="23"/>
      <c r="I150" s="23"/>
      <c r="J150" s="23"/>
      <c r="K150" s="24"/>
      <c r="L150" s="24"/>
      <c r="M150" s="25"/>
      <c r="N150" s="23"/>
      <c r="O150" s="23"/>
      <c r="P150" s="24"/>
      <c r="Q150" s="24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4"/>
    </row>
    <row r="151" customFormat="false" ht="14.25" hidden="false" customHeight="false" outlineLevel="0" collapsed="false">
      <c r="A151" s="23"/>
      <c r="B151" s="23"/>
      <c r="C151" s="23"/>
      <c r="D151" s="23"/>
      <c r="E151" s="23"/>
      <c r="F151" s="24"/>
      <c r="G151" s="24"/>
      <c r="H151" s="23"/>
      <c r="I151" s="23"/>
      <c r="J151" s="23"/>
      <c r="K151" s="24"/>
      <c r="L151" s="24"/>
      <c r="M151" s="25"/>
      <c r="N151" s="23"/>
      <c r="O151" s="23"/>
      <c r="P151" s="24"/>
      <c r="Q151" s="24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4"/>
    </row>
    <row r="152" customFormat="false" ht="14.25" hidden="false" customHeight="false" outlineLevel="0" collapsed="false">
      <c r="A152" s="23"/>
      <c r="B152" s="23"/>
      <c r="C152" s="23"/>
      <c r="D152" s="23"/>
      <c r="E152" s="23"/>
      <c r="F152" s="24"/>
      <c r="G152" s="24"/>
      <c r="H152" s="23"/>
      <c r="I152" s="23"/>
      <c r="J152" s="23"/>
      <c r="K152" s="24"/>
      <c r="L152" s="24"/>
      <c r="M152" s="25"/>
      <c r="N152" s="23"/>
      <c r="O152" s="23"/>
      <c r="P152" s="24"/>
      <c r="Q152" s="24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4"/>
    </row>
    <row r="153" customFormat="false" ht="14.25" hidden="false" customHeight="false" outlineLevel="0" collapsed="false">
      <c r="A153" s="23"/>
      <c r="B153" s="23"/>
      <c r="C153" s="23"/>
      <c r="D153" s="23"/>
      <c r="E153" s="23"/>
      <c r="F153" s="24"/>
      <c r="G153" s="24"/>
      <c r="H153" s="23"/>
      <c r="I153" s="23"/>
      <c r="J153" s="23"/>
      <c r="K153" s="24"/>
      <c r="L153" s="24"/>
      <c r="M153" s="25"/>
      <c r="N153" s="23"/>
      <c r="O153" s="23"/>
      <c r="P153" s="24"/>
      <c r="Q153" s="24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4"/>
    </row>
    <row r="154" customFormat="false" ht="14.25" hidden="false" customHeight="false" outlineLevel="0" collapsed="false">
      <c r="A154" s="23"/>
      <c r="B154" s="23"/>
      <c r="C154" s="23"/>
      <c r="D154" s="23"/>
      <c r="E154" s="23"/>
      <c r="F154" s="24"/>
      <c r="G154" s="24"/>
      <c r="H154" s="23"/>
      <c r="I154" s="23"/>
      <c r="J154" s="23"/>
      <c r="K154" s="24"/>
      <c r="L154" s="24"/>
      <c r="M154" s="25"/>
      <c r="N154" s="23"/>
      <c r="O154" s="23"/>
      <c r="P154" s="24"/>
      <c r="Q154" s="24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4"/>
    </row>
    <row r="155" customFormat="false" ht="14.25" hidden="false" customHeight="false" outlineLevel="0" collapsed="false">
      <c r="A155" s="23"/>
      <c r="B155" s="23"/>
      <c r="C155" s="23"/>
      <c r="D155" s="23"/>
      <c r="E155" s="23"/>
      <c r="F155" s="24"/>
      <c r="G155" s="24"/>
      <c r="H155" s="23"/>
      <c r="I155" s="23"/>
      <c r="J155" s="23"/>
      <c r="K155" s="24"/>
      <c r="L155" s="24"/>
      <c r="M155" s="25"/>
      <c r="N155" s="23"/>
      <c r="O155" s="23"/>
      <c r="P155" s="24"/>
      <c r="Q155" s="24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4"/>
    </row>
    <row r="156" customFormat="false" ht="14.25" hidden="false" customHeight="false" outlineLevel="0" collapsed="false">
      <c r="A156" s="23"/>
      <c r="B156" s="23"/>
      <c r="C156" s="23"/>
      <c r="D156" s="23"/>
      <c r="E156" s="23"/>
      <c r="F156" s="24"/>
      <c r="G156" s="24"/>
      <c r="H156" s="23"/>
      <c r="I156" s="23"/>
      <c r="J156" s="23"/>
      <c r="K156" s="24"/>
      <c r="L156" s="24"/>
      <c r="M156" s="25"/>
      <c r="N156" s="23"/>
      <c r="O156" s="23"/>
      <c r="P156" s="24"/>
      <c r="Q156" s="24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4"/>
    </row>
    <row r="157" customFormat="false" ht="14.25" hidden="false" customHeight="false" outlineLevel="0" collapsed="false">
      <c r="A157" s="23"/>
      <c r="B157" s="23"/>
      <c r="C157" s="23"/>
      <c r="D157" s="23"/>
      <c r="E157" s="23"/>
      <c r="F157" s="24"/>
      <c r="G157" s="24"/>
      <c r="H157" s="23"/>
      <c r="I157" s="23"/>
      <c r="J157" s="23"/>
      <c r="K157" s="24"/>
      <c r="L157" s="24"/>
      <c r="M157" s="25"/>
      <c r="N157" s="23"/>
      <c r="O157" s="23"/>
      <c r="P157" s="24"/>
      <c r="Q157" s="24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4"/>
    </row>
    <row r="158" customFormat="false" ht="14.25" hidden="false" customHeight="false" outlineLevel="0" collapsed="false">
      <c r="A158" s="23"/>
      <c r="B158" s="23"/>
      <c r="C158" s="23"/>
      <c r="D158" s="23"/>
      <c r="E158" s="23"/>
      <c r="F158" s="24"/>
      <c r="G158" s="24"/>
      <c r="H158" s="23"/>
      <c r="I158" s="23"/>
      <c r="J158" s="23"/>
      <c r="K158" s="24"/>
      <c r="L158" s="24"/>
      <c r="M158" s="25"/>
      <c r="N158" s="23"/>
      <c r="O158" s="23"/>
      <c r="P158" s="24"/>
      <c r="Q158" s="24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4"/>
    </row>
    <row r="159" customFormat="false" ht="14.25" hidden="false" customHeight="false" outlineLevel="0" collapsed="false">
      <c r="A159" s="23"/>
      <c r="B159" s="23"/>
      <c r="C159" s="23"/>
      <c r="D159" s="23"/>
      <c r="E159" s="23"/>
      <c r="F159" s="24"/>
      <c r="G159" s="24"/>
      <c r="H159" s="23"/>
      <c r="I159" s="23"/>
      <c r="J159" s="23"/>
      <c r="K159" s="24"/>
      <c r="L159" s="24"/>
      <c r="M159" s="25"/>
      <c r="N159" s="23"/>
      <c r="O159" s="23"/>
      <c r="P159" s="24"/>
      <c r="Q159" s="24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4"/>
    </row>
    <row r="160" customFormat="false" ht="14.25" hidden="false" customHeight="false" outlineLevel="0" collapsed="false">
      <c r="A160" s="23"/>
      <c r="B160" s="23"/>
      <c r="C160" s="23"/>
      <c r="D160" s="23"/>
      <c r="E160" s="23"/>
      <c r="F160" s="24"/>
      <c r="G160" s="24"/>
      <c r="H160" s="23"/>
      <c r="I160" s="23"/>
      <c r="J160" s="23"/>
      <c r="K160" s="24"/>
      <c r="L160" s="24"/>
      <c r="M160" s="25"/>
      <c r="N160" s="23"/>
      <c r="O160" s="23"/>
      <c r="P160" s="24"/>
      <c r="Q160" s="24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4"/>
    </row>
    <row r="161" customFormat="false" ht="14.25" hidden="false" customHeight="false" outlineLevel="0" collapsed="false">
      <c r="A161" s="23"/>
      <c r="B161" s="23"/>
      <c r="C161" s="23"/>
      <c r="D161" s="23"/>
      <c r="E161" s="23"/>
      <c r="F161" s="24"/>
      <c r="G161" s="24"/>
      <c r="H161" s="23"/>
      <c r="I161" s="23"/>
      <c r="J161" s="23"/>
      <c r="K161" s="24"/>
      <c r="L161" s="24"/>
      <c r="M161" s="25"/>
      <c r="N161" s="23"/>
      <c r="O161" s="23"/>
      <c r="P161" s="24"/>
      <c r="Q161" s="24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4"/>
    </row>
    <row r="162" customFormat="false" ht="14.25" hidden="false" customHeight="false" outlineLevel="0" collapsed="false">
      <c r="A162" s="23"/>
      <c r="B162" s="23"/>
      <c r="C162" s="23"/>
      <c r="D162" s="23"/>
      <c r="E162" s="23"/>
      <c r="F162" s="24"/>
      <c r="G162" s="24"/>
      <c r="H162" s="23"/>
      <c r="I162" s="23"/>
      <c r="J162" s="23"/>
      <c r="K162" s="24"/>
      <c r="L162" s="24"/>
      <c r="M162" s="25"/>
      <c r="N162" s="23"/>
      <c r="O162" s="23"/>
      <c r="P162" s="24"/>
      <c r="Q162" s="24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4"/>
    </row>
    <row r="163" customFormat="false" ht="14.25" hidden="false" customHeight="false" outlineLevel="0" collapsed="false">
      <c r="A163" s="23"/>
      <c r="B163" s="23"/>
      <c r="C163" s="23"/>
      <c r="D163" s="23"/>
      <c r="E163" s="23"/>
      <c r="F163" s="24"/>
      <c r="G163" s="24"/>
      <c r="H163" s="23"/>
      <c r="I163" s="23"/>
      <c r="J163" s="23"/>
      <c r="K163" s="24"/>
      <c r="L163" s="24"/>
      <c r="M163" s="25"/>
      <c r="N163" s="23"/>
      <c r="O163" s="23"/>
      <c r="P163" s="24"/>
      <c r="Q163" s="24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4"/>
    </row>
    <row r="164" customFormat="false" ht="14.25" hidden="false" customHeight="false" outlineLevel="0" collapsed="false">
      <c r="A164" s="23"/>
      <c r="B164" s="23"/>
      <c r="C164" s="23"/>
      <c r="D164" s="23"/>
      <c r="E164" s="23"/>
      <c r="F164" s="24"/>
      <c r="G164" s="24"/>
      <c r="H164" s="23"/>
      <c r="I164" s="23"/>
      <c r="J164" s="23"/>
      <c r="K164" s="24"/>
      <c r="L164" s="24"/>
      <c r="M164" s="25"/>
      <c r="N164" s="23"/>
      <c r="O164" s="23"/>
      <c r="P164" s="24"/>
      <c r="Q164" s="24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4"/>
    </row>
    <row r="165" customFormat="false" ht="14.25" hidden="false" customHeight="false" outlineLevel="0" collapsed="false">
      <c r="A165" s="23"/>
      <c r="B165" s="23"/>
      <c r="C165" s="23"/>
      <c r="D165" s="23"/>
      <c r="E165" s="23"/>
      <c r="F165" s="24"/>
      <c r="G165" s="24"/>
      <c r="H165" s="23"/>
      <c r="I165" s="23"/>
      <c r="J165" s="23"/>
      <c r="K165" s="24"/>
      <c r="L165" s="24"/>
      <c r="M165" s="25"/>
      <c r="N165" s="23"/>
      <c r="O165" s="23"/>
      <c r="P165" s="24"/>
      <c r="Q165" s="24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4"/>
    </row>
    <row r="166" customFormat="false" ht="14.25" hidden="false" customHeight="false" outlineLevel="0" collapsed="false">
      <c r="A166" s="23"/>
      <c r="B166" s="23"/>
      <c r="C166" s="23"/>
      <c r="D166" s="23"/>
      <c r="E166" s="23"/>
      <c r="F166" s="24"/>
      <c r="G166" s="24"/>
      <c r="H166" s="23"/>
      <c r="I166" s="23"/>
      <c r="J166" s="23"/>
      <c r="K166" s="24"/>
      <c r="L166" s="24"/>
      <c r="M166" s="25"/>
      <c r="N166" s="23"/>
      <c r="O166" s="23"/>
      <c r="P166" s="24"/>
      <c r="Q166" s="24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4"/>
    </row>
    <row r="167" customFormat="false" ht="14.25" hidden="false" customHeight="false" outlineLevel="0" collapsed="false">
      <c r="A167" s="23"/>
      <c r="B167" s="23"/>
      <c r="C167" s="23"/>
      <c r="D167" s="23"/>
      <c r="E167" s="23"/>
      <c r="F167" s="24"/>
      <c r="G167" s="24"/>
      <c r="H167" s="23"/>
      <c r="I167" s="23"/>
      <c r="J167" s="23"/>
      <c r="K167" s="24"/>
      <c r="L167" s="24"/>
      <c r="M167" s="25"/>
      <c r="N167" s="23"/>
      <c r="O167" s="23"/>
      <c r="P167" s="24"/>
      <c r="Q167" s="24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4"/>
    </row>
    <row r="168" customFormat="false" ht="14.25" hidden="false" customHeight="false" outlineLevel="0" collapsed="false">
      <c r="A168" s="23"/>
      <c r="B168" s="23"/>
      <c r="C168" s="23"/>
      <c r="D168" s="23"/>
      <c r="E168" s="23"/>
      <c r="F168" s="24"/>
      <c r="G168" s="24"/>
      <c r="H168" s="23"/>
      <c r="I168" s="23"/>
      <c r="J168" s="23"/>
      <c r="K168" s="24"/>
      <c r="L168" s="24"/>
      <c r="M168" s="25"/>
      <c r="N168" s="23"/>
      <c r="O168" s="23"/>
      <c r="P168" s="24"/>
      <c r="Q168" s="24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4"/>
    </row>
    <row r="169" customFormat="false" ht="14.25" hidden="false" customHeight="false" outlineLevel="0" collapsed="false">
      <c r="A169" s="23"/>
      <c r="B169" s="23"/>
      <c r="C169" s="23"/>
      <c r="D169" s="23"/>
      <c r="E169" s="23"/>
      <c r="F169" s="24"/>
      <c r="G169" s="24"/>
      <c r="H169" s="23"/>
      <c r="I169" s="23"/>
      <c r="J169" s="23"/>
      <c r="K169" s="24"/>
      <c r="L169" s="24"/>
      <c r="M169" s="25"/>
      <c r="N169" s="23"/>
      <c r="O169" s="23"/>
      <c r="P169" s="24"/>
      <c r="Q169" s="24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4"/>
    </row>
    <row r="170" customFormat="false" ht="14.25" hidden="false" customHeight="false" outlineLevel="0" collapsed="false">
      <c r="A170" s="23"/>
      <c r="B170" s="23"/>
      <c r="C170" s="23"/>
      <c r="D170" s="23"/>
      <c r="E170" s="23"/>
      <c r="F170" s="24"/>
      <c r="G170" s="24"/>
      <c r="H170" s="23"/>
      <c r="I170" s="23"/>
      <c r="J170" s="23"/>
      <c r="K170" s="24"/>
      <c r="L170" s="24"/>
      <c r="M170" s="25"/>
      <c r="N170" s="23"/>
      <c r="O170" s="23"/>
      <c r="P170" s="24"/>
      <c r="Q170" s="24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4"/>
    </row>
    <row r="171" customFormat="false" ht="14.25" hidden="false" customHeight="false" outlineLevel="0" collapsed="false">
      <c r="A171" s="23"/>
      <c r="B171" s="23"/>
      <c r="C171" s="23"/>
      <c r="D171" s="23"/>
      <c r="E171" s="23"/>
      <c r="F171" s="24"/>
      <c r="G171" s="24"/>
      <c r="H171" s="23"/>
      <c r="I171" s="23"/>
      <c r="J171" s="23"/>
      <c r="K171" s="24"/>
      <c r="L171" s="24"/>
      <c r="M171" s="25"/>
      <c r="N171" s="23"/>
      <c r="O171" s="23"/>
      <c r="P171" s="24"/>
      <c r="Q171" s="24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4"/>
    </row>
    <row r="172" customFormat="false" ht="14.25" hidden="false" customHeight="false" outlineLevel="0" collapsed="false">
      <c r="A172" s="23"/>
      <c r="B172" s="23"/>
      <c r="C172" s="23"/>
      <c r="D172" s="23"/>
      <c r="E172" s="23"/>
      <c r="F172" s="24"/>
      <c r="G172" s="24"/>
      <c r="H172" s="23"/>
      <c r="I172" s="23"/>
      <c r="J172" s="23"/>
      <c r="K172" s="24"/>
      <c r="L172" s="24"/>
      <c r="M172" s="25"/>
      <c r="N172" s="23"/>
      <c r="O172" s="23"/>
      <c r="P172" s="24"/>
      <c r="Q172" s="24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4"/>
    </row>
    <row r="173" customFormat="false" ht="14.25" hidden="false" customHeight="false" outlineLevel="0" collapsed="false">
      <c r="A173" s="23"/>
      <c r="B173" s="23"/>
      <c r="C173" s="23"/>
      <c r="D173" s="23"/>
      <c r="E173" s="23"/>
      <c r="F173" s="24"/>
      <c r="G173" s="24"/>
      <c r="H173" s="23"/>
      <c r="I173" s="23"/>
      <c r="J173" s="23"/>
      <c r="K173" s="24"/>
      <c r="L173" s="24"/>
      <c r="M173" s="25"/>
      <c r="N173" s="23"/>
      <c r="O173" s="23"/>
      <c r="P173" s="24"/>
      <c r="Q173" s="24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4"/>
    </row>
    <row r="174" customFormat="false" ht="14.25" hidden="false" customHeight="false" outlineLevel="0" collapsed="false">
      <c r="A174" s="23"/>
      <c r="B174" s="23"/>
      <c r="C174" s="23"/>
      <c r="D174" s="23"/>
      <c r="E174" s="23"/>
      <c r="F174" s="24"/>
      <c r="G174" s="24"/>
      <c r="H174" s="23"/>
      <c r="I174" s="23"/>
      <c r="J174" s="23"/>
      <c r="K174" s="24"/>
      <c r="L174" s="24"/>
      <c r="M174" s="25"/>
      <c r="N174" s="23"/>
      <c r="O174" s="23"/>
      <c r="P174" s="24"/>
      <c r="Q174" s="24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4"/>
    </row>
    <row r="175" customFormat="false" ht="14.25" hidden="false" customHeight="false" outlineLevel="0" collapsed="false">
      <c r="A175" s="23"/>
      <c r="B175" s="23"/>
      <c r="C175" s="23"/>
      <c r="D175" s="23"/>
      <c r="E175" s="23"/>
      <c r="F175" s="24"/>
      <c r="G175" s="24"/>
      <c r="H175" s="23"/>
      <c r="I175" s="23"/>
      <c r="J175" s="23"/>
      <c r="K175" s="24"/>
      <c r="L175" s="24"/>
      <c r="M175" s="25"/>
      <c r="N175" s="23"/>
      <c r="O175" s="23"/>
      <c r="P175" s="24"/>
      <c r="Q175" s="24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4"/>
    </row>
    <row r="176" customFormat="false" ht="14.25" hidden="false" customHeight="false" outlineLevel="0" collapsed="false">
      <c r="A176" s="23"/>
      <c r="B176" s="23"/>
      <c r="C176" s="23"/>
      <c r="D176" s="23"/>
      <c r="E176" s="23"/>
      <c r="F176" s="24"/>
      <c r="G176" s="24"/>
      <c r="H176" s="23"/>
      <c r="I176" s="23"/>
      <c r="J176" s="23"/>
      <c r="K176" s="24"/>
      <c r="L176" s="24"/>
      <c r="M176" s="25"/>
      <c r="N176" s="23"/>
      <c r="O176" s="23"/>
      <c r="P176" s="24"/>
      <c r="Q176" s="24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4"/>
    </row>
    <row r="177" customFormat="false" ht="14.25" hidden="false" customHeight="false" outlineLevel="0" collapsed="false">
      <c r="A177" s="23"/>
      <c r="B177" s="23"/>
      <c r="C177" s="23"/>
      <c r="D177" s="23"/>
      <c r="E177" s="23"/>
      <c r="F177" s="24"/>
      <c r="G177" s="24"/>
      <c r="H177" s="23"/>
      <c r="I177" s="23"/>
      <c r="J177" s="23"/>
      <c r="K177" s="24"/>
      <c r="L177" s="24"/>
      <c r="M177" s="25"/>
      <c r="N177" s="23"/>
      <c r="O177" s="23"/>
      <c r="P177" s="24"/>
      <c r="Q177" s="24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4"/>
    </row>
    <row r="178" customFormat="false" ht="14.25" hidden="false" customHeight="false" outlineLevel="0" collapsed="false">
      <c r="A178" s="23"/>
      <c r="B178" s="23"/>
      <c r="C178" s="23"/>
      <c r="D178" s="23"/>
      <c r="E178" s="23"/>
      <c r="F178" s="24"/>
      <c r="G178" s="24"/>
      <c r="H178" s="23"/>
      <c r="I178" s="23"/>
      <c r="J178" s="23"/>
      <c r="K178" s="24"/>
      <c r="L178" s="24"/>
      <c r="M178" s="25"/>
      <c r="N178" s="23"/>
      <c r="O178" s="23"/>
      <c r="P178" s="24"/>
      <c r="Q178" s="24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4"/>
    </row>
    <row r="179" customFormat="false" ht="14.25" hidden="false" customHeight="false" outlineLevel="0" collapsed="false">
      <c r="A179" s="23"/>
      <c r="B179" s="23"/>
      <c r="C179" s="23"/>
      <c r="D179" s="23"/>
      <c r="E179" s="23"/>
      <c r="F179" s="24"/>
      <c r="G179" s="24"/>
      <c r="H179" s="23"/>
      <c r="I179" s="23"/>
      <c r="J179" s="23"/>
      <c r="K179" s="24"/>
      <c r="L179" s="24"/>
      <c r="M179" s="25"/>
      <c r="N179" s="23"/>
      <c r="O179" s="23"/>
      <c r="P179" s="24"/>
      <c r="Q179" s="24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4"/>
    </row>
    <row r="180" customFormat="false" ht="14.25" hidden="false" customHeight="false" outlineLevel="0" collapsed="false">
      <c r="A180" s="23"/>
      <c r="B180" s="23"/>
      <c r="C180" s="23"/>
      <c r="D180" s="23"/>
      <c r="E180" s="23"/>
      <c r="F180" s="24"/>
      <c r="G180" s="24"/>
      <c r="H180" s="23"/>
      <c r="I180" s="23"/>
      <c r="J180" s="23"/>
      <c r="K180" s="24"/>
      <c r="L180" s="24"/>
      <c r="M180" s="25"/>
      <c r="N180" s="23"/>
      <c r="O180" s="23"/>
      <c r="P180" s="24"/>
      <c r="Q180" s="24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4"/>
    </row>
    <row r="181" customFormat="false" ht="14.25" hidden="false" customHeight="false" outlineLevel="0" collapsed="false">
      <c r="A181" s="23"/>
      <c r="B181" s="23"/>
      <c r="C181" s="23"/>
      <c r="D181" s="23"/>
      <c r="E181" s="23"/>
      <c r="F181" s="24"/>
      <c r="G181" s="24"/>
      <c r="H181" s="23"/>
      <c r="I181" s="23"/>
      <c r="J181" s="23"/>
      <c r="K181" s="24"/>
      <c r="L181" s="24"/>
      <c r="M181" s="25"/>
      <c r="N181" s="23"/>
      <c r="O181" s="23"/>
      <c r="P181" s="24"/>
      <c r="Q181" s="24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4"/>
    </row>
    <row r="182" customFormat="false" ht="14.25" hidden="false" customHeight="false" outlineLevel="0" collapsed="false">
      <c r="A182" s="23"/>
      <c r="B182" s="23"/>
      <c r="C182" s="23"/>
      <c r="D182" s="23"/>
      <c r="E182" s="23"/>
      <c r="F182" s="24"/>
      <c r="G182" s="24"/>
      <c r="H182" s="23"/>
      <c r="I182" s="23"/>
      <c r="J182" s="23"/>
      <c r="K182" s="24"/>
      <c r="L182" s="24"/>
      <c r="M182" s="25"/>
      <c r="N182" s="23"/>
      <c r="O182" s="23"/>
      <c r="P182" s="24"/>
      <c r="Q182" s="24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4"/>
    </row>
    <row r="183" customFormat="false" ht="14.25" hidden="false" customHeight="false" outlineLevel="0" collapsed="false">
      <c r="A183" s="23"/>
      <c r="B183" s="23"/>
      <c r="C183" s="23"/>
      <c r="D183" s="23"/>
      <c r="E183" s="23"/>
      <c r="F183" s="24"/>
      <c r="G183" s="24"/>
      <c r="H183" s="23"/>
      <c r="I183" s="23"/>
      <c r="J183" s="23"/>
      <c r="K183" s="24"/>
      <c r="L183" s="24"/>
      <c r="M183" s="25"/>
      <c r="N183" s="23"/>
      <c r="O183" s="23"/>
      <c r="P183" s="24"/>
      <c r="Q183" s="24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4"/>
    </row>
    <row r="184" customFormat="false" ht="14.25" hidden="false" customHeight="false" outlineLevel="0" collapsed="false">
      <c r="A184" s="23"/>
      <c r="B184" s="23"/>
      <c r="C184" s="23"/>
      <c r="D184" s="23"/>
      <c r="E184" s="23"/>
      <c r="F184" s="24"/>
      <c r="G184" s="24"/>
      <c r="H184" s="23"/>
      <c r="I184" s="23"/>
      <c r="J184" s="23"/>
      <c r="K184" s="24"/>
      <c r="L184" s="24"/>
      <c r="M184" s="25"/>
      <c r="N184" s="23"/>
      <c r="O184" s="23"/>
      <c r="P184" s="24"/>
      <c r="Q184" s="24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4"/>
    </row>
    <row r="185" customFormat="false" ht="14.25" hidden="false" customHeight="false" outlineLevel="0" collapsed="false">
      <c r="A185" s="23"/>
      <c r="B185" s="23"/>
      <c r="C185" s="23"/>
      <c r="D185" s="23"/>
      <c r="E185" s="23"/>
      <c r="F185" s="24"/>
      <c r="G185" s="24"/>
      <c r="H185" s="23"/>
      <c r="I185" s="23"/>
      <c r="J185" s="23"/>
      <c r="K185" s="24"/>
      <c r="L185" s="24"/>
      <c r="M185" s="25"/>
      <c r="N185" s="23"/>
      <c r="O185" s="23"/>
      <c r="P185" s="24"/>
      <c r="Q185" s="24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4"/>
    </row>
    <row r="186" customFormat="false" ht="14.25" hidden="false" customHeight="false" outlineLevel="0" collapsed="false">
      <c r="A186" s="23"/>
      <c r="B186" s="23"/>
      <c r="C186" s="23"/>
      <c r="D186" s="23"/>
      <c r="E186" s="23"/>
      <c r="F186" s="24"/>
      <c r="G186" s="24"/>
      <c r="H186" s="23"/>
      <c r="I186" s="23"/>
      <c r="J186" s="23"/>
      <c r="K186" s="24"/>
      <c r="L186" s="24"/>
      <c r="M186" s="25"/>
      <c r="N186" s="23"/>
      <c r="O186" s="23"/>
      <c r="P186" s="24"/>
      <c r="Q186" s="24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4"/>
    </row>
    <row r="187" customFormat="false" ht="14.25" hidden="false" customHeight="false" outlineLevel="0" collapsed="false">
      <c r="A187" s="23"/>
      <c r="B187" s="23"/>
      <c r="C187" s="23"/>
      <c r="D187" s="23"/>
      <c r="E187" s="23"/>
      <c r="F187" s="24"/>
      <c r="G187" s="24"/>
      <c r="H187" s="23"/>
      <c r="I187" s="23"/>
      <c r="J187" s="23"/>
      <c r="K187" s="24"/>
      <c r="L187" s="24"/>
      <c r="M187" s="25"/>
      <c r="N187" s="23"/>
      <c r="O187" s="23"/>
      <c r="P187" s="24"/>
      <c r="Q187" s="24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4"/>
    </row>
    <row r="188" customFormat="false" ht="14.25" hidden="false" customHeight="false" outlineLevel="0" collapsed="false">
      <c r="A188" s="23"/>
      <c r="B188" s="23"/>
      <c r="C188" s="23"/>
      <c r="D188" s="23"/>
      <c r="E188" s="23"/>
      <c r="F188" s="24"/>
      <c r="G188" s="24"/>
      <c r="H188" s="23"/>
      <c r="I188" s="23"/>
      <c r="J188" s="23"/>
      <c r="K188" s="24"/>
      <c r="L188" s="24"/>
      <c r="M188" s="25"/>
      <c r="N188" s="23"/>
      <c r="O188" s="23"/>
      <c r="P188" s="24"/>
      <c r="Q188" s="24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4"/>
    </row>
    <row r="189" customFormat="false" ht="14.25" hidden="false" customHeight="false" outlineLevel="0" collapsed="false">
      <c r="A189" s="23"/>
      <c r="B189" s="23"/>
      <c r="C189" s="23"/>
      <c r="D189" s="23"/>
      <c r="E189" s="23"/>
      <c r="F189" s="24"/>
      <c r="G189" s="24"/>
      <c r="H189" s="23"/>
      <c r="I189" s="23"/>
      <c r="J189" s="23"/>
      <c r="K189" s="24"/>
      <c r="L189" s="24"/>
      <c r="M189" s="25"/>
      <c r="N189" s="23"/>
      <c r="O189" s="23"/>
      <c r="P189" s="24"/>
      <c r="Q189" s="24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4"/>
    </row>
    <row r="190" customFormat="false" ht="14.25" hidden="false" customHeight="false" outlineLevel="0" collapsed="false">
      <c r="A190" s="23"/>
      <c r="B190" s="23"/>
      <c r="C190" s="23"/>
      <c r="D190" s="23"/>
      <c r="E190" s="23"/>
      <c r="F190" s="24"/>
      <c r="G190" s="24"/>
      <c r="H190" s="23"/>
      <c r="I190" s="23"/>
      <c r="J190" s="23"/>
      <c r="K190" s="24"/>
      <c r="L190" s="24"/>
      <c r="M190" s="25"/>
      <c r="N190" s="23"/>
      <c r="O190" s="23"/>
      <c r="P190" s="24"/>
      <c r="Q190" s="24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4"/>
    </row>
    <row r="191" customFormat="false" ht="14.25" hidden="false" customHeight="false" outlineLevel="0" collapsed="false">
      <c r="A191" s="23"/>
      <c r="B191" s="23"/>
      <c r="C191" s="23"/>
      <c r="D191" s="23"/>
      <c r="E191" s="23"/>
      <c r="F191" s="24"/>
      <c r="G191" s="24"/>
      <c r="H191" s="23"/>
      <c r="I191" s="23"/>
      <c r="J191" s="23"/>
      <c r="K191" s="24"/>
      <c r="L191" s="24"/>
      <c r="M191" s="25"/>
      <c r="N191" s="23"/>
      <c r="O191" s="23"/>
      <c r="P191" s="24"/>
      <c r="Q191" s="24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4"/>
    </row>
    <row r="192" customFormat="false" ht="14.25" hidden="false" customHeight="false" outlineLevel="0" collapsed="false">
      <c r="A192" s="23"/>
      <c r="B192" s="23"/>
      <c r="C192" s="23"/>
      <c r="D192" s="23"/>
      <c r="E192" s="23"/>
      <c r="F192" s="24"/>
      <c r="G192" s="24"/>
      <c r="H192" s="23"/>
      <c r="I192" s="23"/>
      <c r="J192" s="23"/>
      <c r="K192" s="24"/>
      <c r="L192" s="24"/>
      <c r="M192" s="25"/>
      <c r="N192" s="23"/>
      <c r="O192" s="23"/>
      <c r="P192" s="24"/>
      <c r="Q192" s="24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4"/>
    </row>
    <row r="193" customFormat="false" ht="14.25" hidden="false" customHeight="false" outlineLevel="0" collapsed="false">
      <c r="A193" s="23"/>
      <c r="B193" s="23"/>
      <c r="C193" s="23"/>
      <c r="D193" s="23"/>
      <c r="E193" s="23"/>
      <c r="F193" s="24"/>
      <c r="G193" s="24"/>
      <c r="H193" s="23"/>
      <c r="I193" s="23"/>
      <c r="J193" s="23"/>
      <c r="K193" s="24"/>
      <c r="L193" s="24"/>
      <c r="M193" s="25"/>
      <c r="N193" s="23"/>
      <c r="O193" s="23"/>
      <c r="P193" s="24"/>
      <c r="Q193" s="24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4"/>
    </row>
    <row r="194" customFormat="false" ht="14.25" hidden="false" customHeight="false" outlineLevel="0" collapsed="false">
      <c r="A194" s="23"/>
      <c r="B194" s="23"/>
      <c r="C194" s="23"/>
      <c r="D194" s="23"/>
      <c r="E194" s="23"/>
      <c r="F194" s="24"/>
      <c r="G194" s="24"/>
      <c r="H194" s="23"/>
      <c r="I194" s="23"/>
      <c r="J194" s="23"/>
      <c r="K194" s="24"/>
      <c r="L194" s="24"/>
      <c r="M194" s="25"/>
      <c r="N194" s="23"/>
      <c r="O194" s="23"/>
      <c r="P194" s="24"/>
      <c r="Q194" s="24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4"/>
    </row>
    <row r="195" customFormat="false" ht="14.25" hidden="false" customHeight="false" outlineLevel="0" collapsed="false">
      <c r="A195" s="23"/>
      <c r="B195" s="23"/>
      <c r="C195" s="23"/>
      <c r="D195" s="23"/>
      <c r="E195" s="23"/>
      <c r="F195" s="24"/>
      <c r="G195" s="24"/>
      <c r="H195" s="23"/>
      <c r="I195" s="23"/>
      <c r="J195" s="23"/>
      <c r="K195" s="24"/>
      <c r="L195" s="24"/>
      <c r="M195" s="25"/>
      <c r="N195" s="23"/>
      <c r="O195" s="23"/>
      <c r="P195" s="24"/>
      <c r="Q195" s="24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4"/>
    </row>
    <row r="196" customFormat="false" ht="14.25" hidden="false" customHeight="false" outlineLevel="0" collapsed="false">
      <c r="A196" s="23"/>
      <c r="B196" s="23"/>
      <c r="C196" s="23"/>
      <c r="D196" s="23"/>
      <c r="E196" s="23"/>
      <c r="F196" s="24"/>
      <c r="G196" s="24"/>
      <c r="H196" s="23"/>
      <c r="I196" s="23"/>
      <c r="J196" s="23"/>
      <c r="K196" s="24"/>
      <c r="L196" s="24"/>
      <c r="M196" s="25"/>
      <c r="N196" s="23"/>
      <c r="O196" s="23"/>
      <c r="P196" s="24"/>
      <c r="Q196" s="24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4"/>
    </row>
    <row r="197" customFormat="false" ht="14.25" hidden="false" customHeight="false" outlineLevel="0" collapsed="false">
      <c r="A197" s="23"/>
      <c r="B197" s="23"/>
      <c r="C197" s="23"/>
      <c r="D197" s="23"/>
      <c r="E197" s="23"/>
      <c r="F197" s="24"/>
      <c r="G197" s="24"/>
      <c r="H197" s="23"/>
      <c r="I197" s="23"/>
      <c r="J197" s="23"/>
      <c r="K197" s="24"/>
      <c r="L197" s="24"/>
      <c r="M197" s="25"/>
      <c r="N197" s="23"/>
      <c r="O197" s="23"/>
      <c r="P197" s="24"/>
      <c r="Q197" s="24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4"/>
    </row>
    <row r="198" customFormat="false" ht="14.25" hidden="false" customHeight="false" outlineLevel="0" collapsed="false">
      <c r="A198" s="23"/>
      <c r="B198" s="23"/>
      <c r="C198" s="23"/>
      <c r="D198" s="23"/>
      <c r="E198" s="23"/>
      <c r="F198" s="24"/>
      <c r="G198" s="24"/>
      <c r="H198" s="23"/>
      <c r="I198" s="23"/>
      <c r="J198" s="23"/>
      <c r="K198" s="24"/>
      <c r="L198" s="24"/>
      <c r="M198" s="25"/>
      <c r="N198" s="23"/>
      <c r="O198" s="23"/>
      <c r="P198" s="24"/>
      <c r="Q198" s="24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4"/>
    </row>
    <row r="199" customFormat="false" ht="14.25" hidden="false" customHeight="false" outlineLevel="0" collapsed="false">
      <c r="A199" s="23"/>
      <c r="B199" s="23"/>
      <c r="C199" s="23"/>
      <c r="D199" s="23"/>
      <c r="E199" s="23"/>
      <c r="F199" s="24"/>
      <c r="G199" s="24"/>
      <c r="H199" s="23"/>
      <c r="I199" s="23"/>
      <c r="J199" s="23"/>
      <c r="K199" s="24"/>
      <c r="L199" s="24"/>
      <c r="M199" s="25"/>
      <c r="N199" s="23"/>
      <c r="O199" s="23"/>
      <c r="P199" s="24"/>
      <c r="Q199" s="24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4"/>
    </row>
  </sheetData>
  <conditionalFormatting sqref="B2:B96">
    <cfRule type="containsText" priority="2" operator="containsText" aboveAverage="0" equalAverage="0" bottom="0" percent="0" rank="0" text="Accessory" dxfId="12">
      <formula>NOT(ISERROR(SEARCH("Accessory",B2)))</formula>
    </cfRule>
    <cfRule type="containsText" priority="3" operator="containsText" aboveAverage="0" equalAverage="0" bottom="0" percent="0" rank="0" text="Armour" dxfId="13">
      <formula>NOT(ISERROR(SEARCH("Armour",B2)))</formula>
    </cfRule>
    <cfRule type="containsText" priority="4" operator="containsText" aboveAverage="0" equalAverage="0" bottom="0" percent="0" rank="0" text="Equipment" dxfId="14">
      <formula>NOT(ISERROR(SEARCH("Equipment",B2)))</formula>
    </cfRule>
    <cfRule type="containsText" priority="5" operator="containsText" aboveAverage="0" equalAverage="0" bottom="0" percent="0" rank="0" text="Impression" dxfId="15">
      <formula>NOT(ISERROR(SEARCH("Impression",B2)))</formula>
    </cfRule>
    <cfRule type="containsText" priority="6" operator="containsText" aboveAverage="0" equalAverage="0" bottom="0" percent="0" rank="0" text="Spell" dxfId="16">
      <formula>NOT(ISERROR(SEARCH("Spell",B2)))</formula>
    </cfRule>
  </conditionalFormatting>
  <conditionalFormatting sqref="B121:B199">
    <cfRule type="containsText" priority="7" operator="containsText" aboveAverage="0" equalAverage="0" bottom="0" percent="0" rank="0" text="Accessory" dxfId="17">
      <formula>NOT(ISERROR(SEARCH("Accessory",B121)))</formula>
    </cfRule>
    <cfRule type="containsText" priority="8" operator="containsText" aboveAverage="0" equalAverage="0" bottom="0" percent="0" rank="0" text="Armour" dxfId="18">
      <formula>NOT(ISERROR(SEARCH("Armour",B121)))</formula>
    </cfRule>
    <cfRule type="containsText" priority="9" operator="containsText" aboveAverage="0" equalAverage="0" bottom="0" percent="0" rank="0" text="Equipment" dxfId="19">
      <formula>NOT(ISERROR(SEARCH("Equipment",B121)))</formula>
    </cfRule>
    <cfRule type="containsText" priority="10" operator="containsText" aboveAverage="0" equalAverage="0" bottom="0" percent="0" rank="0" text="Impression" dxfId="20">
      <formula>NOT(ISERROR(SEARCH("Impression",B121)))</formula>
    </cfRule>
    <cfRule type="containsText" priority="11" operator="containsText" aboveAverage="0" equalAverage="0" bottom="0" percent="0" rank="0" text="Spell" dxfId="21">
      <formula>NOT(ISERROR(SEARCH("Spell",B121)))</formula>
    </cfRule>
  </conditionalFormatting>
  <conditionalFormatting sqref="C18">
    <cfRule type="containsText" priority="12" operator="containsText" aboveAverage="0" equalAverage="0" bottom="0" percent="0" rank="0" text="Accessory" dxfId="22">
      <formula>NOT(ISERROR(SEARCH("Accessory",C18)))</formula>
    </cfRule>
    <cfRule type="containsText" priority="13" operator="containsText" aboveAverage="0" equalAverage="0" bottom="0" percent="0" rank="0" text="Armour" dxfId="23">
      <formula>NOT(ISERROR(SEARCH("Armour",C18)))</formula>
    </cfRule>
    <cfRule type="containsText" priority="14" operator="containsText" aboveAverage="0" equalAverage="0" bottom="0" percent="0" rank="0" text="Equipment" dxfId="24">
      <formula>NOT(ISERROR(SEARCH("Equipment",C18)))</formula>
    </cfRule>
    <cfRule type="containsText" priority="15" operator="containsText" aboveAverage="0" equalAverage="0" bottom="0" percent="0" rank="0" text="Impression" dxfId="25">
      <formula>NOT(ISERROR(SEARCH("Impression",C18)))</formula>
    </cfRule>
    <cfRule type="containsText" priority="16" operator="containsText" aboveAverage="0" equalAverage="0" bottom="0" percent="0" rank="0" text="Spell" dxfId="26">
      <formula>NOT(ISERROR(SEARCH("Spell",C18)))</formula>
    </cfRule>
  </conditionalFormatting>
  <conditionalFormatting sqref="A1:C1 J1:M1 O1:R1 T1:AG1">
    <cfRule type="containsText" priority="17" operator="containsText" aboveAverage="0" equalAverage="0" bottom="0" percent="0" rank="0" text="Accessory" dxfId="27">
      <formula>NOT(ISERROR(SEARCH("Accessory",A1)))</formula>
    </cfRule>
    <cfRule type="containsText" priority="18" operator="containsText" aboveAverage="0" equalAverage="0" bottom="0" percent="0" rank="0" text="Armour" dxfId="28">
      <formula>NOT(ISERROR(SEARCH("Armour",A1)))</formula>
    </cfRule>
    <cfRule type="containsText" priority="19" operator="containsText" aboveAverage="0" equalAverage="0" bottom="0" percent="0" rank="0" text="Equipment" dxfId="29">
      <formula>NOT(ISERROR(SEARCH("Equipment",A1)))</formula>
    </cfRule>
    <cfRule type="containsText" priority="20" operator="containsText" aboveAverage="0" equalAverage="0" bottom="0" percent="0" rank="0" text="Impression" dxfId="30">
      <formula>NOT(ISERROR(SEARCH("Impression",A1)))</formula>
    </cfRule>
    <cfRule type="containsText" priority="21" operator="containsText" aboveAverage="0" equalAverage="0" bottom="0" percent="0" rank="0" text="Spell" dxfId="31">
      <formula>NOT(ISERROR(SEARCH("Spell",A1)))</formula>
    </cfRule>
  </conditionalFormatting>
  <conditionalFormatting sqref="D1:I1 N1 S1">
    <cfRule type="containsText" priority="22" operator="containsText" aboveAverage="0" equalAverage="0" bottom="0" percent="0" rank="0" text="Accessory" dxfId="32">
      <formula>NOT(ISERROR(SEARCH("Accessory",D1)))</formula>
    </cfRule>
    <cfRule type="containsText" priority="23" operator="containsText" aboveAverage="0" equalAverage="0" bottom="0" percent="0" rank="0" text="Armour" dxfId="33">
      <formula>NOT(ISERROR(SEARCH("Armour",D1)))</formula>
    </cfRule>
    <cfRule type="containsText" priority="24" operator="containsText" aboveAverage="0" equalAverage="0" bottom="0" percent="0" rank="0" text="Equipment" dxfId="34">
      <formula>NOT(ISERROR(SEARCH("Equipment",D1)))</formula>
    </cfRule>
    <cfRule type="containsText" priority="25" operator="containsText" aboveAverage="0" equalAverage="0" bottom="0" percent="0" rank="0" text="Impression" dxfId="35">
      <formula>NOT(ISERROR(SEARCH("Impression",D1)))</formula>
    </cfRule>
    <cfRule type="containsText" priority="26" operator="containsText" aboveAverage="0" equalAverage="0" bottom="0" percent="0" rank="0" text="Spell" dxfId="36">
      <formula>NOT(ISERROR(SEARCH("Spell",D1)))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124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2025-12-17T20:42:00Z</dcterms:modified>
  <cp:revision>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