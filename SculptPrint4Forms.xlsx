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ge\Desktop\Sculpt\Sculpt\Fresh\"/>
    </mc:Choice>
  </mc:AlternateContent>
  <xr:revisionPtr revIDLastSave="0" documentId="13_ncr:1_{4DD867E6-121A-4583-8D38-40001EC871DB}" xr6:coauthVersionLast="47" xr6:coauthVersionMax="47" xr10:uidLastSave="{00000000-0000-0000-0000-000000000000}"/>
  <bookViews>
    <workbookView xWindow="-120" yWindow="-120" windowWidth="29040" windowHeight="15720" xr2:uid="{87154B46-1978-4705-BC0C-6EE1FCF75E48}"/>
  </bookViews>
  <sheets>
    <sheet name="Sheet3" sheetId="3" r:id="rId1"/>
  </sheets>
  <definedNames>
    <definedName name="Break">#REF!</definedName>
    <definedName name="st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3" l="1"/>
  <c r="J8" i="3"/>
  <c r="J6" i="3"/>
  <c r="J7" i="3"/>
  <c r="J9" i="3"/>
  <c r="J2" i="3"/>
  <c r="J20" i="3"/>
  <c r="J21" i="3"/>
  <c r="J22" i="3"/>
  <c r="J3" i="3"/>
  <c r="J4" i="3"/>
  <c r="J5" i="3"/>
  <c r="J10" i="3"/>
  <c r="J11" i="3"/>
  <c r="J12" i="3"/>
  <c r="J13" i="3"/>
  <c r="J15" i="3"/>
  <c r="J16" i="3"/>
  <c r="J17" i="3"/>
  <c r="J18" i="3"/>
  <c r="J19" i="3"/>
  <c r="J33" i="3"/>
  <c r="M3" i="3" l="1"/>
</calcChain>
</file>

<file path=xl/sharedStrings.xml><?xml version="1.0" encoding="utf-8"?>
<sst xmlns="http://schemas.openxmlformats.org/spreadsheetml/2006/main" count="121" uniqueCount="94">
  <si>
    <t>Form</t>
  </si>
  <si>
    <t>Large- LargeHexes</t>
  </si>
  <si>
    <t>Name</t>
  </si>
  <si>
    <t>Type</t>
  </si>
  <si>
    <t>TopRightText</t>
  </si>
  <si>
    <t>Effect 1</t>
  </si>
  <si>
    <t>Effect 2</t>
  </si>
  <si>
    <t>Effect 3</t>
  </si>
  <si>
    <t>Effect 4</t>
  </si>
  <si>
    <t>Flavour Text</t>
  </si>
  <si>
    <t>EquipmentBodyHTML</t>
  </si>
  <si>
    <t>Body HTML</t>
  </si>
  <si>
    <t>Stone Plated</t>
  </si>
  <si>
    <t>Column1</t>
  </si>
  <si>
    <t>Lanky</t>
  </si>
  <si>
    <t>Serpentine</t>
  </si>
  <si>
    <t>Overlord</t>
  </si>
  <si>
    <t>&lt;span style="color:#3366cc"&gt;&lt;strong&gt;Weird&lt;/strong&gt;&lt;/span&gt;</t>
  </si>
  <si>
    <t>&lt;span style="color:#e74c3c"&gt;&lt;strong&gt;Flesh&lt;/strong&gt;&lt;/span&gt;.</t>
  </si>
  <si>
    <t xml:space="preserve"> &lt;span style="color:#27ae60"&gt;&lt;strong&gt;Jazz&lt;/strong&gt;&lt;/span&gt;.</t>
  </si>
  <si>
    <t>Sticky</t>
  </si>
  <si>
    <t>Fungal</t>
  </si>
  <si>
    <t>Quilled</t>
  </si>
  <si>
    <t>Wreathed in Flame</t>
  </si>
  <si>
    <t>Liquid Lightning</t>
  </si>
  <si>
    <t>Glowing Kintsugi</t>
  </si>
  <si>
    <t>Human</t>
  </si>
  <si>
    <t>Writhing Mass</t>
  </si>
  <si>
    <t>Unstable</t>
  </si>
  <si>
    <t>Mob of Deep Ones</t>
  </si>
  <si>
    <t>Hulking</t>
  </si>
  <si>
    <t>Hollow</t>
  </si>
  <si>
    <t>Beast</t>
  </si>
  <si>
    <t>Siltwood Sapling</t>
  </si>
  <si>
    <t>Living Forge</t>
  </si>
  <si>
    <t>chargeBig chargeBig</t>
  </si>
  <si>
    <t>&lt;p style="font-size:12px;"&gt;&lt;br&gt;</t>
  </si>
  <si>
    <t>SmallTextTag</t>
  </si>
  <si>
    <t>yes</t>
  </si>
  <si>
    <t>&lt;p style="font-size:14px;"&gt;&lt;br&gt;</t>
  </si>
  <si>
    <t>You may spend 1 temporary composure to do one of the following:&lt;br&gt;&lt;b&gt;Scamper:&lt;/b&gt; Move 1 tile.&lt;br&gt;&lt;b&gt;Focus:&lt;/b&gt;Increase your attack roll by 1.&lt;br&gt;&lt;b&gt;Calm:&lt;/b&gt; Restore 2 composure.</t>
  </si>
  <si>
    <t>&lt;b&gt;Plot Armour:&lt;/b&gt; charget&lt;br&gt;Prevent all damage from an attack that would kill you.</t>
  </si>
  <si>
    <t>&lt;b&gt;Dampen:&lt;/b&gt; chargeT&lt;br&gt;Reduce damage taken by 3 until the start of your next turn.</t>
  </si>
  <si>
    <t>chargeBig</t>
  </si>
  <si>
    <t>&lt;i&gt;Passive - &lt;b&gt;Fragile:&lt;/i&gt;&lt;/b&gt;&lt;br&gt;If you take a wound during combat, you &lt;b&gt;die.&lt;/b&gt;</t>
  </si>
  <si>
    <t>&lt;i&gt;Passive - &lt;b&gt;Immense:&lt;/i&gt;&lt;/b&gt;&lt;br&gt;Reduce damage taken from all sources by 1.&lt;br&gt;Your move speed is reduced by 1.&lt;br&gt;Increase the damage of all your melee attacks by 1.</t>
  </si>
  <si>
    <t>&lt;i&gt;Passive - &lt;b&gt;Sweeper:&lt;/i&gt;&lt;/b&gt;&lt;br /&gt;Your melee attacks target all possible targets in range, roll once for the attack.</t>
  </si>
  <si>
    <t>&lt;i&gt;Passive - &lt;b&gt;Butter Cutter:&lt;/i&gt;&lt;/b&gt;&lt;br /&gt;When you hit two or more creatures with a single attack, replenish a spent token.</t>
  </si>
  <si>
    <t>&lt;i&gt;Passive - &lt;b&gt;Recharge:&lt;/i&gt;&lt;/b&gt;&lt;br /&gt;Your attacks have the crit option:&lt;br&gt;&lt;b&gt;Extract energy: &lt;/b&gt;Refresh 1 chargeT.</t>
  </si>
  <si>
    <t>&lt;i&gt;Passive - &lt;b&gt;Very Fast:&lt;/i&gt;&lt;/b&gt;&lt;br&gt;Your move speed is increased by 2.</t>
  </si>
  <si>
    <t>&lt;i&gt;Passive - &lt;b&gt;Slow:&lt;/i&gt;&lt;/b&gt;&lt;br&gt;Your move speed is reduced by 1.</t>
  </si>
  <si>
    <t>&lt;i&gt;Passive - &lt;b&gt;Consume:&lt;/i&gt;&lt;/b&gt;&lt;br&gt;Whenever you land a killing blow, restore all wounds to one stat of your choice.</t>
  </si>
  <si>
    <t>&lt;i&gt;Passive - &lt;b&gt;Fast:&lt;/i&gt;&lt;/b&gt;&lt;br&gt;Your move speed is increased by 1.</t>
  </si>
  <si>
    <t>&lt;i&gt;Passive - &lt;b&gt;Just a tail:&lt;/i&gt;&lt;/b&gt;&lt;br&gt;While you have at most 1 limb equipped, you refresh 1 WeirdT at the start of each of your turns.</t>
  </si>
  <si>
    <t>&lt;i&gt;Passive - &lt;b&gt;Easy as walking:&lt;/i&gt;&lt;/b&gt;&lt;br /&gt;Climbing does not cost you &lt;span style="color:#27ae60"&gt;&lt;strong&gt;Jazz&lt;/strong&gt;&lt;/span&gt;.</t>
  </si>
  <si>
    <t>&lt;i&gt;Passive - &lt;b&gt;Like Glue:&lt;/i&gt;&lt;/b&gt;&lt;br&gt;You cannot be made to move against your will.</t>
  </si>
  <si>
    <t xml:space="preserve">&lt;i&gt;Passive - &lt;b&gt;Stone Flesh:&lt;/i&gt;&lt;/b&gt;&lt;br /&gt;Reduce damage taken by 3 and your move speed by 2. </t>
  </si>
  <si>
    <t>&lt;i&gt;Passive - &lt;b&gt;Radioactive:&lt;/i&gt;&lt;/b&gt;&lt;br&gt;Whenever you spend weirdt, adjacent beings take 2 damage.</t>
  </si>
  <si>
    <t>&lt;i&gt;Passive - &lt;b&gt;Decay:&lt;/i&gt;&lt;/b&gt;&lt;br&gt;At the end of each of your turns, take 2 damage and refresh 1 weirdT.</t>
  </si>
  <si>
    <t>&lt;i&gt;Passive - &lt;b&gt;Punk rock:&lt;/i&gt;&lt;/b&gt;&lt;br&gt;Your melee attacks have the crit option:&lt;br&gt;&lt;b&gt;Hurl: &lt;/b&gt;Throw the victim in a straight line tiles equal to your &lt;span style="color:#e74c3c"&gt;&lt;strong&gt;Flesh&lt;/strong&gt;&lt;/span&gt;. If they hit terrain or another being, both take 3 damage.</t>
  </si>
  <si>
    <t>&lt;i&gt;Passive - &lt;b&gt;Lead from the front:&lt;/i&gt;&lt;/b&gt;&lt;br&gt;At the start of your turn, if you are closest to the boss (win ties), gain the status effect &lt;b&gt;Monstrous&lt;/b&gt;.</t>
  </si>
  <si>
    <t xml:space="preserve">&lt;i&gt;Passive - &lt;b&gt;Shared Mind:&lt;/i&gt;&lt;/b&gt;&lt;br&gt;Damage taken by any of your bodies is taken in full. </t>
  </si>
  <si>
    <t>&lt;i&gt;Passive - &lt;b&gt;Thorny:&lt;/i&gt;&lt;/b&gt;&lt;br&gt;Whenever you are struck by a melee attack, deal 3 damage back to the attacker.</t>
  </si>
  <si>
    <t>Phantom</t>
  </si>
  <si>
    <t>Hungry Clay</t>
  </si>
  <si>
    <t>&lt;b&gt;Unstoppable: chargeT &lt;/b&gt;&lt;br&gt;Double your move speed until the end of your turn. (Once per turn)</t>
  </si>
  <si>
    <t>&lt;i&gt;Passive - &lt;b&gt;Relentless&lt;/i&gt;:&lt;/b&gt;&lt;br&gt;You get an extra AP at the end of each turn, if you are &lt;b&gt;Monstrous&lt;/b&gt;.</t>
  </si>
  <si>
    <t>&lt;i&gt;Passive - &lt;b&gt;Reckless&lt;/i&gt;:&lt;/b&gt;&lt;br&gt;Your move speed is increased by 1.&lt;br&gt;You take 1 more damage from all sources.</t>
  </si>
  <si>
    <t>&lt;i&gt;Passive - &lt;b&gt;Victorious:&lt;/i&gt;&lt;/b&gt;&lt;br&gt;Your attacks have the crit option:&lt;br&gt;&lt;b&gt;Howl: &lt;/b&gt;Gain the &lt;b&gt;Monstrous&lt;/b&gt; status effect.</t>
  </si>
  <si>
    <t>&lt;i&gt;Passive - &lt;b&gt;Odd structure:&lt;/i&gt;&lt;/b&gt;&lt;br&gt;Your composure is equal to &lt;b&gt;twice&lt;/b&gt; your &lt;/b&gt;&lt;span style="color:#3366cc"&gt;&lt;strong&gt;Weird&lt;/strong&gt;&lt;/span&gt;.</t>
  </si>
  <si>
    <t>&lt;b&gt;Command: &lt;/b&gt;1 AP or WeirdT&lt;br&gt;Give target ally 1 AP</t>
  </si>
  <si>
    <t>&lt;i&gt;Passive - &lt;b&gt;Consuming:&lt;/i&gt;&lt;/b&gt;&lt;br&gt;Your attacks that inflict a wound have the crit option&lt;br&gt;&lt;b&gt;Absorb:&lt;/b&gt; Heal a wound of the same stat you wounded.</t>
  </si>
  <si>
    <t>&lt;i&gt;Passive - &lt;b&gt;Long Limbed:&lt;/i&gt;&lt;/b&gt;&lt;br /&gt;You have +1 range on all melee attacks and terrain interactions.</t>
  </si>
  <si>
    <t>&lt;i&gt;Passive - &lt;b&gt;Regenerative:&lt;/i&gt;&lt;/b&gt;&lt;br&gt;When you take a wound, replenish a spent token of the same stat.</t>
  </si>
  <si>
    <t>&lt;i&gt;Passive - &lt;b&gt;Furnace:&lt;/i&gt;&lt;/b&gt;&lt;br&gt;Your move speed is reduced by 1.&lt;br&gt;You take 1 less damage from all sources.&lt;br&gt;You do not take damage from the &lt;b&gt;Burning&lt;/b&gt; status effect.</t>
  </si>
  <si>
    <t>&lt;i&gt;Passive - &lt;b&gt;Multitudinous:&lt;/i&gt;&lt;/b&gt;&lt;br&gt;You have 3 bodies, each 1 hex in size. You may distribute movement between them when moving.&lt;br&gt;When you make a melee attack, all bodies may attack a valid target.</t>
  </si>
  <si>
    <t>&lt;b&gt;Spores: &lt;/b&gt;2 AP or weirdT &lt;br&gt;Fully restore the composure of yourself and all allies within melee range. Reduce the composure of all enemies in melee range by 1. (minimum 1)&lt;br&gt;This ability automatically activates for free when you are wounded.</t>
  </si>
  <si>
    <t>&lt;i&gt;Passive - &lt;b&gt;Pulpy:&lt;/i&gt;&lt;/b&gt;&lt;br&gt;Your move speed is reduced by 1.&lt;br&gt;You take 1 less damage from all sources.</t>
  </si>
  <si>
    <t>&lt;i&gt;Passive - &lt;b&gt;Warm Glow&lt;/i&gt;:&lt;/b&gt;&lt;br&gt;At the start of your turn, gain 2 temporary composure. Temporary composure can stack from any source up to a cap of 5.</t>
  </si>
  <si>
    <t>&lt;b&gt;Beam:&lt;/b&gt; chargeT or weirdTweirdT&lt;br&gt;Teleport to any hex inside a starting zone</t>
  </si>
  <si>
    <t>&lt;i&gt;Passive - &lt;b&gt;Ghostly:&lt;/i&gt;&lt;br&gt;&lt;/b&gt;While moving, you may pass through solid objects freely and ignore terrain penalties. You may not stop inside terrain.</t>
  </si>
  <si>
    <t>&lt;b&gt;Chilling presence: &lt;/b&gt;weirdT&lt;br&gt;Reduce the composure of a being you have moved through this turn by 3 (minimum 1).</t>
  </si>
  <si>
    <t>&lt;i&gt;Passive - &lt;b&gt;Tough:&lt;/i&gt;&lt;br&gt;&lt;/b&gt;You take 1 less damage from all sources.</t>
  </si>
  <si>
    <t>&lt;b&gt;Compell: &lt;/b&gt;1 AP or WeirdT &lt;br&gt;Target creature moves one tile under your control.</t>
  </si>
  <si>
    <t>&lt;b&gt;Breathe Fire: &lt;/b&gt;3 AP + weirdT &lt;br&gt;Emit an inferno of fire, adjacent beings take 7 damage, each hex further away reduces damage by 1. &lt;br&gt;This does not cost weirdT if you have the &lt;b&gt;Burning&lt;/b&gt; status effect.</t>
  </si>
  <si>
    <t>&lt;b&gt;Transplant: &lt;/b&gt;1 AP&lt;br&gt;Swap the location of your body and the heart bulb.</t>
  </si>
  <si>
    <t>&lt;b&gt;Heart Bulb: 1 AP&lt;/b&gt;&lt;br&gt;Once per game, you may place a heart bulb on an adjacent hex. This is your weak point, it can be damaged normally. It has your impressions but not your limbs. &lt;b&gt;Your body takes 4 less damage from all sources&lt;/b&gt; after you have placed the heart bulb. Both your heart and body can be inflicted with status effects. Status effects apply to both beings.</t>
  </si>
  <si>
    <t>&lt;i&gt;Passive - &lt;b&gt;Moving is optional:&lt;/i&gt;&lt;/b&gt;&lt;br&gt;At the end of your turn, if you did not move, gain up to 4 temporary composure.</t>
  </si>
  <si>
    <t>&lt;i&gt;Passive - &lt;b&gt;Behemoth: &lt;/i&gt;&lt;/b&gt; &lt;br /&gt;Effects cannot move you, only the move action will cause you to move.&lt;br&gt;Moving into a 1 hex wide space counts as moving 2 hexes.</t>
  </si>
  <si>
    <t>&lt;i&gt;Passive - &lt;b&gt;Fiery:&lt;/i&gt;&lt;/b&gt;&lt;br&gt;Your attacks gain the crit option:&lt;br&gt;&lt;b&gt;Set alight:&lt;/b&gt; Inflict the &lt;b&gt;Burning&lt;/b&gt; status effect.</t>
  </si>
  <si>
    <t>&lt;i&gt;Passive - &lt;b&gt;Flame geysers:&lt;/i&gt;&lt;/b&gt;&lt;br&gt;At the start of each turn, gain the &lt;b&gt;Burning&lt;/b&gt; status effect</t>
  </si>
  <si>
    <t>&lt;i&gt;Passive- &lt;b&gt;Enflamed:&lt;/b&gt;&lt;/i&gt;&lt;br&gt;Fire and Burning give you temporary composure instead of dealing damage.</t>
  </si>
  <si>
    <t>&lt;i&gt;Passive- &lt;b&gt;Generative:&lt;/b&gt;&lt;/i&gt;&lt;br&gt;At the start of your turn, if you have less than 4 limbs equipped, draw and equip a limb.</t>
  </si>
  <si>
    <t>You may destroy an equipped limb to replenish a spent token.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</si>
</sst>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rgb="FFF6B0DD"/>
      </patternFill>
    </fill>
    <fill>
      <patternFill patternType="solid">
        <fgColor theme="4"/>
        <bgColor rgb="FFF6B0DD"/>
      </patternFill>
    </fill>
    <fill>
      <patternFill patternType="solid">
        <fgColor theme="4"/>
        <bgColor rgb="FFE7E6E6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0" fillId="2" borderId="3" xfId="0" applyFill="1" applyBorder="1" applyAlignment="1">
      <alignment horizontal="left" vertical="top" wrapText="1" readingOrder="1"/>
    </xf>
    <xf numFmtId="0" fontId="0" fillId="0" borderId="0" xfId="0" applyAlignment="1">
      <alignment horizontal="left" wrapText="1" readingOrder="1"/>
    </xf>
    <xf numFmtId="0" fontId="1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 readingOrder="1"/>
    </xf>
    <xf numFmtId="0" fontId="1" fillId="2" borderId="0" xfId="0" applyFont="1" applyFill="1" applyAlignment="1">
      <alignment horizontal="left" vertical="center" wrapText="1" readingOrder="1"/>
    </xf>
    <xf numFmtId="0" fontId="1" fillId="6" borderId="0" xfId="0" applyFont="1" applyFill="1" applyAlignment="1">
      <alignment horizontal="left" vertical="center" wrapText="1" readingOrder="1"/>
    </xf>
    <xf numFmtId="0" fontId="3" fillId="3" borderId="0" xfId="0" applyFont="1" applyFill="1" applyAlignment="1">
      <alignment horizontal="left" vertical="center" wrapText="1" readingOrder="1"/>
    </xf>
    <xf numFmtId="0" fontId="1" fillId="6" borderId="0" xfId="0" applyFont="1" applyFill="1" applyAlignment="1">
      <alignment horizontal="left" vertical="top" wrapText="1" readingOrder="1"/>
    </xf>
    <xf numFmtId="0" fontId="2" fillId="6" borderId="0" xfId="0" applyFont="1" applyFill="1" applyAlignment="1">
      <alignment horizontal="left" wrapText="1" readingOrder="1"/>
    </xf>
    <xf numFmtId="0" fontId="0" fillId="6" borderId="3" xfId="0" applyFill="1" applyBorder="1" applyAlignment="1">
      <alignment horizontal="left" vertical="top" wrapText="1" readingOrder="1"/>
    </xf>
    <xf numFmtId="0" fontId="0" fillId="7" borderId="0" xfId="0" applyFill="1" applyAlignment="1">
      <alignment horizontal="left" wrapText="1" readingOrder="1"/>
    </xf>
  </cellXfs>
  <cellStyles count="1">
    <cellStyle name="Normal" xfId="0" builtinId="0"/>
  </cellStyles>
  <dxfs count="19">
    <dxf>
      <fill>
        <patternFill patternType="solid">
          <fgColor rgb="FFB4C6E7"/>
          <bgColor rgb="FFB4C6E7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6B0DD"/>
          <bgColor rgb="FFF6B0DD"/>
        </patternFill>
      </fill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numFmt numFmtId="0" formatCode="General"/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vertical="bottom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alignment horizontal="left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8C9A86-C5E9-457E-BBD5-B0220001E261}" name="Table3" displayName="Table3" ref="A1:L33" totalsRowShown="0" headerRowDxfId="18" dataDxfId="17">
  <autoFilter ref="A1:L33" xr:uid="{3E8C9A86-C5E9-457E-BBD5-B0220001E261}"/>
  <sortState xmlns:xlrd2="http://schemas.microsoft.com/office/spreadsheetml/2017/richdata2" ref="A2:L33">
    <sortCondition ref="A1:A33"/>
  </sortState>
  <tableColumns count="12">
    <tableColumn id="1" xr3:uid="{2106E9E5-042B-46BC-A79A-023C4B055B58}" name="Name" dataDxfId="16"/>
    <tableColumn id="2" xr3:uid="{51D787D7-7F74-4D0C-9CC5-75B89724068E}" name="Type" dataDxfId="15"/>
    <tableColumn id="12" xr3:uid="{B1A988C1-3D5C-4B5D-A68A-B59CD60A03B8}" name="SmallTextTag" dataDxfId="14"/>
    <tableColumn id="3" xr3:uid="{F4BCC86F-3C5A-425D-82DD-3B5BD175EF4C}" name="TopRightText" dataDxfId="13"/>
    <tableColumn id="4" xr3:uid="{2C8A664E-01EA-40CC-908A-DC740012C951}" name="Effect 1" dataDxfId="12"/>
    <tableColumn id="5" xr3:uid="{60B2A177-0ADF-4C4B-94F3-8F1BD080C422}" name="Effect 2" dataDxfId="11"/>
    <tableColumn id="6" xr3:uid="{543397FC-147B-4A30-86F1-BF2D263BF9B7}" name="Effect 3" dataDxfId="10"/>
    <tableColumn id="7" xr3:uid="{678EA5A1-4174-4923-9727-732FE3F06A02}" name="Effect 4" dataDxfId="9"/>
    <tableColumn id="8" xr3:uid="{2AF6C5A0-C3EA-40FC-BC31-6F0603688BDB}" name="Flavour Text" dataDxfId="8"/>
    <tableColumn id="9" xr3:uid="{B49FF617-BB55-4143-87E0-3F91B660543B}" name="Body HTML" dataDxfId="7"/>
    <tableColumn id="10" xr3:uid="{3AB787C6-3DC3-4EB4-998A-79712FFF90E2}" name="EquipmentBodyHTML" dataDxfId="6"/>
    <tableColumn id="11" xr3:uid="{176FC117-983F-4346-A7C4-23667302B5D6}" name="Column1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7CD6-E361-4F06-A63B-173175773D70}">
  <sheetPr codeName="Sheet1"/>
  <dimension ref="A1:P33"/>
  <sheetViews>
    <sheetView tabSelected="1" topLeftCell="A3" workbookViewId="0">
      <selection activeCell="C4" sqref="C4"/>
    </sheetView>
  </sheetViews>
  <sheetFormatPr defaultRowHeight="15" x14ac:dyDescent="0.25"/>
  <cols>
    <col min="1" max="3" width="11" customWidth="1"/>
    <col min="4" max="4" width="25.7109375" customWidth="1"/>
    <col min="5" max="5" width="28.140625" customWidth="1"/>
    <col min="6" max="6" width="25.42578125" customWidth="1"/>
    <col min="7" max="7" width="19.85546875" customWidth="1"/>
    <col min="8" max="8" width="11" customWidth="1"/>
    <col min="9" max="9" width="11.140625" customWidth="1"/>
    <col min="10" max="10" width="54.7109375" customWidth="1"/>
    <col min="11" max="11" width="33.140625" customWidth="1"/>
  </cols>
  <sheetData>
    <row r="1" spans="1:16" ht="30" x14ac:dyDescent="0.25">
      <c r="A1" s="1" t="s">
        <v>2</v>
      </c>
      <c r="B1" s="6" t="s">
        <v>3</v>
      </c>
      <c r="C1" s="6" t="s">
        <v>37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7" t="s">
        <v>11</v>
      </c>
      <c r="K1" s="8" t="s">
        <v>10</v>
      </c>
      <c r="L1" s="9" t="s">
        <v>13</v>
      </c>
    </row>
    <row r="2" spans="1:16" ht="165" customHeight="1" x14ac:dyDescent="0.25">
      <c r="A2" s="10" t="s">
        <v>32</v>
      </c>
      <c r="B2" s="10" t="s">
        <v>0</v>
      </c>
      <c r="C2" s="10" t="s">
        <v>38</v>
      </c>
      <c r="D2" s="10" t="s">
        <v>35</v>
      </c>
      <c r="E2" s="10" t="s">
        <v>65</v>
      </c>
      <c r="F2" s="10" t="s">
        <v>67</v>
      </c>
      <c r="G2" s="10" t="s">
        <v>66</v>
      </c>
      <c r="H2" s="10" t="s">
        <v>68</v>
      </c>
      <c r="I2" s="10"/>
      <c r="J2" s="4" t="str">
        <f>IF(C2="yes",_xlfn.CONCAT($P$2,E2,IF(F2="","","&lt;img src=Images\line.png&gt;"),F2,IF(G2="","","&lt;img src=Images\line.png&gt;"),G2,IF(H2="","","&lt;img src=Images\line.png&gt;"),H2,),_xlfn.CONCAT($O$2,E2,IF(F2="","","&lt;img src=Images\line.png&gt;"),F2,IF(G2="","","&lt;img src=Images\line.png&gt;"),G2,IF(H2="","","&lt;img src=Images\line.png&gt;"),H2,))</f>
        <v>&lt;p style="font-size:12px;"&gt;&lt;br&gt;&lt;b&gt;Unstoppable: chargeT &lt;/b&gt;&lt;br&gt;Double your move speed until the end of your turn. (Once per turn)&lt;img src=Images\line.png&gt;&lt;i&gt;Passive - &lt;b&gt;Reckless&lt;/i&gt;:&lt;/b&gt;&lt;br&gt;Your move speed is increased by 1.&lt;br&gt;You take 1 more damage from all sources.&lt;img src=Images\line.png&gt;&lt;i&gt;Passive - &lt;b&gt;Relentless&lt;/i&gt;:&lt;/b&gt;&lt;br&gt;You get an extra AP at the end of each turn, if you are &lt;b&gt;Monstrous&lt;/b&gt;.&lt;img src=Images\line.png&gt;&lt;i&gt;Passive - &lt;b&gt;Victorious:&lt;/i&gt;&lt;/b&gt;&lt;br&gt;Your attacks have the crit option:&lt;br&gt;&lt;b&gt;Howl: &lt;/b&gt;Gain the &lt;b&gt;Monstrous&lt;/b&gt; status effect.</v>
      </c>
      <c r="K2" s="5"/>
      <c r="L2" s="5"/>
      <c r="M2" t="s">
        <v>18</v>
      </c>
      <c r="N2" t="s">
        <v>17</v>
      </c>
      <c r="O2" t="s">
        <v>39</v>
      </c>
      <c r="P2" t="s">
        <v>36</v>
      </c>
    </row>
    <row r="3" spans="1:16" ht="135" x14ac:dyDescent="0.25">
      <c r="A3" s="5" t="s">
        <v>21</v>
      </c>
      <c r="B3" s="5" t="s">
        <v>0</v>
      </c>
      <c r="C3" s="5" t="s">
        <v>38</v>
      </c>
      <c r="D3" s="5"/>
      <c r="E3" s="5" t="s">
        <v>76</v>
      </c>
      <c r="F3" s="5" t="s">
        <v>77</v>
      </c>
      <c r="G3" s="5"/>
      <c r="H3" s="5"/>
      <c r="I3" s="5"/>
      <c r="J3" s="4" t="str">
        <f t="shared" ref="J3:J22" si="0">IF(C3="yes",_xlfn.CONCAT($P$2,E3,IF(F3="","","&lt;img src=Images\line.png&gt;"),F3,IF(G3="","","&lt;img src=Images\line.png&gt;"),G3,IF(H3="","","&lt;img src=Images\line.png&gt;"),H3,),_xlfn.CONCAT($O$2,E3,IF(F3="","","&lt;img src=Images\line.png&gt;"),F3,IF(G3="","","&lt;img src=Images\line.png&gt;"),G3,IF(H3="","","&lt;img src=Images\line.png&gt;"),H3,))</f>
        <v>&lt;p style="font-size:12px;"&gt;&lt;br&gt;&lt;b&gt;Spores: &lt;/b&gt;2 AP or weirdT &lt;br&gt;Fully restore the composure of yourself and all allies within melee range. Reduce the composure of all enemies in melee range by 1. (minimum 1)&lt;br&gt;This ability automatically activates for free when you are wounded.&lt;img src=Images\line.png&gt;&lt;i&gt;Passive - &lt;b&gt;Pulpy:&lt;/i&gt;&lt;/b&gt;&lt;br&gt;Your move speed is reduced by 1.&lt;br&gt;You take 1 less damage from all sources.</v>
      </c>
      <c r="K3" s="5"/>
      <c r="L3" s="5"/>
      <c r="M3" t="str">
        <f>CONCATENATE(G10,IF(H10="","","&lt;img src=Images\line.png&gt;"),H10,IF(I10="","","&lt;img src=Images\line.png&gt;"),I10,IF(J10="","","&lt;img src=Images\line.png&gt;"),J10,IF(K10="","","&lt;img src=Images\line.png&gt;"),K10)</f>
        <v>&lt;i&gt;Passive - &lt;b&gt;Recharge:&lt;/i&gt;&lt;/b&gt;&lt;br /&gt;Your attacks have the crit option:&lt;br&gt;&lt;b&gt;Extract energy: &lt;/b&gt;Refresh 1 chargeT.&lt;img src=Images\line.png&gt;&lt;p style="font-size:14px;"&gt;&lt;br&gt;&lt;b&gt;Dampen:&lt;/b&gt; chargeT&lt;br&gt;Reduce damage taken by 3 until the start of your next turn.&lt;img src=Images\line.png&gt;&lt;b&gt;Beam:&lt;/b&gt; chargeT or weirdTweirdT&lt;br&gt;Teleport to any hex inside a starting zone&lt;img src=Images\line.png&gt;&lt;i&gt;Passive - &lt;b&gt;Recharge:&lt;/i&gt;&lt;/b&gt;&lt;br /&gt;Your attacks have the crit option:&lt;br&gt;&lt;b&gt;Extract energy: &lt;/b&gt;Refresh 1 chargeT.</v>
      </c>
    </row>
    <row r="4" spans="1:16" ht="180" x14ac:dyDescent="0.25">
      <c r="A4" s="5" t="s">
        <v>25</v>
      </c>
      <c r="B4" s="5" t="s">
        <v>0</v>
      </c>
      <c r="C4" s="5"/>
      <c r="D4" s="5"/>
      <c r="E4" s="5" t="s">
        <v>78</v>
      </c>
      <c r="F4" s="5" t="s">
        <v>40</v>
      </c>
      <c r="G4" s="5"/>
      <c r="H4" s="5"/>
      <c r="I4" s="5"/>
      <c r="J4" s="4" t="str">
        <f>IF(C4="yes",_xlfn.CONCAT($P$2,E4,IF(F4="","","&lt;img src=Images\line.png&gt;"),F4,IF(G4="","","&lt;img src=Images\line.png&gt;"),G4,IF(H4="","","&lt;img src=Images\line.png&gt;"),H4,),_xlfn.CONCAT($O$2,E4,IF(F4="","","&lt;img src=Images\line.png&gt;"),F4,IF(G4="","","&lt;img src=Images\line.png&gt;"),G4,IF(H4="","","&lt;img src=Images\line.png&gt;"),H4,))</f>
        <v>&lt;p style="font-size:14px;"&gt;&lt;br&gt;&lt;i&gt;Passive - &lt;b&gt;Warm Glow&lt;/i&gt;:&lt;/b&gt;&lt;br&gt;At the start of your turn, gain 2 temporary composure. Temporary composure can stack from any source up to a cap of 5.&lt;img src=Images\line.png&gt;You may spend 1 temporary composure to do one of the following:&lt;br&gt;&lt;b&gt;Scamper:&lt;/b&gt; Move 1 tile.&lt;br&gt;&lt;b&gt;Focus:&lt;/b&gt;Increase your attack roll by 1.&lt;br&gt;&lt;b&gt;Calm:&lt;/b&gt; Restore 2 composure.</v>
      </c>
      <c r="K4" s="5"/>
      <c r="L4" s="5"/>
    </row>
    <row r="5" spans="1:16" ht="105" x14ac:dyDescent="0.25">
      <c r="A5" s="5" t="s">
        <v>31</v>
      </c>
      <c r="B5" s="5" t="s">
        <v>0</v>
      </c>
      <c r="C5" s="5"/>
      <c r="D5" s="5"/>
      <c r="E5" s="5" t="s">
        <v>69</v>
      </c>
      <c r="F5" s="5" t="s">
        <v>44</v>
      </c>
      <c r="G5" s="5"/>
      <c r="H5" s="5"/>
      <c r="I5" s="5"/>
      <c r="J5" s="4" t="str">
        <f t="shared" si="0"/>
        <v>&lt;p style="font-size:14px;"&gt;&lt;br&gt;&lt;i&gt;Passive - &lt;b&gt;Odd structure:&lt;/i&gt;&lt;/b&gt;&lt;br&gt;Your composure is equal to &lt;b&gt;twice&lt;/b&gt; your &lt;/b&gt;&lt;span style="color:#3366cc"&gt;&lt;strong&gt;Weird&lt;/strong&gt;&lt;/span&gt;.&lt;img src=Images\line.png&gt;&lt;i&gt;Passive - &lt;b&gt;Fragile:&lt;/i&gt;&lt;/b&gt;&lt;br&gt;If you take a wound during combat, you &lt;b&gt;die.&lt;/b&gt;</v>
      </c>
      <c r="K5" s="5"/>
      <c r="L5" s="5"/>
    </row>
    <row r="6" spans="1:16" ht="165" x14ac:dyDescent="0.25">
      <c r="A6" s="5" t="s">
        <v>30</v>
      </c>
      <c r="B6" s="5" t="s">
        <v>0</v>
      </c>
      <c r="C6" s="5" t="s">
        <v>38</v>
      </c>
      <c r="D6" s="11" t="s">
        <v>1</v>
      </c>
      <c r="E6" s="5" t="s">
        <v>45</v>
      </c>
      <c r="F6" s="5" t="s">
        <v>59</v>
      </c>
      <c r="G6" s="5"/>
      <c r="H6" s="5"/>
      <c r="I6" s="5"/>
      <c r="J6" s="4" t="str">
        <f>IF(C6="yes",_xlfn.CONCAT($P$2,E6,IF(F6="","","&lt;img src=Images\line.png&gt;"),F6,IF(G6="","","&lt;img src=Images\line.png&gt;"),G6,IF(H6="","","&lt;img src=Images\line.png&gt;"),H6,),_xlfn.CONCAT($O$2,E6,IF(F6="","","&lt;img src=Images\line.png&gt;"),F6,IF(G6="","","&lt;img src=Images\line.png&gt;"),G6,IF(H6="","","&lt;img src=Images\line.png&gt;"),H6,))</f>
        <v>&lt;p style="font-size:12px;"&gt;&lt;br&gt;&lt;i&gt;Passive - &lt;b&gt;Immense:&lt;/i&gt;&lt;/b&gt;&lt;br&gt;Reduce damage taken from all sources by 1.&lt;br&gt;Your move speed is reduced by 1.&lt;br&gt;Increase the damage of all your melee attacks by 1.&lt;img src=Images\line.png&gt;&lt;i&gt;Passive - &lt;b&gt;Punk rock:&lt;/i&gt;&lt;/b&gt;&lt;br&gt;Your melee attacks have the crit option:&lt;br&gt;&lt;b&gt;Hurl: &lt;/b&gt;Throw the victim in a straight line tiles equal to your &lt;span style="color:#e74c3c"&gt;&lt;strong&gt;Flesh&lt;/strong&gt;&lt;/span&gt;. If they hit terrain or another being, both take 3 damage.</v>
      </c>
      <c r="K6" s="5"/>
      <c r="L6" s="5"/>
    </row>
    <row r="7" spans="1:16" ht="120" x14ac:dyDescent="0.25">
      <c r="A7" s="5" t="s">
        <v>26</v>
      </c>
      <c r="B7" s="5" t="s">
        <v>0</v>
      </c>
      <c r="C7" s="5"/>
      <c r="D7" s="5" t="s">
        <v>35</v>
      </c>
      <c r="E7" s="5" t="s">
        <v>70</v>
      </c>
      <c r="F7" s="5" t="s">
        <v>41</v>
      </c>
      <c r="G7" s="5" t="s">
        <v>60</v>
      </c>
      <c r="H7" s="5"/>
      <c r="I7" s="5"/>
      <c r="J7" s="4" t="str">
        <f>IF(C7="yes",_xlfn.CONCAT($P$2,E7,IF(F7="","","&lt;img src=Images\line.png&gt;"),F7,IF(G7="","","&lt;img src=Images\line.png&gt;"),G7,IF(H7="","","&lt;img src=Images\line.png&gt;"),H7,),_xlfn.CONCAT($O$2,E7,IF(F7="","","&lt;img src=Images\line.png&gt;"),F7,IF(G7="","","&lt;img src=Images\line.png&gt;"),G7,IF(H7="","","&lt;img src=Images\line.png&gt;"),H7,))</f>
        <v>&lt;p style="font-size:14px;"&gt;&lt;br&gt;&lt;b&gt;Command: &lt;/b&gt;1 AP or WeirdT&lt;br&gt;Give target ally 1 AP&lt;img src=Images\line.png&gt;&lt;b&gt;Plot Armour:&lt;/b&gt; charget&lt;br&gt;Prevent all damage from an attack that would kill you.&lt;img src=Images\line.png&gt;&lt;i&gt;Passive - &lt;b&gt;Lead from the front:&lt;/i&gt;&lt;/b&gt;&lt;br&gt;At the start of your turn, if you are closest to the boss (win ties), gain the status effect &lt;b&gt;Monstrous&lt;/b&gt;.</v>
      </c>
      <c r="K7" s="5"/>
      <c r="L7" s="5"/>
    </row>
    <row r="8" spans="1:16" ht="120" x14ac:dyDescent="0.25">
      <c r="A8" s="5" t="s">
        <v>64</v>
      </c>
      <c r="B8" s="5" t="s">
        <v>0</v>
      </c>
      <c r="C8" s="5"/>
      <c r="D8" s="5"/>
      <c r="E8" s="5" t="s">
        <v>71</v>
      </c>
      <c r="F8" s="5" t="s">
        <v>73</v>
      </c>
      <c r="G8" s="5"/>
      <c r="H8" s="5"/>
      <c r="I8" s="5"/>
      <c r="J8" s="4" t="str">
        <f>IF(C8="yes",_xlfn.CONCAT($P$2,E8,IF(F8="","","&lt;img src=Images\line.png&gt;"),F8,IF(G8="","","&lt;img src=Images\line.png&gt;"),G8,IF(H8="","","&lt;img src=Images\line.png&gt;"),H8,),_xlfn.CONCAT($O$2,E8,IF(F8="","","&lt;img src=Images\line.png&gt;"),F8,IF(G8="","","&lt;img src=Images\line.png&gt;"),G8,IF(H8="","","&lt;img src=Images\line.png&gt;"),H8,))</f>
        <v>&lt;p style="font-size:14px;"&gt;&lt;br&gt;&lt;i&gt;Passive - &lt;b&gt;Consuming:&lt;/i&gt;&lt;/b&gt;&lt;br&gt;Your attacks that inflict a wound have the crit option&lt;br&gt;&lt;b&gt;Absorb:&lt;/b&gt; Heal a wound of the same stat you wounded.&lt;img src=Images\line.png&gt;&lt;i&gt;Passive - &lt;b&gt;Regenerative:&lt;/i&gt;&lt;/b&gt;&lt;br&gt;When you take a wound, replenish a spent token of the same stat.</v>
      </c>
      <c r="K8" s="5"/>
      <c r="L8" s="5"/>
    </row>
    <row r="9" spans="1:16" ht="135" x14ac:dyDescent="0.25">
      <c r="A9" s="5" t="s">
        <v>14</v>
      </c>
      <c r="B9" s="5" t="s">
        <v>0</v>
      </c>
      <c r="C9" s="5"/>
      <c r="D9" s="5"/>
      <c r="E9" s="5" t="s">
        <v>72</v>
      </c>
      <c r="F9" s="5" t="s">
        <v>46</v>
      </c>
      <c r="G9" s="5" t="s">
        <v>47</v>
      </c>
      <c r="H9" s="5"/>
      <c r="I9" s="5"/>
      <c r="J9" s="4" t="str">
        <f t="shared" si="0"/>
        <v>&lt;p style="font-size:14px;"&gt;&lt;br&gt;&lt;i&gt;Passive - &lt;b&gt;Long Limbed:&lt;/i&gt;&lt;/b&gt;&lt;br /&gt;You have +1 range on all melee attacks and terrain interactions.&lt;img src=Images\line.png&gt;&lt;i&gt;Passive - &lt;b&gt;Sweeper:&lt;/i&gt;&lt;/b&gt;&lt;br /&gt;Your melee attacks target all possible targets in range, roll once for the attack.&lt;img src=Images\line.png&gt;&lt;i&gt;Passive - &lt;b&gt;Butter Cutter:&lt;/i&gt;&lt;/b&gt;&lt;br /&gt;When you hit two or more creatures with a single attack, replenish a spent token.</v>
      </c>
      <c r="K9" s="5"/>
      <c r="L9" s="5"/>
    </row>
    <row r="10" spans="1:16" ht="120" x14ac:dyDescent="0.25">
      <c r="A10" s="5" t="s">
        <v>24</v>
      </c>
      <c r="B10" s="5" t="s">
        <v>0</v>
      </c>
      <c r="C10" s="5"/>
      <c r="D10" s="5" t="s">
        <v>43</v>
      </c>
      <c r="E10" s="5" t="s">
        <v>42</v>
      </c>
      <c r="F10" s="5" t="s">
        <v>79</v>
      </c>
      <c r="G10" s="5" t="s">
        <v>48</v>
      </c>
      <c r="H10" s="5"/>
      <c r="I10" s="5"/>
      <c r="J10" s="4" t="str">
        <f t="shared" si="0"/>
        <v>&lt;p style="font-size:14px;"&gt;&lt;br&gt;&lt;b&gt;Dampen:&lt;/b&gt; chargeT&lt;br&gt;Reduce damage taken by 3 until the start of your next turn.&lt;img src=Images\line.png&gt;&lt;b&gt;Beam:&lt;/b&gt; chargeT or weirdTweirdT&lt;br&gt;Teleport to any hex inside a starting zone&lt;img src=Images\line.png&gt;&lt;i&gt;Passive - &lt;b&gt;Recharge:&lt;/i&gt;&lt;/b&gt;&lt;br /&gt;Your attacks have the crit option:&lt;br&gt;&lt;b&gt;Extract energy: &lt;/b&gt;Refresh 1 chargeT.</v>
      </c>
      <c r="K10" s="5"/>
      <c r="L10" s="5"/>
    </row>
    <row r="11" spans="1:16" ht="135" x14ac:dyDescent="0.25">
      <c r="A11" s="5" t="s">
        <v>34</v>
      </c>
      <c r="B11" s="5" t="s">
        <v>0</v>
      </c>
      <c r="C11" s="5" t="s">
        <v>38</v>
      </c>
      <c r="D11" s="5"/>
      <c r="E11" s="5" t="s">
        <v>84</v>
      </c>
      <c r="F11" s="5" t="s">
        <v>74</v>
      </c>
      <c r="G11" s="5"/>
      <c r="H11" s="5"/>
      <c r="I11" s="5"/>
      <c r="J11" s="4" t="str">
        <f t="shared" si="0"/>
        <v>&lt;p style="font-size:12px;"&gt;&lt;br&gt;&lt;b&gt;Breathe Fire: &lt;/b&gt;3 AP + weirdT &lt;br&gt;Emit an inferno of fire, adjacent beings take 7 damage, each hex further away reduces damage by 1. &lt;br&gt;This does not cost weirdT if you have the &lt;b&gt;Burning&lt;/b&gt; status effect.&lt;img src=Images\line.png&gt;&lt;i&gt;Passive - &lt;b&gt;Furnace:&lt;/i&gt;&lt;/b&gt;&lt;br&gt;Your move speed is reduced by 1.&lt;br&gt;You take 1 less damage from all sources.&lt;br&gt;You do not take damage from the &lt;b&gt;Burning&lt;/b&gt; status effect.</v>
      </c>
      <c r="K11" s="5"/>
      <c r="L11" s="5"/>
    </row>
    <row r="12" spans="1:16" ht="150" x14ac:dyDescent="0.25">
      <c r="A12" s="5" t="s">
        <v>29</v>
      </c>
      <c r="B12" s="5" t="s">
        <v>0</v>
      </c>
      <c r="C12" s="5" t="s">
        <v>38</v>
      </c>
      <c r="D12" s="5"/>
      <c r="E12" s="5" t="s">
        <v>49</v>
      </c>
      <c r="F12" s="5" t="s">
        <v>75</v>
      </c>
      <c r="G12" s="5" t="s">
        <v>61</v>
      </c>
      <c r="H12" s="5"/>
      <c r="I12" s="5"/>
      <c r="J12" s="4" t="str">
        <f t="shared" si="0"/>
        <v xml:space="preserve">&lt;p style="font-size:12px;"&gt;&lt;br&gt;&lt;i&gt;Passive - &lt;b&gt;Very Fast:&lt;/i&gt;&lt;/b&gt;&lt;br&gt;Your move speed is increased by 2.&lt;img src=Images\line.png&gt;&lt;i&gt;Passive - &lt;b&gt;Multitudinous:&lt;/i&gt;&lt;/b&gt;&lt;br&gt;You have 3 bodies, each 1 hex in size. You may distribute movement between them when moving.&lt;br&gt;When you make a melee attack, all bodies may attack a valid target.&lt;img src=Images\line.png&gt;&lt;i&gt;Passive - &lt;b&gt;Shared Mind:&lt;/i&gt;&lt;/b&gt;&lt;br&gt;Damage taken by any of your bodies is taken in full. </v>
      </c>
      <c r="K12" s="5"/>
      <c r="L12" s="5"/>
    </row>
    <row r="13" spans="1:16" ht="105" x14ac:dyDescent="0.25">
      <c r="A13" s="5" t="s">
        <v>16</v>
      </c>
      <c r="B13" s="5" t="s">
        <v>0</v>
      </c>
      <c r="C13" s="5"/>
      <c r="D13" s="5"/>
      <c r="E13" s="5" t="s">
        <v>83</v>
      </c>
      <c r="F13" s="5" t="s">
        <v>50</v>
      </c>
      <c r="G13" s="5" t="s">
        <v>51</v>
      </c>
      <c r="H13" s="5"/>
      <c r="I13" s="5"/>
      <c r="J13" s="4" t="str">
        <f t="shared" si="0"/>
        <v>&lt;p style="font-size:14px;"&gt;&lt;br&gt;&lt;b&gt;Compell: &lt;/b&gt;1 AP or WeirdT &lt;br&gt;Target creature moves one tile under your control.&lt;img src=Images\line.png&gt;&lt;i&gt;Passive - &lt;b&gt;Slow:&lt;/i&gt;&lt;/b&gt;&lt;br&gt;Your move speed is reduced by 1.&lt;img src=Images\line.png&gt;&lt;i&gt;Passive - &lt;b&gt;Consume:&lt;/i&gt;&lt;/b&gt;&lt;br&gt;Whenever you land a killing blow, restore all wounds to one stat of your choice.</v>
      </c>
      <c r="K13" s="5"/>
      <c r="L13" s="5"/>
    </row>
    <row r="14" spans="1:16" ht="105" x14ac:dyDescent="0.25">
      <c r="A14" s="5" t="s">
        <v>63</v>
      </c>
      <c r="B14" s="5" t="s">
        <v>0</v>
      </c>
      <c r="C14" s="5"/>
      <c r="D14" s="5"/>
      <c r="E14" s="5" t="s">
        <v>80</v>
      </c>
      <c r="F14" s="5" t="s">
        <v>81</v>
      </c>
      <c r="G14" s="5"/>
      <c r="H14" s="5"/>
      <c r="I14" s="5"/>
      <c r="J14" s="4" t="str">
        <f t="shared" si="0"/>
        <v>&lt;p style="font-size:14px;"&gt;&lt;br&gt;&lt;i&gt;Passive - &lt;b&gt;Ghostly:&lt;/i&gt;&lt;br&gt;&lt;/b&gt;While moving, you may pass through solid objects freely and ignore terrain penalties. You may not stop inside terrain.&lt;img src=Images\line.png&gt;&lt;b&gt;Chilling presence: &lt;/b&gt;weirdT&lt;br&gt;Reduce the composure of a being you have moved through this turn by 3 (minimum 1).</v>
      </c>
      <c r="K14" s="5"/>
      <c r="L14" s="5"/>
    </row>
    <row r="15" spans="1:16" ht="90" x14ac:dyDescent="0.25">
      <c r="A15" s="5" t="s">
        <v>22</v>
      </c>
      <c r="B15" s="5" t="s">
        <v>0</v>
      </c>
      <c r="C15" s="5"/>
      <c r="D15" s="5"/>
      <c r="E15" s="5" t="s">
        <v>82</v>
      </c>
      <c r="F15" s="5" t="s">
        <v>62</v>
      </c>
      <c r="G15" s="5"/>
      <c r="H15" s="5"/>
      <c r="I15" s="5"/>
      <c r="J15" s="4" t="str">
        <f t="shared" si="0"/>
        <v>&lt;p style="font-size:14px;"&gt;&lt;br&gt;&lt;i&gt;Passive - &lt;b&gt;Tough:&lt;/i&gt;&lt;br&gt;&lt;/b&gt;You take 1 less damage from all sources.&lt;img src=Images\line.png&gt;&lt;i&gt;Passive - &lt;b&gt;Thorny:&lt;/i&gt;&lt;/b&gt;&lt;br&gt;Whenever you are struck by a melee attack, deal 3 damage back to the attacker.</v>
      </c>
      <c r="K15" s="5"/>
      <c r="L15" s="5"/>
    </row>
    <row r="16" spans="1:16" ht="75" x14ac:dyDescent="0.25">
      <c r="A16" s="5" t="s">
        <v>15</v>
      </c>
      <c r="B16" s="5" t="s">
        <v>0</v>
      </c>
      <c r="C16" s="5"/>
      <c r="D16" s="5"/>
      <c r="E16" s="5" t="s">
        <v>53</v>
      </c>
      <c r="F16" s="5" t="s">
        <v>52</v>
      </c>
      <c r="G16" s="5"/>
      <c r="H16" s="5"/>
      <c r="I16" s="5"/>
      <c r="J16" s="4" t="str">
        <f t="shared" si="0"/>
        <v>&lt;p style="font-size:14px;"&gt;&lt;br&gt;&lt;i&gt;Passive - &lt;b&gt;Just a tail:&lt;/i&gt;&lt;/b&gt;&lt;br&gt;While you have at most 1 limb equipped, you refresh 1 WeirdT at the start of each of your turns.&lt;img src=Images\line.png&gt;&lt;i&gt;Passive - &lt;b&gt;Fast:&lt;/i&gt;&lt;/b&gt;&lt;br&gt;Your move speed is increased by 1.</v>
      </c>
      <c r="K16" s="5"/>
      <c r="L16" s="5"/>
    </row>
    <row r="17" spans="1:12" ht="225" x14ac:dyDescent="0.25">
      <c r="A17" s="5" t="s">
        <v>33</v>
      </c>
      <c r="B17" s="5" t="s">
        <v>0</v>
      </c>
      <c r="C17" s="5" t="s">
        <v>38</v>
      </c>
      <c r="D17" s="5"/>
      <c r="E17" s="5" t="s">
        <v>86</v>
      </c>
      <c r="F17" s="5" t="s">
        <v>85</v>
      </c>
      <c r="G17" s="5"/>
      <c r="H17" s="5"/>
      <c r="I17" s="5"/>
      <c r="J17" s="4" t="str">
        <f t="shared" si="0"/>
        <v>&lt;p style="font-size:12px;"&gt;&lt;br&gt;&lt;b&gt;Heart Bulb: 1 AP&lt;/b&gt;&lt;br&gt;Once per game, you may place a heart bulb on an adjacent hex. This is your weak point, it can be damaged normally. It has your impressions but not your limbs. &lt;b&gt;Your body takes 4 less damage from all sources&lt;/b&gt; after you have placed the heart bulb. Both your heart and body can be inflicted with status effects. Status effects apply to both beings.&lt;img src=Images\line.png&gt;&lt;b&gt;Transplant: &lt;/b&gt;1 AP&lt;br&gt;Swap the location of your body and the heart bulb.</v>
      </c>
      <c r="K17" s="5"/>
      <c r="L17" s="5"/>
    </row>
    <row r="18" spans="1:12" ht="120" x14ac:dyDescent="0.25">
      <c r="A18" s="5" t="s">
        <v>20</v>
      </c>
      <c r="B18" s="5" t="s">
        <v>0</v>
      </c>
      <c r="C18" s="5"/>
      <c r="D18" s="5"/>
      <c r="E18" s="5" t="s">
        <v>54</v>
      </c>
      <c r="F18" s="5" t="s">
        <v>55</v>
      </c>
      <c r="G18" s="5" t="s">
        <v>87</v>
      </c>
      <c r="H18" s="5"/>
      <c r="I18" s="5"/>
      <c r="J18" s="4" t="str">
        <f t="shared" si="0"/>
        <v>&lt;p style="font-size:14px;"&gt;&lt;br&gt;&lt;i&gt;Passive - &lt;b&gt;Easy as walking:&lt;/i&gt;&lt;/b&gt;&lt;br /&gt;Climbing does not cost you &lt;span style="color:#27ae60"&gt;&lt;strong&gt;Jazz&lt;/strong&gt;&lt;/span&gt;.&lt;img src=Images\line.png&gt;&lt;i&gt;Passive - &lt;b&gt;Like Glue:&lt;/i&gt;&lt;/b&gt;&lt;br&gt;You cannot be made to move against your will.&lt;img src=Images\line.png&gt;&lt;i&gt;Passive - &lt;b&gt;Moving is optional:&lt;/i&gt;&lt;/b&gt;&lt;br&gt;At the end of your turn, if you did not move, gain up to 4 temporary composure.</v>
      </c>
      <c r="K18" s="5"/>
      <c r="L18" s="5"/>
    </row>
    <row r="19" spans="1:12" ht="105" x14ac:dyDescent="0.25">
      <c r="A19" s="12" t="s">
        <v>12</v>
      </c>
      <c r="B19" s="13" t="s">
        <v>0</v>
      </c>
      <c r="C19" s="13"/>
      <c r="D19" s="12" t="s">
        <v>1</v>
      </c>
      <c r="E19" s="14" t="s">
        <v>56</v>
      </c>
      <c r="F19" s="14" t="s">
        <v>88</v>
      </c>
      <c r="G19" s="14"/>
      <c r="H19" s="14"/>
      <c r="I19" s="15"/>
      <c r="J19" s="16" t="str">
        <f t="shared" si="0"/>
        <v>&lt;p style="font-size:14px;"&gt;&lt;br&gt;&lt;i&gt;Passive - &lt;b&gt;Stone Flesh:&lt;/i&gt;&lt;/b&gt;&lt;br /&gt;Reduce damage taken by 3 and your move speed by 2. &lt;img src=Images\line.png&gt;&lt;i&gt;Passive - &lt;b&gt;Behemoth: &lt;/i&gt;&lt;/b&gt; &lt;br /&gt;Effects cannot move you, only the move action will cause you to move.&lt;br&gt;Moving into a 1 hex wide space counts as moving 2 hexes.</v>
      </c>
      <c r="K19" s="17"/>
      <c r="L19" s="17" t="s">
        <v>19</v>
      </c>
    </row>
    <row r="20" spans="1:12" ht="90" x14ac:dyDescent="0.25">
      <c r="A20" s="5" t="s">
        <v>28</v>
      </c>
      <c r="B20" s="5" t="s">
        <v>0</v>
      </c>
      <c r="C20" s="5"/>
      <c r="D20" s="5"/>
      <c r="E20" s="5" t="s">
        <v>57</v>
      </c>
      <c r="F20" s="5" t="s">
        <v>58</v>
      </c>
      <c r="G20" s="5"/>
      <c r="H20" s="5"/>
      <c r="I20" s="5"/>
      <c r="J20" s="4" t="str">
        <f>IF(C20="yes",_xlfn.CONCAT($P$2,E20,IF(F20="","","&lt;img src=Images\line.png&gt;"),F20,IF(G20="","","&lt;img src=Images\line.png&gt;"),G20,IF(H20="","","&lt;img src=Images\line.png&gt;"),H20,),_xlfn.CONCAT($O$2,E20,IF(F20="","","&lt;img src=Images\line.png&gt;"),F20,IF(G20="","","&lt;img src=Images\line.png&gt;"),G20,IF(H20="","","&lt;img src=Images\line.png&gt;"),H20,))</f>
        <v>&lt;p style="font-size:14px;"&gt;&lt;br&gt;&lt;i&gt;Passive - &lt;b&gt;Radioactive:&lt;/i&gt;&lt;/b&gt;&lt;br&gt;Whenever you spend weirdt, adjacent beings take 2 damage.&lt;img src=Images\line.png&gt;&lt;i&gt;Passive - &lt;b&gt;Decay:&lt;/i&gt;&lt;/b&gt;&lt;br&gt;At the end of each of your turns, take 2 damage and refresh 1 weirdT.</v>
      </c>
      <c r="K20" s="5"/>
      <c r="L20" s="5"/>
    </row>
    <row r="21" spans="1:12" ht="150" x14ac:dyDescent="0.25">
      <c r="A21" s="5" t="s">
        <v>23</v>
      </c>
      <c r="B21" s="5" t="s">
        <v>0</v>
      </c>
      <c r="C21" s="5"/>
      <c r="D21" s="5"/>
      <c r="E21" s="5" t="s">
        <v>91</v>
      </c>
      <c r="F21" s="5" t="s">
        <v>90</v>
      </c>
      <c r="G21" s="5" t="s">
        <v>89</v>
      </c>
      <c r="H21" s="5"/>
      <c r="I21" s="5"/>
      <c r="J21" s="4" t="str">
        <f t="shared" si="0"/>
        <v>&lt;p style="font-size:14px;"&gt;&lt;br&gt;&lt;i&gt;Passive- &lt;b&gt;Enflamed:&lt;/b&gt;&lt;/i&gt;&lt;br&gt;Fire and Burning give you temporary composure instead of dealing damage.&lt;img src=Images\line.png&gt;&lt;i&gt;Passive - &lt;b&gt;Flame geysers:&lt;/i&gt;&lt;/b&gt;&lt;br&gt;At the start of each turn, gain the &lt;b&gt;Burning&lt;/b&gt; status effect&lt;img src=Images\line.png&gt;&lt;i&gt;Passive - &lt;b&gt;Fiery:&lt;/i&gt;&lt;/b&gt;&lt;br&gt;Your attacks gain the crit option:&lt;br&gt;&lt;b&gt;Set alight:&lt;/b&gt; Inflict the &lt;b&gt;Burning&lt;/b&gt; status effect.</v>
      </c>
      <c r="K21" s="5"/>
      <c r="L21" s="5"/>
    </row>
    <row r="22" spans="1:12" ht="90" x14ac:dyDescent="0.25">
      <c r="A22" s="5" t="s">
        <v>27</v>
      </c>
      <c r="B22" s="5" t="s">
        <v>0</v>
      </c>
      <c r="C22" s="5"/>
      <c r="D22" s="5"/>
      <c r="E22" s="5" t="s">
        <v>92</v>
      </c>
      <c r="F22" s="5" t="s">
        <v>93</v>
      </c>
      <c r="G22" s="5"/>
      <c r="H22" s="5"/>
      <c r="I22" s="5"/>
      <c r="J22" s="4" t="str">
        <f t="shared" si="0"/>
        <v>&lt;p style="font-size:14px;"&gt;&lt;br&gt;&lt;i&gt;Passive- &lt;b&gt;Generative:&lt;/b&gt;&lt;/i&gt;&lt;br&gt;At the start of your turn, if you have less than 4 limbs equipped, draw and equip a limb.&lt;img src=Images\line.png&gt;You may destroy an equipped limb to replenish a spent token.</v>
      </c>
      <c r="K22" s="5"/>
      <c r="L22" s="5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4"/>
      <c r="K23" s="5"/>
      <c r="L23" s="5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4"/>
      <c r="K24" s="5"/>
      <c r="L24" s="5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4"/>
      <c r="K25" s="5"/>
      <c r="L25" s="5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4"/>
      <c r="K26" s="5"/>
      <c r="L26" s="5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4"/>
      <c r="K27" s="5"/>
      <c r="L27" s="5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4"/>
      <c r="K28" s="5"/>
      <c r="L28" s="5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4"/>
      <c r="K29" s="5"/>
      <c r="L29" s="5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4"/>
      <c r="K30" s="5"/>
      <c r="L30" s="5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4"/>
      <c r="K31" s="5"/>
      <c r="L31" s="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4"/>
      <c r="K32" s="5"/>
      <c r="L32" s="5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4" t="str">
        <f>_xlfn.CONCAT(O32,IF(E33="","","&lt;img src=Images\line.png&gt;"),E33,IF(F33="","","&lt;img src=Images\line.png&gt;"),F33,IF(G33="","","&lt;img src=Images\line.png&gt;"),G33,IF(H33="","","&lt;img src=Images\line.png&gt;"),H33,)</f>
        <v/>
      </c>
      <c r="K33" s="5"/>
      <c r="L33" s="5"/>
    </row>
  </sheetData>
  <conditionalFormatting sqref="B1:C2">
    <cfRule type="containsText" dxfId="4" priority="1" operator="containsText" text="Accessory">
      <formula>NOT(ISERROR(SEARCH(("Accessory"),(B1))))</formula>
    </cfRule>
    <cfRule type="containsText" dxfId="3" priority="2" operator="containsText" text="Armour">
      <formula>NOT(ISERROR(SEARCH(("Armour"),(B1))))</formula>
    </cfRule>
    <cfRule type="containsText" dxfId="2" priority="3" operator="containsText" text="Equipment">
      <formula>NOT(ISERROR(SEARCH(("Equipment"),(B1))))</formula>
    </cfRule>
    <cfRule type="containsText" dxfId="1" priority="4" operator="containsText" text="Impression">
      <formula>NOT(ISERROR(SEARCH(("Impression"),(B1))))</formula>
    </cfRule>
    <cfRule type="containsText" dxfId="0" priority="5" operator="containsText" text="Spell">
      <formula>NOT(ISERROR(SEARCH(("Spell"),(B1))))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EB742E1A5654587064A46DDB6CD15" ma:contentTypeVersion="1" ma:contentTypeDescription="Create a new document." ma:contentTypeScope="" ma:versionID="e55e2f9787318b7f716360a3e6de5d16">
  <xsd:schema xmlns:xsd="http://www.w3.org/2001/XMLSchema" xmlns:xs="http://www.w3.org/2001/XMLSchema" xmlns:p="http://schemas.microsoft.com/office/2006/metadata/properties" xmlns:ns3="d3d2b77b-9d76-4307-b430-cfd0491e2700" targetNamespace="http://schemas.microsoft.com/office/2006/metadata/properties" ma:root="true" ma:fieldsID="5c7964d0f203b5786a93e8b285789b37" ns3:_="">
    <xsd:import namespace="d3d2b77b-9d76-4307-b430-cfd0491e27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b77b-9d76-4307-b430-cfd0491e27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C2C9E0-1F0F-46F6-8F71-1762C6A86D23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2D555B-6F02-459E-B070-D7B6B8E41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</dc:creator>
  <cp:lastModifiedBy>NTK</cp:lastModifiedBy>
  <dcterms:created xsi:type="dcterms:W3CDTF">2025-06-22T09:18:10Z</dcterms:created>
  <dcterms:modified xsi:type="dcterms:W3CDTF">2025-08-23T08:29:45Z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