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CardFiles\"/>
    </mc:Choice>
  </mc:AlternateContent>
  <xr:revisionPtr revIDLastSave="0" documentId="13_ncr:1_{06114982-063A-4D42-86E3-25104889A05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5" i="1" l="1" a="1"/>
  <c r="R5" i="1" s="1"/>
  <c r="P5" i="1" s="1"/>
  <c r="Q5" i="1" s="1"/>
  <c r="R2" i="1" a="1"/>
  <c r="R2" i="1" s="1"/>
  <c r="P2" i="1" s="1"/>
  <c r="Q2" i="1" s="1"/>
  <c r="Y3" i="1" l="1"/>
  <c r="Y4" i="1" l="1"/>
  <c r="Y5" i="1" s="1"/>
  <c r="Y6" i="1" s="1"/>
  <c r="U5" i="1" l="1" a="1"/>
  <c r="U5" i="1" s="1"/>
  <c r="S5" i="1" s="1"/>
  <c r="T5" i="1" s="1"/>
  <c r="X5" i="1" a="1"/>
  <c r="X5" i="1" s="1"/>
  <c r="V5" i="1" s="1"/>
  <c r="W5" i="1" s="1"/>
  <c r="X2" i="1" a="1"/>
  <c r="X2" i="1" s="1"/>
  <c r="V2" i="1" s="1"/>
  <c r="W2" i="1" s="1"/>
  <c r="U2" i="1" a="1"/>
  <c r="U2" i="1" s="1"/>
  <c r="S2" i="1" s="1"/>
  <c r="T2" i="1" s="1"/>
  <c r="Y7" i="1"/>
  <c r="Y8" i="1" l="1"/>
  <c r="Y9" i="1" l="1"/>
  <c r="Y10" i="1" l="1"/>
  <c r="Y11" i="1" l="1"/>
  <c r="Y12" i="1" l="1"/>
  <c r="Y13" i="1" l="1"/>
  <c r="Y14" i="1" l="1"/>
  <c r="Y15" i="1" l="1"/>
  <c r="Y16" i="1" l="1"/>
  <c r="Y17" i="1" l="1"/>
  <c r="Y18" i="1" l="1"/>
  <c r="Y19" i="1" l="1"/>
  <c r="Y20" i="1" l="1"/>
  <c r="X12" i="1" l="1" a="1"/>
  <c r="U11" i="1" a="1"/>
  <c r="U3" i="1" a="1"/>
  <c r="R3" i="1" a="1"/>
  <c r="U12" i="1" a="1"/>
  <c r="R6" i="1" a="1"/>
  <c r="U9" i="1" a="1"/>
  <c r="X7" i="1" a="1"/>
  <c r="U4" i="1" a="1"/>
  <c r="R12" i="1" a="1"/>
  <c r="R10" i="1" a="1"/>
  <c r="U13" i="1" a="1"/>
  <c r="X13" i="1" a="1"/>
  <c r="U7" i="1" a="1"/>
  <c r="X11" i="1" a="1"/>
  <c r="X8" i="1" a="1"/>
  <c r="U8" i="1" a="1"/>
  <c r="R11" i="1" a="1"/>
  <c r="X4" i="1" a="1"/>
  <c r="X3" i="1" a="1"/>
  <c r="R4" i="1" a="1"/>
  <c r="X10" i="1" a="1"/>
  <c r="U10" i="1" a="1"/>
  <c r="R9" i="1" a="1"/>
  <c r="U6" i="1" a="1"/>
  <c r="X6" i="1" a="1"/>
  <c r="R7" i="1" a="1"/>
  <c r="R13" i="1" a="1"/>
  <c r="X9" i="1" a="1"/>
  <c r="R8" i="1" a="1"/>
  <c r="Y21" i="1"/>
  <c r="X12" i="1" l="1"/>
  <c r="V12" i="1" s="1"/>
  <c r="W12" i="1" s="1"/>
  <c r="U11" i="1"/>
  <c r="S11" i="1" s="1"/>
  <c r="T11" i="1" s="1"/>
  <c r="U12" i="1"/>
  <c r="S12" i="1" s="1"/>
  <c r="T12" i="1" s="1"/>
  <c r="R12" i="1"/>
  <c r="P12" i="1" s="1"/>
  <c r="Q12" i="1" s="1"/>
  <c r="R3" i="1"/>
  <c r="P3" i="1" s="1"/>
  <c r="Q3" i="1" s="1"/>
  <c r="R6" i="1"/>
  <c r="P6" i="1" s="1"/>
  <c r="Q6" i="1" s="1"/>
  <c r="U4" i="1"/>
  <c r="S4" i="1" s="1"/>
  <c r="T4" i="1" s="1"/>
  <c r="R10" i="1"/>
  <c r="P10" i="1" s="1"/>
  <c r="Q10" i="1" s="1"/>
  <c r="U13" i="1"/>
  <c r="S13" i="1" s="1"/>
  <c r="T13" i="1" s="1"/>
  <c r="U7" i="1"/>
  <c r="S7" i="1" s="1"/>
  <c r="T7" i="1" s="1"/>
  <c r="X8" i="1"/>
  <c r="V8" i="1" s="1"/>
  <c r="W8" i="1" s="1"/>
  <c r="U8" i="1"/>
  <c r="S8" i="1" s="1"/>
  <c r="T8" i="1" s="1"/>
  <c r="R11" i="1"/>
  <c r="P11" i="1" s="1"/>
  <c r="Q11" i="1" s="1"/>
  <c r="X7" i="1"/>
  <c r="V7" i="1" s="1"/>
  <c r="W7" i="1" s="1"/>
  <c r="X4" i="1"/>
  <c r="V4" i="1" s="1"/>
  <c r="W4" i="1" s="1"/>
  <c r="X3" i="1"/>
  <c r="V3" i="1" s="1"/>
  <c r="W3" i="1" s="1"/>
  <c r="X10" i="1"/>
  <c r="V10" i="1" s="1"/>
  <c r="W10" i="1" s="1"/>
  <c r="U10" i="1"/>
  <c r="S10" i="1" s="1"/>
  <c r="T10" i="1" s="1"/>
  <c r="X13" i="1"/>
  <c r="V13" i="1" s="1"/>
  <c r="W13" i="1" s="1"/>
  <c r="R4" i="1"/>
  <c r="P4" i="1" s="1"/>
  <c r="Q4" i="1" s="1"/>
  <c r="R7" i="1"/>
  <c r="P7" i="1" s="1"/>
  <c r="Q7" i="1" s="1"/>
  <c r="R9" i="1"/>
  <c r="P9" i="1" s="1"/>
  <c r="Q9" i="1" s="1"/>
  <c r="U6" i="1"/>
  <c r="S6" i="1" s="1"/>
  <c r="T6" i="1" s="1"/>
  <c r="X6" i="1"/>
  <c r="V6" i="1" s="1"/>
  <c r="W6" i="1" s="1"/>
  <c r="R13" i="1"/>
  <c r="P13" i="1" s="1"/>
  <c r="Q13" i="1" s="1"/>
  <c r="X11" i="1"/>
  <c r="V11" i="1" s="1"/>
  <c r="W11" i="1" s="1"/>
  <c r="X9" i="1"/>
  <c r="V9" i="1" s="1"/>
  <c r="W9" i="1" s="1"/>
  <c r="R8" i="1"/>
  <c r="P8" i="1" s="1"/>
  <c r="Q8" i="1" s="1"/>
  <c r="U3" i="1"/>
  <c r="S3" i="1" s="1"/>
  <c r="T3" i="1" s="1"/>
  <c r="U9" i="1"/>
  <c r="S9" i="1" s="1"/>
  <c r="T9" i="1" s="1"/>
  <c r="Y22" i="1"/>
  <c r="Y23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<sst xmlns="http://schemas.openxmlformats.org/spreadsheetml/2006/main" count="57" uniqueCount="50">
  <si>
    <t>Name</t>
  </si>
  <si>
    <t>Type</t>
  </si>
  <si>
    <t>Effect 1</t>
  </si>
  <si>
    <t>Effect 2</t>
  </si>
  <si>
    <t>Effect 3</t>
  </si>
  <si>
    <t>Baleful Eye</t>
  </si>
  <si>
    <t>Limb</t>
  </si>
  <si>
    <t>Effect 1 Title</t>
  </si>
  <si>
    <t>Effect 1 Type</t>
  </si>
  <si>
    <t>Mark a target as your hated target. You can only have one target at a time.</t>
  </si>
  <si>
    <t>&lt;b&gt;Rancor: &lt;/b&gt;2 AP + weirdTJazzT</t>
  </si>
  <si>
    <t>Active</t>
  </si>
  <si>
    <t>Effect 2 Type</t>
  </si>
  <si>
    <t>Effect 2 Title</t>
  </si>
  <si>
    <t>Effect 3 Type</t>
  </si>
  <si>
    <t>Effect 3 Title</t>
  </si>
  <si>
    <t>&lt;b&gt; Scorn:&lt;/b&gt; 2 AP</t>
  </si>
  <si>
    <t>Charges</t>
  </si>
  <si>
    <t>Effect 2 Y</t>
  </si>
  <si>
    <t>Effect 3 Y</t>
  </si>
  <si>
    <t>Effect 1 Y</t>
  </si>
  <si>
    <t>Ypos</t>
  </si>
  <si>
    <t>E1BY</t>
  </si>
  <si>
    <t>E1TY</t>
  </si>
  <si>
    <t>E1Y</t>
  </si>
  <si>
    <t>E2TY</t>
  </si>
  <si>
    <t>E2BY</t>
  </si>
  <si>
    <t>E2Y</t>
  </si>
  <si>
    <t>E3TY</t>
  </si>
  <si>
    <t>E3BY</t>
  </si>
  <si>
    <t>E3Y</t>
  </si>
  <si>
    <t>Ability Offset</t>
  </si>
  <si>
    <t>Border Offset</t>
  </si>
  <si>
    <t>Title Offset</t>
  </si>
  <si>
    <t>Attack</t>
  </si>
  <si>
    <t>Slime Shooter</t>
  </si>
  <si>
    <t>Passive</t>
  </si>
  <si>
    <t>When you take a move action, you may spend weirdt to leave a trail of goo in all hexes moved out of. Moving through this goo costs 2 hexes of movement per hex.</t>
  </si>
  <si>
    <t>&lt;b&gt;Slime Glob: 2 AP</t>
  </si>
  <si>
    <t>&lt;b&gt;Damage = 4, ranged.&lt;/b&gt;&lt;br&gt;This attack can only target your hated target.&lt;br&gt;Critical options:&lt;br&gt;&lt;b&gt;Omen:&lt;/b&gt; inflict the &lt;b&gt;Cursed&lt;/b&gt; status effect</t>
  </si>
  <si>
    <t>&lt;b&gt;Damage = 2, reach.&lt;/b&gt;&lt;br&gt;Inflicts the &lt;b&gt;Entangled&lt;/b&gt; status effect on a hit.</t>
  </si>
  <si>
    <t xml:space="preserve">&lt;i&gt;&lt;b&gt;Secretions:&lt;/b&gt;  Passive&lt;/i&gt;   </t>
  </si>
  <si>
    <t>Bladed Fingers</t>
  </si>
  <si>
    <t>Cicada Wings</t>
  </si>
  <si>
    <t>&lt;b&gt; 1000 Cuts: &lt;/b&gt;2 AP</t>
  </si>
  <si>
    <t>&lt;b&gt;Damage = 3 , close range.&lt;/b&gt;&lt;br&gt;Critical options:&lt;br&gt;&lt;b&gt;Flurry:&lt;/b&gt;Your next attack costs 1 less AP.&lt;br&gt;&lt;b&gt;Strike:&lt;/b&gt; +1 Damage.</t>
  </si>
  <si>
    <t>&lt;b&gt;Fly: &lt;/b&gt;2 AP or  weirdT</t>
  </si>
  <si>
    <t>Make a move action with + 1 speed, ignore terrain during this move (within reason).</t>
  </si>
  <si>
    <t>&lt;b&gt;Chirp Tune: &lt;/b&gt;3 AP</t>
  </si>
  <si>
    <t>You and any number of target allies each gain up to 3 temporary composure.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</si>
</sst>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8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0"/>
        <bgColor rgb="FF969696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horizontal="left" wrapText="1" readingOrder="1"/>
    </xf>
    <xf numFmtId="0" fontId="0" fillId="0" borderId="3" xfId="0" applyBorder="1" applyAlignment="1">
      <alignment horizontal="left" wrapText="1" readingOrder="1"/>
    </xf>
    <xf numFmtId="0" fontId="0" fillId="0" borderId="0" xfId="0" applyAlignment="1">
      <alignment wrapText="1"/>
    </xf>
    <xf numFmtId="0" fontId="0" fillId="0" borderId="0" xfId="0" applyAlignment="1">
      <alignment horizontal="left" wrapText="1" readingOrder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left" wrapText="1" readingOrder="1"/>
    </xf>
    <xf numFmtId="0" fontId="0" fillId="0" borderId="0" xfId="0" applyBorder="1" applyAlignment="1">
      <alignment horizontal="left" wrapText="1" readingOrder="1"/>
    </xf>
  </cellXfs>
  <cellStyles count="1">
    <cellStyle name="Normal" xfId="0" builtinId="0"/>
  </cellStyles>
  <dxfs count="34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left" vertical="bottom" textRotation="0" wrapText="1" indent="0" justifyLastLine="0" shrinkToFit="0" readingOrder="1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8</v>
    <v>1</v>
  </rv>
  <rv s="1">
    <v>0</v>
    <v>8</v>
    <v>18</v>
    <v>5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Y62" totalsRowShown="0">
  <autoFilter ref="A1:Y62" xr:uid="{00000000-0009-0000-0100-000001000000}"/>
  <sortState xmlns:xlrd2="http://schemas.microsoft.com/office/spreadsheetml/2017/richdata2" ref="A2:Y62">
    <sortCondition ref="A1:A62"/>
  </sortState>
  <tableColumns count="25">
    <tableColumn id="1" xr3:uid="{00000000-0010-0000-0000-000001000000}" name="Name"/>
    <tableColumn id="2" xr3:uid="{00000000-0010-0000-0000-000002000000}" name="Type"/>
    <tableColumn id="4" xr3:uid="{00000000-0010-0000-0000-000004000000}" name="Charges"/>
    <tableColumn id="20" xr3:uid="{CB9824E5-A740-4FE3-BCEB-C9A8B9A20A6F}" name="Effect 1 Y" dataDxfId="33"/>
    <tableColumn id="12" xr3:uid="{61FB1168-E521-4999-B9B1-B541D01EF8B8}" name="Effect 1 Type" dataDxfId="32"/>
    <tableColumn id="11" xr3:uid="{728899FC-C50B-4AB0-8157-B2961DC174E5}" name="Effect 1 Title" dataDxfId="31"/>
    <tableColumn id="5" xr3:uid="{00000000-0010-0000-0000-000005000000}" name="Effect 1"/>
    <tableColumn id="3" xr3:uid="{B518B047-3B8D-4F7F-BF57-46653BA3E90A}" name="Effect 2 Y" dataDxfId="30">
      <calculatedColumnFormula>#REF!+0.6</calculatedColumnFormula>
    </tableColumn>
    <tableColumn id="6" xr3:uid="{00000000-0010-0000-0000-000006000000}" name="Effect 2 Type"/>
    <tableColumn id="7" xr3:uid="{00000000-0010-0000-0000-000007000000}" name="Effect 2 Title"/>
    <tableColumn id="14" xr3:uid="{754357A5-E406-4611-AB3C-20AC5A964569}" name="Effect 2" dataDxfId="29"/>
    <tableColumn id="9" xr3:uid="{19A9845D-F5E0-412D-B3D3-D2AA98F22015}" name="Effect 3 Y" dataDxfId="28">
      <calculatedColumnFormula>#REF!+Table3[[#This Row],[Effect 2 Y]]</calculatedColumnFormula>
    </tableColumn>
    <tableColumn id="13" xr3:uid="{5E84F09A-22B8-4562-A869-32D13202A8AC}" name="Effect 3 Type" dataDxfId="27"/>
    <tableColumn id="10" xr3:uid="{AA634BBF-CBD7-410B-ACFF-6BAAF336A1A5}" name="Effect 3 Title" dataDxfId="26"/>
    <tableColumn id="16" xr3:uid="{E5181A74-E9DC-4FA4-9CCF-432070B5D74B}" name="Effect 3" dataDxfId="25"/>
    <tableColumn id="26" xr3:uid="{ABB25E88-814C-43E2-A221-63BDD7999E71}" name="E1TY" dataDxfId="24">
      <calculatedColumnFormula>Table3[[#This Row],[E1Y]]+AC6</calculatedColumnFormula>
    </tableColumn>
    <tableColumn id="25" xr3:uid="{A2998808-EB82-42E2-BE17-5858A6BB7BBC}" name="E1BY" dataDxfId="23">
      <calculatedColumnFormula>Table3[[#This Row],[E1TY]]+AB6</calculatedColumnFormula>
    </tableColumn>
    <tableColumn id="24" xr3:uid="{BB9BA851-7E24-47AB-944C-68B78FFF12C5}" name="E1Y" dataDxfId="22">
      <calculatedColumnFormula array="1">INDEX(Y2:Y20,Table3[[#This Row],[Effect 1 Y]])</calculatedColumnFormula>
    </tableColumn>
    <tableColumn id="31" xr3:uid="{759B7CF3-A7ED-4E33-9797-2863FC36319A}" name="E2TY" dataDxfId="21">
      <calculatedColumnFormula>Table3[[#This Row],[E2Y]]+AC6</calculatedColumnFormula>
    </tableColumn>
    <tableColumn id="30" xr3:uid="{F8FEDFEC-0D17-4A94-80DF-078563DFCFD4}" name="E2BY" dataDxfId="20">
      <calculatedColumnFormula>Table3[[#This Row],[E2TY]]+AB6</calculatedColumnFormula>
    </tableColumn>
    <tableColumn id="29" xr3:uid="{6E54FF94-FCB4-4293-BCFE-535CDEAC1B5E}" name="E2Y" dataDxfId="19">
      <calculatedColumnFormula array="1">INDEX(Y2:Y20,Table3[[#This Row],[Effect 2 Y]])+AA6</calculatedColumnFormula>
    </tableColumn>
    <tableColumn id="28" xr3:uid="{77ECECFD-32BE-4763-8AB7-1E3FC5CE4019}" name="E3TY" dataDxfId="18">
      <calculatedColumnFormula>Table3[[#This Row],[E3Y]]+AC6</calculatedColumnFormula>
    </tableColumn>
    <tableColumn id="27" xr3:uid="{140B097E-9EEB-471A-900F-3BBD696BA528}" name="E3BY" dataDxfId="17">
      <calculatedColumnFormula>Table3[[#This Row],[E3TY]]+AB6</calculatedColumnFormula>
    </tableColumn>
    <tableColumn id="18" xr3:uid="{2A07D97B-1E57-417D-A0CA-568147DB1F72}" name="E3Y" dataDxfId="16">
      <calculatedColumnFormula array="1">INDEX(Y2:Y20,Table3[[#This Row],[Effect 3 Y]])+2*AA6</calculatedColumnFormula>
    </tableColumn>
    <tableColumn id="32" xr3:uid="{7233BA53-A0B3-461D-B44B-9F878A484125}" name="Ypos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62"/>
  <sheetViews>
    <sheetView tabSelected="1" topLeftCell="A2" zoomScaleNormal="100" workbookViewId="0">
      <selection activeCell="K4" sqref="K4"/>
    </sheetView>
  </sheetViews>
  <sheetFormatPr defaultColWidth="8.5703125" defaultRowHeight="15" customHeight="1" x14ac:dyDescent="0.25"/>
  <cols>
    <col min="1" max="1" width="11" customWidth="1"/>
    <col min="2" max="2" width="6" customWidth="1"/>
    <col min="3" max="3" width="9.7109375" customWidth="1"/>
    <col min="4" max="4" width="5.42578125" customWidth="1"/>
    <col min="5" max="5" width="8.28515625" customWidth="1"/>
    <col min="6" max="6" width="12.42578125" customWidth="1"/>
    <col min="7" max="7" width="32.28515625" customWidth="1"/>
    <col min="8" max="8" width="11.140625" customWidth="1"/>
    <col min="9" max="9" width="13" customWidth="1"/>
    <col min="10" max="10" width="12.85546875" customWidth="1"/>
    <col min="11" max="11" width="29.7109375" customWidth="1"/>
    <col min="12" max="12" width="8.28515625" customWidth="1"/>
    <col min="15" max="15" width="33.140625" customWidth="1"/>
    <col min="16" max="23" width="10.5703125" customWidth="1"/>
    <col min="24" max="24" width="8.5703125" customWidth="1"/>
    <col min="26" max="26" width="15.42578125" customWidth="1"/>
    <col min="27" max="27" width="16" customWidth="1"/>
  </cols>
  <sheetData>
    <row r="1" spans="1:29" ht="30" x14ac:dyDescent="0.25">
      <c r="A1" s="1" t="s">
        <v>0</v>
      </c>
      <c r="B1" s="2" t="s">
        <v>1</v>
      </c>
      <c r="C1" s="1" t="s">
        <v>17</v>
      </c>
      <c r="D1" s="1" t="s">
        <v>20</v>
      </c>
      <c r="E1" s="1" t="s">
        <v>8</v>
      </c>
      <c r="F1" s="1" t="s">
        <v>7</v>
      </c>
      <c r="G1" s="3" t="s">
        <v>2</v>
      </c>
      <c r="H1" s="3" t="s">
        <v>18</v>
      </c>
      <c r="I1" s="1" t="s">
        <v>12</v>
      </c>
      <c r="J1" s="1" t="s">
        <v>13</v>
      </c>
      <c r="K1" s="1" t="s">
        <v>3</v>
      </c>
      <c r="L1" s="1" t="s">
        <v>19</v>
      </c>
      <c r="M1" s="1" t="s">
        <v>14</v>
      </c>
      <c r="N1" s="1" t="s">
        <v>15</v>
      </c>
      <c r="O1" s="1" t="s">
        <v>4</v>
      </c>
      <c r="P1" t="s">
        <v>23</v>
      </c>
      <c r="Q1" t="s">
        <v>22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21</v>
      </c>
    </row>
    <row r="2" spans="1:29" ht="193.5" customHeight="1" x14ac:dyDescent="0.25">
      <c r="A2" s="4" t="s">
        <v>5</v>
      </c>
      <c r="B2" s="4" t="s">
        <v>6</v>
      </c>
      <c r="C2" s="4"/>
      <c r="D2" s="4">
        <v>1</v>
      </c>
      <c r="E2" s="4" t="s">
        <v>11</v>
      </c>
      <c r="F2" s="4" t="s">
        <v>10</v>
      </c>
      <c r="G2" s="4" t="s">
        <v>9</v>
      </c>
      <c r="H2" s="4">
        <v>5</v>
      </c>
      <c r="I2" s="4" t="s">
        <v>34</v>
      </c>
      <c r="J2" s="4" t="s">
        <v>16</v>
      </c>
      <c r="K2" s="4" t="s">
        <v>39</v>
      </c>
      <c r="L2" s="4">
        <v>5</v>
      </c>
      <c r="M2" s="4"/>
      <c r="N2" s="4"/>
      <c r="O2" s="4"/>
      <c r="P2" s="8">
        <f>Table3[[#This Row],[E1Y]]+AC$6</f>
        <v>2.36</v>
      </c>
      <c r="Q2" s="8">
        <f>Table3[[#This Row],[E1TY]]+AB$6</f>
        <v>2.2399999999999998</v>
      </c>
      <c r="R2" s="8" cm="1">
        <f t="array" ref="R2">INDEX($Y$2:$Y$20,Table3[[#This Row],[Effect 1 Y]])</f>
        <v>2.96</v>
      </c>
      <c r="S2" s="8">
        <f>Table3[[#This Row],[E2Y]]+AC$6</f>
        <v>4.5600000000000005</v>
      </c>
      <c r="T2" s="8">
        <f>Table3[[#This Row],[E2TY]]+AB$6</f>
        <v>4.4400000000000004</v>
      </c>
      <c r="U2" s="8" cm="1">
        <f t="array" ref="U2">INDEX($Y$2:$Y$20,Table3[[#This Row],[Effect 2 Y]])+AA$6</f>
        <v>5.16</v>
      </c>
      <c r="V2" s="8">
        <f>Table3[[#This Row],[E3Y]]+AC$6</f>
        <v>4.7600000000000007</v>
      </c>
      <c r="W2" s="8">
        <f>Table3[[#This Row],[E3TY]]+AB$6</f>
        <v>4.6400000000000006</v>
      </c>
      <c r="X2" s="6" cm="1">
        <f t="array" ref="X2">INDEX(Y$2:Y$20,Table3[[#This Row],[Effect 3 Y]])+2*AA$6</f>
        <v>5.36</v>
      </c>
      <c r="Y2" s="6">
        <v>2.96</v>
      </c>
    </row>
    <row r="3" spans="1:29" ht="111.75" customHeight="1" x14ac:dyDescent="0.25">
      <c r="A3" s="4" t="s">
        <v>42</v>
      </c>
      <c r="B3" s="4" t="s">
        <v>6</v>
      </c>
      <c r="C3" s="4"/>
      <c r="D3" s="4">
        <v>1</v>
      </c>
      <c r="E3" s="4" t="s">
        <v>34</v>
      </c>
      <c r="F3" s="4" t="s">
        <v>44</v>
      </c>
      <c r="G3" s="4" t="s">
        <v>45</v>
      </c>
      <c r="H3" s="4"/>
      <c r="I3" s="4"/>
      <c r="J3" s="4"/>
      <c r="K3" s="4"/>
      <c r="L3" s="4"/>
      <c r="M3" s="4"/>
      <c r="N3" s="4"/>
      <c r="O3" s="4"/>
      <c r="P3" s="8">
        <f>Table3[[#This Row],[E1Y]]+AC$6</f>
        <v>2.36</v>
      </c>
      <c r="Q3" s="8">
        <f>Table3[[#This Row],[E1TY]]+AB$6</f>
        <v>2.2399999999999998</v>
      </c>
      <c r="R3" s="8" cm="1">
        <f t="array" ref="R3">INDEX($Y$2:$Y$20,Table3[[#This Row],[Effect 1 Y]])</f>
        <v>2.96</v>
      </c>
      <c r="S3" s="8" t="e" vm="1">
        <f ca="1">Table3[[#This Row],[E2Y]]+AC$6</f>
        <v>#VALUE!</v>
      </c>
      <c r="T3" s="8" t="e" vm="1">
        <f ca="1">Table3[[#This Row],[E2TY]]+AB$6</f>
        <v>#VALUE!</v>
      </c>
      <c r="U3" s="8" t="e" cm="1" vm="2">
        <f t="array" aca="1" ref="U3" ca="1">INDEX($Y$2:$Y$20,Table3[[#This Row],[Effect 2 Y]])+AA$6</f>
        <v>#VALUE!</v>
      </c>
      <c r="V3" s="8" t="e" vm="1">
        <f ca="1">Table3[[#This Row],[E3Y]]+AC$6</f>
        <v>#VALUE!</v>
      </c>
      <c r="W3" s="8" t="e" vm="1">
        <f ca="1">Table3[[#This Row],[E3TY]]+AB$6</f>
        <v>#VALUE!</v>
      </c>
      <c r="X3" s="6" t="e" cm="1" vm="2">
        <f t="array" aca="1" ref="X3" ca="1">INDEX(Y$2:Y$20,Table3[[#This Row],[Effect 3 Y]])+2*AA$6</f>
        <v>#VALUE!</v>
      </c>
      <c r="Y3" s="5">
        <f>Y2+0.5</f>
        <v>3.46</v>
      </c>
    </row>
    <row r="4" spans="1:29" ht="52.5" customHeight="1" x14ac:dyDescent="0.25">
      <c r="A4" s="4" t="s">
        <v>43</v>
      </c>
      <c r="B4" s="4" t="s">
        <v>6</v>
      </c>
      <c r="C4" s="4"/>
      <c r="D4" s="4">
        <v>1</v>
      </c>
      <c r="E4" s="4" t="s">
        <v>11</v>
      </c>
      <c r="F4" s="4" t="s">
        <v>46</v>
      </c>
      <c r="G4" s="4" t="s">
        <v>47</v>
      </c>
      <c r="H4" s="4">
        <v>5</v>
      </c>
      <c r="I4" s="4" t="s">
        <v>11</v>
      </c>
      <c r="J4" s="4" t="s">
        <v>48</v>
      </c>
      <c r="K4" s="4" t="s">
        <v>49</v>
      </c>
      <c r="L4" s="4"/>
      <c r="M4" s="4"/>
      <c r="N4" s="4"/>
      <c r="O4" s="4"/>
      <c r="P4" s="8">
        <f>Table3[[#This Row],[E1Y]]+AC$6</f>
        <v>2.36</v>
      </c>
      <c r="Q4" s="8">
        <f>Table3[[#This Row],[E1TY]]+AB$6</f>
        <v>2.2399999999999998</v>
      </c>
      <c r="R4" s="8" cm="1">
        <f t="array" ref="R4">INDEX($Y$2:$Y$20,Table3[[#This Row],[Effect 1 Y]])</f>
        <v>2.96</v>
      </c>
      <c r="S4" s="8">
        <f>Table3[[#This Row],[E2Y]]+AC$6</f>
        <v>4.5600000000000005</v>
      </c>
      <c r="T4" s="8">
        <f>Table3[[#This Row],[E2TY]]+AB$6</f>
        <v>4.4400000000000004</v>
      </c>
      <c r="U4" s="8" cm="1">
        <f t="array" ref="U4">INDEX($Y$2:$Y$20,Table3[[#This Row],[Effect 2 Y]])+AA$6</f>
        <v>5.16</v>
      </c>
      <c r="V4" s="8" t="e" vm="1">
        <f ca="1">Table3[[#This Row],[E3Y]]+AC$6</f>
        <v>#VALUE!</v>
      </c>
      <c r="W4" s="8" t="e" vm="1">
        <f ca="1">Table3[[#This Row],[E3TY]]+AB$6</f>
        <v>#VALUE!</v>
      </c>
      <c r="X4" s="6" t="e" cm="1" vm="2">
        <f t="array" aca="1" ref="X4" ca="1">INDEX(Y$2:Y$20,Table3[[#This Row],[Effect 3 Y]])+2*AA$6</f>
        <v>#VALUE!</v>
      </c>
      <c r="Y4" s="5">
        <f>Y3+0.5</f>
        <v>3.96</v>
      </c>
    </row>
    <row r="5" spans="1:29" ht="61.5" customHeight="1" x14ac:dyDescent="0.25">
      <c r="A5" s="4" t="s">
        <v>35</v>
      </c>
      <c r="B5" s="4" t="s">
        <v>6</v>
      </c>
      <c r="C5" s="4"/>
      <c r="D5" s="4">
        <v>1</v>
      </c>
      <c r="E5" s="4" t="s">
        <v>34</v>
      </c>
      <c r="F5" s="4" t="s">
        <v>38</v>
      </c>
      <c r="G5" s="4" t="s">
        <v>40</v>
      </c>
      <c r="H5" s="4">
        <v>5</v>
      </c>
      <c r="I5" s="14" t="s">
        <v>36</v>
      </c>
      <c r="J5" s="14" t="s">
        <v>41</v>
      </c>
      <c r="K5" s="4" t="s">
        <v>37</v>
      </c>
      <c r="L5" s="4">
        <v>5</v>
      </c>
      <c r="M5" s="4"/>
      <c r="N5" s="4"/>
      <c r="O5" s="4"/>
      <c r="P5" s="8">
        <f>Table3[[#This Row],[E1Y]]+AC$6</f>
        <v>2.36</v>
      </c>
      <c r="Q5" s="8">
        <f>Table3[[#This Row],[E1TY]]+AB$6</f>
        <v>2.2399999999999998</v>
      </c>
      <c r="R5" s="8" cm="1">
        <f t="array" ref="R5">INDEX($Y$2:$Y$20,Table3[[#This Row],[Effect 1 Y]])</f>
        <v>2.96</v>
      </c>
      <c r="S5" s="8">
        <f>Table3[[#This Row],[E2Y]]+AC$6</f>
        <v>4.5600000000000005</v>
      </c>
      <c r="T5" s="8">
        <f>Table3[[#This Row],[E2TY]]+AB$6</f>
        <v>4.4400000000000004</v>
      </c>
      <c r="U5" s="8" cm="1">
        <f t="array" ref="U5">INDEX($Y$2:$Y$20,Table3[[#This Row],[Effect 2 Y]])+AA$6</f>
        <v>5.16</v>
      </c>
      <c r="V5" s="8">
        <f>Table3[[#This Row],[E3Y]]+AC$6</f>
        <v>4.7600000000000007</v>
      </c>
      <c r="W5" s="8">
        <f>Table3[[#This Row],[E3TY]]+AB$6</f>
        <v>4.6400000000000006</v>
      </c>
      <c r="X5" s="6" cm="1">
        <f t="array" ref="X5">INDEX(Y$2:Y$20,Table3[[#This Row],[Effect 3 Y]])+2*AA$6</f>
        <v>5.36</v>
      </c>
      <c r="Y5" s="5">
        <f>Y4+0.5</f>
        <v>4.46</v>
      </c>
      <c r="AA5" t="s">
        <v>31</v>
      </c>
      <c r="AB5" t="s">
        <v>32</v>
      </c>
      <c r="AC5" t="s">
        <v>33</v>
      </c>
    </row>
    <row r="6" spans="1:29" ht="15" customHeight="1" x14ac:dyDescent="0.25">
      <c r="A6" s="4"/>
      <c r="B6" s="4"/>
      <c r="C6" s="4"/>
      <c r="D6" s="4"/>
      <c r="E6" s="4"/>
      <c r="F6" s="4"/>
      <c r="G6" s="4"/>
      <c r="H6" s="4"/>
      <c r="I6" s="5"/>
      <c r="J6" s="5"/>
      <c r="K6" s="5"/>
      <c r="L6" s="4"/>
      <c r="M6" s="4"/>
      <c r="N6" s="4"/>
      <c r="O6" s="4"/>
      <c r="P6" s="8" t="e" vm="1">
        <f ca="1">Table3[[#This Row],[E1Y]]+AC$6</f>
        <v>#VALUE!</v>
      </c>
      <c r="Q6" s="8" t="e" vm="1">
        <f ca="1">Table3[[#This Row],[E1TY]]+AB$6</f>
        <v>#VALUE!</v>
      </c>
      <c r="R6" s="8" t="e" cm="1" vm="2">
        <f t="array" aca="1" ref="R6" ca="1">INDEX($Y$2:$Y$20,Table3[[#This Row],[Effect 1 Y]])</f>
        <v>#VALUE!</v>
      </c>
      <c r="S6" s="8" t="e" vm="1">
        <f ca="1">Table3[[#This Row],[E2Y]]+AC$6</f>
        <v>#VALUE!</v>
      </c>
      <c r="T6" s="8" t="e" vm="1">
        <f ca="1">Table3[[#This Row],[E2TY]]+AB$6</f>
        <v>#VALUE!</v>
      </c>
      <c r="U6" s="8" t="e" cm="1" vm="2">
        <f t="array" aca="1" ref="U6" ca="1">INDEX($Y$2:$Y$20,Table3[[#This Row],[Effect 2 Y]])+AA$6</f>
        <v>#VALUE!</v>
      </c>
      <c r="V6" s="8" t="e" vm="1">
        <f ca="1">Table3[[#This Row],[E3Y]]+AC$6</f>
        <v>#VALUE!</v>
      </c>
      <c r="W6" s="8" t="e" vm="1">
        <f ca="1">Table3[[#This Row],[E3TY]]+AB$6</f>
        <v>#VALUE!</v>
      </c>
      <c r="X6" s="6" t="e" cm="1" vm="2">
        <f t="array" aca="1" ref="X6" ca="1">INDEX(Y$2:Y$20,Table3[[#This Row],[Effect 3 Y]])+2*AA$6</f>
        <v>#VALUE!</v>
      </c>
      <c r="Y6" s="5">
        <f>Y5+0.5</f>
        <v>4.96</v>
      </c>
      <c r="AA6">
        <v>0.2</v>
      </c>
      <c r="AB6">
        <v>-0.12</v>
      </c>
      <c r="AC6">
        <v>-0.6</v>
      </c>
    </row>
    <row r="7" spans="1:29" ht="15" customHeight="1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8" t="e" vm="1">
        <f ca="1">Table3[[#This Row],[E1Y]]+AC$6</f>
        <v>#VALUE!</v>
      </c>
      <c r="Q7" s="8" t="e" vm="1">
        <f ca="1">Table3[[#This Row],[E1TY]]+AB$6</f>
        <v>#VALUE!</v>
      </c>
      <c r="R7" s="8" t="e" cm="1" vm="2">
        <f t="array" aca="1" ref="R7" ca="1">INDEX($Y$2:$Y$20,Table3[[#This Row],[Effect 1 Y]])</f>
        <v>#VALUE!</v>
      </c>
      <c r="S7" s="8" t="e" vm="1">
        <f ca="1">Table3[[#This Row],[E2Y]]+AC$6</f>
        <v>#VALUE!</v>
      </c>
      <c r="T7" s="8" t="e" vm="1">
        <f ca="1">Table3[[#This Row],[E2TY]]+AB$6</f>
        <v>#VALUE!</v>
      </c>
      <c r="U7" s="8" t="e" cm="1" vm="2">
        <f t="array" aca="1" ref="U7" ca="1">INDEX($Y$2:$Y$20,Table3[[#This Row],[Effect 2 Y]])+AA$6</f>
        <v>#VALUE!</v>
      </c>
      <c r="V7" s="8" t="e" vm="1">
        <f ca="1">Table3[[#This Row],[E3Y]]+AC$6</f>
        <v>#VALUE!</v>
      </c>
      <c r="W7" s="8" t="e" vm="1">
        <f ca="1">Table3[[#This Row],[E3TY]]+AB$6</f>
        <v>#VALUE!</v>
      </c>
      <c r="X7" s="6" t="e" cm="1" vm="2">
        <f t="array" aca="1" ref="X7" ca="1">INDEX(Y$2:Y$20,Table3[[#This Row],[Effect 3 Y]])+2*AA$6</f>
        <v>#VALUE!</v>
      </c>
      <c r="Y7" s="5">
        <f>Y6+0.5</f>
        <v>5.46</v>
      </c>
    </row>
    <row r="8" spans="1:29" ht="15" customHeight="1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8" t="e" vm="1">
        <f ca="1">Table3[[#This Row],[E1Y]]+AC$6</f>
        <v>#VALUE!</v>
      </c>
      <c r="Q8" s="8" t="e" vm="1">
        <f ca="1">Table3[[#This Row],[E1TY]]+AB$6</f>
        <v>#VALUE!</v>
      </c>
      <c r="R8" s="8" t="e" cm="1" vm="2">
        <f t="array" aca="1" ref="R8" ca="1">INDEX($Y$2:$Y$20,Table3[[#This Row],[Effect 1 Y]])</f>
        <v>#VALUE!</v>
      </c>
      <c r="S8" s="8" t="e" vm="1">
        <f ca="1">Table3[[#This Row],[E2Y]]+AC$6</f>
        <v>#VALUE!</v>
      </c>
      <c r="T8" s="8" t="e" vm="1">
        <f ca="1">Table3[[#This Row],[E2TY]]+AB$6</f>
        <v>#VALUE!</v>
      </c>
      <c r="U8" s="8" t="e" cm="1" vm="2">
        <f t="array" aca="1" ref="U8" ca="1">INDEX($Y$2:$Y$20,Table3[[#This Row],[Effect 2 Y]])+AA$6</f>
        <v>#VALUE!</v>
      </c>
      <c r="V8" s="8" t="e" vm="1">
        <f ca="1">Table3[[#This Row],[E3Y]]+AC$6</f>
        <v>#VALUE!</v>
      </c>
      <c r="W8" s="8" t="e" vm="1">
        <f ca="1">Table3[[#This Row],[E3TY]]+AB$6</f>
        <v>#VALUE!</v>
      </c>
      <c r="X8" s="6" t="e" cm="1" vm="2">
        <f t="array" aca="1" ref="X8" ca="1">INDEX(Y$2:Y$20,Table3[[#This Row],[Effect 3 Y]])+2*AA$6</f>
        <v>#VALUE!</v>
      </c>
      <c r="Y8" s="5">
        <f>Y7+0.5</f>
        <v>5.96</v>
      </c>
    </row>
    <row r="9" spans="1:29" ht="15" customHeight="1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8" t="e" vm="1">
        <f ca="1">Table3[[#This Row],[E1Y]]+AC$6</f>
        <v>#VALUE!</v>
      </c>
      <c r="Q9" s="8" t="e" vm="1">
        <f ca="1">Table3[[#This Row],[E1TY]]+AB$6</f>
        <v>#VALUE!</v>
      </c>
      <c r="R9" s="8" t="e" cm="1" vm="2">
        <f t="array" aca="1" ref="R9" ca="1">INDEX($Y$2:$Y$20,Table3[[#This Row],[Effect 1 Y]])</f>
        <v>#VALUE!</v>
      </c>
      <c r="S9" s="8" t="e" vm="1">
        <f ca="1">Table3[[#This Row],[E2Y]]+AC$6</f>
        <v>#VALUE!</v>
      </c>
      <c r="T9" s="8" t="e" vm="1">
        <f ca="1">Table3[[#This Row],[E2TY]]+AB$6</f>
        <v>#VALUE!</v>
      </c>
      <c r="U9" s="8" t="e" cm="1" vm="2">
        <f t="array" aca="1" ref="U9" ca="1">INDEX($Y$2:$Y$20,Table3[[#This Row],[Effect 2 Y]])+AA$6</f>
        <v>#VALUE!</v>
      </c>
      <c r="V9" s="8" t="e" vm="1">
        <f ca="1">Table3[[#This Row],[E3Y]]+AC$6</f>
        <v>#VALUE!</v>
      </c>
      <c r="W9" s="8" t="e" vm="1">
        <f ca="1">Table3[[#This Row],[E3TY]]+AB$6</f>
        <v>#VALUE!</v>
      </c>
      <c r="X9" s="6" t="e" cm="1" vm="2">
        <f t="array" aca="1" ref="X9" ca="1">INDEX(Y$2:Y$20,Table3[[#This Row],[Effect 3 Y]])+2*AA$6</f>
        <v>#VALUE!</v>
      </c>
      <c r="Y9" s="5">
        <f>Y8+0.5</f>
        <v>6.46</v>
      </c>
    </row>
    <row r="10" spans="1:29" ht="15" customHeight="1" x14ac:dyDescent="0.25">
      <c r="A10" s="4"/>
      <c r="B10" s="4"/>
      <c r="C10" s="4"/>
      <c r="D10" s="4"/>
      <c r="E10" s="10"/>
      <c r="F10" s="4"/>
      <c r="G10" s="4"/>
      <c r="H10" s="4"/>
      <c r="I10" s="4"/>
      <c r="J10" s="4"/>
      <c r="K10" s="4"/>
      <c r="L10" s="4"/>
      <c r="M10" s="4"/>
      <c r="N10" s="4"/>
      <c r="O10" s="4"/>
      <c r="P10" s="8" t="e" vm="1">
        <f ca="1">Table3[[#This Row],[E1Y]]+AC$6</f>
        <v>#VALUE!</v>
      </c>
      <c r="Q10" s="8" t="e" vm="1">
        <f ca="1">Table3[[#This Row],[E1TY]]+AB$6</f>
        <v>#VALUE!</v>
      </c>
      <c r="R10" s="8" t="e" cm="1" vm="2">
        <f t="array" aca="1" ref="R10" ca="1">INDEX($Y$2:$Y$20,Table3[[#This Row],[Effect 1 Y]])</f>
        <v>#VALUE!</v>
      </c>
      <c r="S10" s="8" t="e" vm="1">
        <f ca="1">Table3[[#This Row],[E2Y]]+AC$6</f>
        <v>#VALUE!</v>
      </c>
      <c r="T10" s="8" t="e" vm="1">
        <f ca="1">Table3[[#This Row],[E2TY]]+AB$6</f>
        <v>#VALUE!</v>
      </c>
      <c r="U10" s="8" t="e" cm="1" vm="2">
        <f t="array" aca="1" ref="U10" ca="1">INDEX($Y$2:$Y$20,Table3[[#This Row],[Effect 2 Y]])+AA$6</f>
        <v>#VALUE!</v>
      </c>
      <c r="V10" s="8" t="e" vm="1">
        <f ca="1">Table3[[#This Row],[E3Y]]+AC$6</f>
        <v>#VALUE!</v>
      </c>
      <c r="W10" s="8" t="e" vm="1">
        <f ca="1">Table3[[#This Row],[E3TY]]+AB$6</f>
        <v>#VALUE!</v>
      </c>
      <c r="X10" s="6" t="e" cm="1" vm="2">
        <f t="array" aca="1" ref="X10" ca="1">INDEX(Y$2:Y$20,Table3[[#This Row],[Effect 3 Y]])+2*AA$6</f>
        <v>#VALUE!</v>
      </c>
      <c r="Y10" s="5">
        <f>Y9+0.5</f>
        <v>6.96</v>
      </c>
    </row>
    <row r="11" spans="1:29" ht="15" customHeigh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8" t="e" vm="1">
        <f ca="1">Table3[[#This Row],[E1Y]]+AC$6</f>
        <v>#VALUE!</v>
      </c>
      <c r="Q11" s="8" t="e" vm="1">
        <f ca="1">Table3[[#This Row],[E1TY]]+AB$6</f>
        <v>#VALUE!</v>
      </c>
      <c r="R11" s="8" t="e" cm="1" vm="2">
        <f t="array" aca="1" ref="R11" ca="1">INDEX($Y$2:$Y$20,Table3[[#This Row],[Effect 1 Y]])</f>
        <v>#VALUE!</v>
      </c>
      <c r="S11" s="8" t="e" vm="1">
        <f ca="1">Table3[[#This Row],[E2Y]]+AC$6</f>
        <v>#VALUE!</v>
      </c>
      <c r="T11" s="8" t="e" vm="1">
        <f ca="1">Table3[[#This Row],[E2TY]]+AB$6</f>
        <v>#VALUE!</v>
      </c>
      <c r="U11" s="8" t="e" cm="1" vm="2">
        <f t="array" aca="1" ref="U11" ca="1">INDEX($Y$2:$Y$20,Table3[[#This Row],[Effect 2 Y]])+AA$6</f>
        <v>#VALUE!</v>
      </c>
      <c r="V11" s="8" t="e" vm="1">
        <f ca="1">Table3[[#This Row],[E3Y]]+AC$6</f>
        <v>#VALUE!</v>
      </c>
      <c r="W11" s="8" t="e" vm="1">
        <f ca="1">Table3[[#This Row],[E3TY]]+AB$6</f>
        <v>#VALUE!</v>
      </c>
      <c r="X11" s="6" t="e" cm="1" vm="2">
        <f t="array" aca="1" ref="X11" ca="1">INDEX(Y$2:Y$20,Table3[[#This Row],[Effect 3 Y]])+2*AA$6</f>
        <v>#VALUE!</v>
      </c>
      <c r="Y11" s="5">
        <f>Y10+0.5</f>
        <v>7.46</v>
      </c>
    </row>
    <row r="12" spans="1:29" ht="1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8" t="e" vm="1">
        <f ca="1">Table3[[#This Row],[E1Y]]+AC$6</f>
        <v>#VALUE!</v>
      </c>
      <c r="Q12" s="8" t="e" vm="1">
        <f ca="1">Table3[[#This Row],[E1TY]]+AB$6</f>
        <v>#VALUE!</v>
      </c>
      <c r="R12" s="8" t="e" cm="1" vm="2">
        <f t="array" aca="1" ref="R12" ca="1">INDEX($Y$2:$Y$20,Table3[[#This Row],[Effect 1 Y]])</f>
        <v>#VALUE!</v>
      </c>
      <c r="S12" s="8" t="e" vm="1">
        <f ca="1">Table3[[#This Row],[E2Y]]+AC$6</f>
        <v>#VALUE!</v>
      </c>
      <c r="T12" s="8" t="e" vm="1">
        <f ca="1">Table3[[#This Row],[E2TY]]+AB$6</f>
        <v>#VALUE!</v>
      </c>
      <c r="U12" s="8" t="e" cm="1" vm="2">
        <f t="array" aca="1" ref="U12" ca="1">INDEX($Y$2:$Y$20,Table3[[#This Row],[Effect 2 Y]])+AA$6</f>
        <v>#VALUE!</v>
      </c>
      <c r="V12" s="8" t="e" vm="1">
        <f ca="1">Table3[[#This Row],[E3Y]]+AC$6</f>
        <v>#VALUE!</v>
      </c>
      <c r="W12" s="8" t="e" vm="1">
        <f ca="1">Table3[[#This Row],[E3TY]]+AB$6</f>
        <v>#VALUE!</v>
      </c>
      <c r="X12" s="6" t="e" cm="1" vm="2">
        <f t="array" aca="1" ref="X12" ca="1">INDEX(Y$2:Y$20,Table3[[#This Row],[Effect 3 Y]])+2*AA$6</f>
        <v>#VALUE!</v>
      </c>
      <c r="Y12" s="5">
        <f>Y11+0.5</f>
        <v>7.96</v>
      </c>
    </row>
    <row r="13" spans="1:29" ht="15" customHeight="1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8" t="e" vm="1">
        <f ca="1">Table3[[#This Row],[E1Y]]+AC$6</f>
        <v>#VALUE!</v>
      </c>
      <c r="Q13" s="8" t="e" vm="1">
        <f ca="1">Table3[[#This Row],[E1TY]]+AB$6</f>
        <v>#VALUE!</v>
      </c>
      <c r="R13" s="8" t="e" cm="1" vm="2">
        <f t="array" aca="1" ref="R13" ca="1">INDEX($Y$2:$Y$20,Table3[[#This Row],[Effect 1 Y]])</f>
        <v>#VALUE!</v>
      </c>
      <c r="S13" s="8" t="e" vm="1">
        <f ca="1">Table3[[#This Row],[E2Y]]+AC$6</f>
        <v>#VALUE!</v>
      </c>
      <c r="T13" s="8" t="e" vm="1">
        <f ca="1">Table3[[#This Row],[E2TY]]+AB$6</f>
        <v>#VALUE!</v>
      </c>
      <c r="U13" s="8" t="e" cm="1" vm="2">
        <f t="array" aca="1" ref="U13" ca="1">INDEX($Y$2:$Y$20,Table3[[#This Row],[Effect 2 Y]])+AA$6</f>
        <v>#VALUE!</v>
      </c>
      <c r="V13" s="8" t="e" vm="1">
        <f ca="1">Table3[[#This Row],[E3Y]]+AC$6</f>
        <v>#VALUE!</v>
      </c>
      <c r="W13" s="8" t="e" vm="1">
        <f ca="1">Table3[[#This Row],[E3TY]]+AB$6</f>
        <v>#VALUE!</v>
      </c>
      <c r="X13" s="6" t="e" cm="1" vm="2">
        <f t="array" aca="1" ref="X13" ca="1">INDEX(Y$2:Y$20,Table3[[#This Row],[Effect 3 Y]])+2*AA$6</f>
        <v>#VALUE!</v>
      </c>
      <c r="Y13" s="5">
        <f>Y12+0.5</f>
        <v>8.4600000000000009</v>
      </c>
    </row>
    <row r="14" spans="1:29" ht="15" customHeight="1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5"/>
      <c r="Y14" s="5">
        <f>Y13+0.5</f>
        <v>8.9600000000000009</v>
      </c>
    </row>
    <row r="15" spans="1:29" ht="15" customHeight="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  <c r="Y15" s="5">
        <f>Y14+0.5</f>
        <v>9.4600000000000009</v>
      </c>
    </row>
    <row r="16" spans="1:29" ht="15" customHeight="1" x14ac:dyDescent="0.25">
      <c r="A16" s="4"/>
      <c r="B16" s="4"/>
      <c r="C16" s="10"/>
      <c r="D16" s="4"/>
      <c r="E16" s="11"/>
      <c r="F16" s="11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5"/>
      <c r="Y16" s="5">
        <f>Y15+0.5</f>
        <v>9.9600000000000009</v>
      </c>
    </row>
    <row r="17" spans="1:25" ht="15" customHeight="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/>
      <c r="Y17" s="5">
        <f>Y16+0.5</f>
        <v>10.46</v>
      </c>
    </row>
    <row r="18" spans="1:25" ht="15" customHeight="1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5"/>
      <c r="Y18" s="5">
        <f>Y17+0.5</f>
        <v>10.96</v>
      </c>
    </row>
    <row r="19" spans="1:25" ht="15" customHeight="1" x14ac:dyDescent="0.25">
      <c r="A19" s="12"/>
      <c r="B19" s="12"/>
      <c r="C19" s="12"/>
      <c r="D19" s="12"/>
      <c r="E19" s="12"/>
      <c r="F19" s="12"/>
      <c r="G19" s="12"/>
      <c r="H19" s="12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5"/>
      <c r="Y19" s="5">
        <f>Y18+0.5</f>
        <v>11.46</v>
      </c>
    </row>
    <row r="20" spans="1:25" ht="15" customHeight="1" x14ac:dyDescent="0.25">
      <c r="A20" s="4"/>
      <c r="B20" s="4"/>
      <c r="C20" s="4"/>
      <c r="D20" s="4"/>
      <c r="E20" s="13"/>
      <c r="F20" s="13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5"/>
      <c r="Y20" s="5">
        <f>Y19+0.5</f>
        <v>11.96</v>
      </c>
    </row>
    <row r="21" spans="1:25" ht="15" customHeight="1" x14ac:dyDescent="0.25">
      <c r="A21" s="4"/>
      <c r="B21" s="4"/>
      <c r="C21" s="12"/>
      <c r="D21" s="12"/>
      <c r="E21" s="4"/>
      <c r="F21" s="4"/>
      <c r="G21" s="12"/>
      <c r="H21" s="12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5"/>
      <c r="Y21" s="5">
        <f>Y20+0.5</f>
        <v>12.46</v>
      </c>
    </row>
    <row r="22" spans="1:25" ht="1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5"/>
      <c r="Y22" s="5">
        <f>Y21+0.5</f>
        <v>12.96</v>
      </c>
    </row>
    <row r="23" spans="1:25" ht="1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5"/>
      <c r="Y23" s="5">
        <f>Y22+0.5</f>
        <v>13.46</v>
      </c>
    </row>
    <row r="24" spans="1:25" ht="1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5"/>
      <c r="Y24" s="4"/>
    </row>
    <row r="25" spans="1:25" ht="15" customHeight="1" x14ac:dyDescent="0.25">
      <c r="A25" s="12"/>
      <c r="B25" s="4"/>
      <c r="C25" s="12"/>
      <c r="D25" s="12"/>
      <c r="E25" s="12"/>
      <c r="F25" s="12"/>
      <c r="G25" s="12"/>
      <c r="H25" s="12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5"/>
      <c r="Y25" s="4"/>
    </row>
    <row r="26" spans="1:25" ht="1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5"/>
      <c r="Y26" s="4"/>
    </row>
    <row r="27" spans="1:25" ht="1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5"/>
      <c r="Y27" s="4"/>
    </row>
    <row r="28" spans="1:25" ht="1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5"/>
      <c r="Y28" s="4"/>
    </row>
    <row r="29" spans="1:25" ht="1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5"/>
      <c r="Y29" s="4"/>
    </row>
    <row r="30" spans="1:25" ht="1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5"/>
      <c r="Y30" s="4"/>
    </row>
    <row r="31" spans="1:25" ht="1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5"/>
      <c r="Y31" s="4"/>
    </row>
    <row r="32" spans="1:25" ht="1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5"/>
      <c r="Y32" s="4"/>
    </row>
    <row r="33" spans="1:25" ht="1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5"/>
      <c r="Y33" s="4"/>
    </row>
    <row r="34" spans="1:25" ht="1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5"/>
      <c r="Y34" s="4"/>
    </row>
    <row r="35" spans="1:25" ht="1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5"/>
      <c r="Y35" s="4"/>
    </row>
    <row r="36" spans="1:25" ht="1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5"/>
      <c r="Y36" s="4"/>
    </row>
    <row r="37" spans="1:25" ht="1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5"/>
      <c r="Y37" s="4"/>
    </row>
    <row r="38" spans="1:25" ht="1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5"/>
      <c r="Y38" s="4"/>
    </row>
    <row r="39" spans="1:25" ht="1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5"/>
      <c r="Y39" s="4"/>
    </row>
    <row r="40" spans="1:25" ht="1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5"/>
      <c r="Y40" s="4"/>
    </row>
    <row r="41" spans="1:25" ht="1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5"/>
      <c r="Y41" s="4"/>
    </row>
    <row r="42" spans="1:25" ht="1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5"/>
      <c r="Y42" s="4"/>
    </row>
    <row r="43" spans="1:25" ht="1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5"/>
      <c r="Y43" s="4"/>
    </row>
    <row r="44" spans="1:25" ht="1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5"/>
      <c r="Y44" s="4"/>
    </row>
    <row r="45" spans="1:25" ht="1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5"/>
      <c r="Y45" s="4"/>
    </row>
    <row r="46" spans="1:25" ht="1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5"/>
      <c r="Y46" s="4"/>
    </row>
    <row r="47" spans="1:25" ht="1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5"/>
      <c r="Y47" s="4"/>
    </row>
    <row r="48" spans="1:25" ht="1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5"/>
      <c r="Y48" s="4"/>
    </row>
    <row r="49" spans="1:25" ht="1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5"/>
      <c r="Y49" s="4"/>
    </row>
    <row r="50" spans="1:25" ht="1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5"/>
      <c r="Y50" s="4"/>
    </row>
    <row r="51" spans="1:25" ht="1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5"/>
      <c r="Y51" s="4"/>
    </row>
    <row r="52" spans="1:25" ht="1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5"/>
      <c r="Y52" s="4"/>
    </row>
    <row r="53" spans="1:25" ht="1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5"/>
      <c r="Y53" s="4"/>
    </row>
    <row r="54" spans="1:25" ht="1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5"/>
      <c r="Y54" s="4"/>
    </row>
    <row r="55" spans="1:25" ht="1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5"/>
      <c r="Y55" s="4"/>
    </row>
    <row r="56" spans="1:25" ht="1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5"/>
      <c r="Y56" s="4"/>
    </row>
    <row r="57" spans="1:25" ht="1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5"/>
      <c r="Y57" s="4"/>
    </row>
    <row r="58" spans="1:25" ht="1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5"/>
      <c r="Y58" s="4"/>
    </row>
    <row r="59" spans="1:25" ht="1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5"/>
      <c r="Y59" s="4"/>
    </row>
    <row r="60" spans="1:25" ht="1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5"/>
      <c r="Y60" s="4"/>
    </row>
    <row r="61" spans="1:25" ht="1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5"/>
      <c r="Y61" s="4"/>
    </row>
    <row r="62" spans="1:25" ht="1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9"/>
      <c r="Q62" s="9"/>
      <c r="R62" s="9"/>
      <c r="S62" s="9"/>
      <c r="T62" s="9"/>
      <c r="U62" s="9"/>
      <c r="V62" s="9"/>
      <c r="W62" s="9"/>
      <c r="X62" s="7"/>
      <c r="Y62" s="9"/>
    </row>
  </sheetData>
  <phoneticPr fontId="2" type="noConversion"/>
  <conditionalFormatting sqref="B1:B3 B27:B62">
    <cfRule type="containsText" dxfId="14" priority="12" operator="containsText" text="Accessory">
      <formula>NOT(ISERROR(SEARCH("Accessory",B1)))</formula>
    </cfRule>
    <cfRule type="containsText" dxfId="13" priority="13" operator="containsText" text="Armour">
      <formula>NOT(ISERROR(SEARCH("Armour",B1)))</formula>
    </cfRule>
    <cfRule type="containsText" dxfId="12" priority="14" operator="containsText" text="Equipment">
      <formula>NOT(ISERROR(SEARCH("Equipment",B1)))</formula>
    </cfRule>
    <cfRule type="containsText" dxfId="11" priority="15" operator="containsText" text="Impression">
      <formula>NOT(ISERROR(SEARCH("Impression",B1)))</formula>
    </cfRule>
    <cfRule type="containsText" dxfId="10" priority="16" operator="containsText" text="Spell">
      <formula>NOT(ISERROR(SEARCH("Spell",B1)))</formula>
    </cfRule>
  </conditionalFormatting>
  <conditionalFormatting sqref="B3">
    <cfRule type="containsText" dxfId="9" priority="6" operator="containsText" text="Accessory">
      <formula>NOT(ISERROR(SEARCH("Accessory",B3)))</formula>
    </cfRule>
    <cfRule type="containsText" dxfId="8" priority="7" operator="containsText" text="Armour">
      <formula>NOT(ISERROR(SEARCH("Armour",B3)))</formula>
    </cfRule>
    <cfRule type="containsText" dxfId="7" priority="8" operator="containsText" text="Equipment">
      <formula>NOT(ISERROR(SEARCH("Equipment",B3)))</formula>
    </cfRule>
    <cfRule type="containsText" dxfId="6" priority="9" operator="containsText" text="Impression">
      <formula>NOT(ISERROR(SEARCH("Impression",B3)))</formula>
    </cfRule>
    <cfRule type="containsText" dxfId="5" priority="10" operator="containsText" text="Spell">
      <formula>NOT(ISERROR(SEARCH("Spell",B3)))</formula>
    </cfRule>
  </conditionalFormatting>
  <conditionalFormatting sqref="B4:C15 B16 D16 B17:C26">
    <cfRule type="containsText" dxfId="4" priority="1" operator="containsText" text="Accessory">
      <formula>NOT(ISERROR(SEARCH("Accessory",B4)))</formula>
    </cfRule>
    <cfRule type="containsText" dxfId="3" priority="2" operator="containsText" text="Armour">
      <formula>NOT(ISERROR(SEARCH("Armour",B4)))</formula>
    </cfRule>
    <cfRule type="containsText" dxfId="2" priority="3" operator="containsText" text="Equipment">
      <formula>NOT(ISERROR(SEARCH("Equipment",B4)))</formula>
    </cfRule>
    <cfRule type="containsText" dxfId="1" priority="4" operator="containsText" text="Impression">
      <formula>NOT(ISERROR(SEARCH("Impression",B4)))</formula>
    </cfRule>
    <cfRule type="containsText" dxfId="0" priority="5" operator="containsText" text="Spell">
      <formula>NOT(ISERROR(SEARCH("Spell",B4)))</formula>
    </cfRule>
  </conditionalFormatting>
  <pageMargins left="0.7" right="0.7" top="0.75" bottom="0.75" header="0.511811023622047" footer="0.511811023622047"/>
  <pageSetup paperSize="9"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2025-11-23T02:47:26Z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