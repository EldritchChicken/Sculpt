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CardFiles\"/>
    </mc:Choice>
  </mc:AlternateContent>
  <xr:revisionPtr revIDLastSave="0" documentId="13_ncr:1_{4F75532C-6672-4703-85DA-4EFE1D6315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" i="1" l="1"/>
  <c r="U2" i="1" s="1"/>
  <c r="V2" i="1" s="1"/>
  <c r="Z2" i="1"/>
  <c r="X2" i="1" s="1"/>
  <c r="Y2" i="1" s="1"/>
  <c r="AC2" i="1"/>
  <c r="AA2" i="1" s="1"/>
  <c r="AB2" i="1" s="1"/>
  <c r="W3" i="1"/>
  <c r="U3" i="1" s="1"/>
  <c r="V3" i="1" s="1"/>
  <c r="Z3" i="1"/>
  <c r="X3" i="1" s="1"/>
  <c r="Y3" i="1" s="1"/>
  <c r="AC3" i="1"/>
  <c r="AA3" i="1" s="1"/>
  <c r="AB3" i="1" s="1"/>
  <c r="W4" i="1"/>
  <c r="U4" i="1" s="1"/>
  <c r="V4" i="1" s="1"/>
  <c r="Z4" i="1"/>
  <c r="X4" i="1" s="1"/>
  <c r="Y4" i="1" s="1"/>
  <c r="AC4" i="1"/>
  <c r="AA4" i="1" s="1"/>
  <c r="AB4" i="1" s="1"/>
  <c r="W5" i="1"/>
  <c r="U5" i="1" s="1"/>
  <c r="V5" i="1" s="1"/>
  <c r="Z5" i="1"/>
  <c r="X5" i="1" s="1"/>
  <c r="Y5" i="1" s="1"/>
  <c r="AC5" i="1"/>
  <c r="AA5" i="1" s="1"/>
  <c r="AB5" i="1" s="1"/>
  <c r="W6" i="1"/>
  <c r="U6" i="1" s="1"/>
  <c r="V6" i="1" s="1"/>
  <c r="Z6" i="1"/>
  <c r="X6" i="1" s="1"/>
  <c r="Y6" i="1" s="1"/>
  <c r="AC6" i="1"/>
  <c r="AA6" i="1" s="1"/>
  <c r="AB6" i="1" s="1"/>
  <c r="W7" i="1"/>
  <c r="U7" i="1" s="1"/>
  <c r="V7" i="1" s="1"/>
  <c r="Z7" i="1"/>
  <c r="X7" i="1" s="1"/>
  <c r="Y7" i="1" s="1"/>
  <c r="AC7" i="1"/>
  <c r="AA7" i="1" s="1"/>
  <c r="AB7" i="1" s="1"/>
  <c r="W8" i="1"/>
  <c r="U8" i="1" s="1"/>
  <c r="V8" i="1" s="1"/>
  <c r="Z8" i="1"/>
  <c r="X8" i="1" s="1"/>
  <c r="Y8" i="1" s="1"/>
  <c r="AC8" i="1"/>
  <c r="AA8" i="1" s="1"/>
  <c r="AB8" i="1" s="1"/>
  <c r="W9" i="1"/>
  <c r="U9" i="1" s="1"/>
  <c r="V9" i="1" s="1"/>
  <c r="Z9" i="1"/>
  <c r="X9" i="1" s="1"/>
  <c r="Y9" i="1" s="1"/>
  <c r="AC9" i="1"/>
  <c r="AA9" i="1" s="1"/>
  <c r="AB9" i="1" s="1"/>
  <c r="W10" i="1"/>
  <c r="U10" i="1" s="1"/>
  <c r="V10" i="1" s="1"/>
  <c r="Z10" i="1"/>
  <c r="X10" i="1" s="1"/>
  <c r="Y10" i="1" s="1"/>
  <c r="AC10" i="1"/>
  <c r="AA10" i="1" s="1"/>
  <c r="AB10" i="1" s="1"/>
  <c r="W11" i="1"/>
  <c r="U11" i="1" s="1"/>
  <c r="V11" i="1" s="1"/>
  <c r="Z11" i="1"/>
  <c r="X11" i="1" s="1"/>
  <c r="Y11" i="1" s="1"/>
  <c r="AC11" i="1"/>
  <c r="AA11" i="1" s="1"/>
  <c r="AB11" i="1" s="1"/>
  <c r="W12" i="1"/>
  <c r="U12" i="1" s="1"/>
  <c r="V12" i="1" s="1"/>
  <c r="Z12" i="1"/>
  <c r="X12" i="1" s="1"/>
  <c r="Y12" i="1" s="1"/>
  <c r="AC12" i="1"/>
  <c r="AA12" i="1" s="1"/>
  <c r="AB12" i="1" s="1"/>
  <c r="W13" i="1"/>
  <c r="U13" i="1" s="1"/>
  <c r="V13" i="1" s="1"/>
  <c r="Z13" i="1"/>
  <c r="X13" i="1" s="1"/>
  <c r="Y13" i="1" s="1"/>
  <c r="AC13" i="1"/>
  <c r="AA13" i="1" s="1"/>
  <c r="AB13" i="1" s="1"/>
  <c r="W14" i="1"/>
  <c r="U14" i="1" s="1"/>
  <c r="V14" i="1" s="1"/>
  <c r="Z14" i="1"/>
  <c r="X14" i="1" s="1"/>
  <c r="Y14" i="1" s="1"/>
  <c r="AC14" i="1"/>
  <c r="AA14" i="1" s="1"/>
  <c r="AB14" i="1" s="1"/>
  <c r="W15" i="1"/>
  <c r="U15" i="1" s="1"/>
  <c r="V15" i="1" s="1"/>
  <c r="Z15" i="1"/>
  <c r="X15" i="1" s="1"/>
  <c r="Y15" i="1" s="1"/>
  <c r="AC15" i="1"/>
  <c r="AA15" i="1" s="1"/>
  <c r="AB15" i="1" s="1"/>
  <c r="W16" i="1"/>
  <c r="U16" i="1" s="1"/>
  <c r="V16" i="1" s="1"/>
  <c r="Z16" i="1"/>
  <c r="X16" i="1" s="1"/>
  <c r="Y16" i="1" s="1"/>
  <c r="AC16" i="1"/>
  <c r="AA16" i="1" s="1"/>
  <c r="AB16" i="1" s="1"/>
  <c r="W17" i="1"/>
  <c r="U17" i="1" s="1"/>
  <c r="V17" i="1" s="1"/>
  <c r="Z17" i="1"/>
  <c r="X17" i="1" s="1"/>
  <c r="Y17" i="1" s="1"/>
  <c r="AC17" i="1"/>
  <c r="AA17" i="1" s="1"/>
  <c r="AB17" i="1" s="1"/>
  <c r="W18" i="1"/>
  <c r="U18" i="1" s="1"/>
  <c r="V18" i="1" s="1"/>
  <c r="Z18" i="1"/>
  <c r="X18" i="1" s="1"/>
  <c r="Y18" i="1" s="1"/>
  <c r="AC18" i="1"/>
  <c r="AA18" i="1" s="1"/>
  <c r="AB18" i="1" s="1"/>
  <c r="W19" i="1"/>
  <c r="U19" i="1" s="1"/>
  <c r="V19" i="1" s="1"/>
  <c r="Z19" i="1"/>
  <c r="X19" i="1" s="1"/>
  <c r="Y19" i="1" s="1"/>
  <c r="AC19" i="1"/>
  <c r="AA19" i="1" s="1"/>
  <c r="AB19" i="1" s="1"/>
  <c r="W20" i="1"/>
  <c r="U20" i="1" s="1"/>
  <c r="V20" i="1" s="1"/>
  <c r="Z20" i="1"/>
  <c r="X20" i="1" s="1"/>
  <c r="Y20" i="1" s="1"/>
  <c r="AC20" i="1"/>
  <c r="AA20" i="1" s="1"/>
  <c r="AB20" i="1" s="1"/>
  <c r="W21" i="1"/>
  <c r="U21" i="1" s="1"/>
  <c r="V21" i="1" s="1"/>
  <c r="Z21" i="1"/>
  <c r="X21" i="1" s="1"/>
  <c r="Y21" i="1" s="1"/>
  <c r="AC21" i="1"/>
  <c r="AA21" i="1" s="1"/>
  <c r="AB21" i="1" s="1"/>
  <c r="W22" i="1"/>
  <c r="U22" i="1" s="1"/>
  <c r="V22" i="1" s="1"/>
  <c r="Z22" i="1"/>
  <c r="X22" i="1" s="1"/>
  <c r="Y22" i="1" s="1"/>
  <c r="AC22" i="1"/>
  <c r="AA22" i="1" s="1"/>
  <c r="AB22" i="1" s="1"/>
  <c r="W23" i="1"/>
  <c r="U23" i="1" s="1"/>
  <c r="V23" i="1" s="1"/>
  <c r="Z23" i="1"/>
  <c r="X23" i="1" s="1"/>
  <c r="Y23" i="1" s="1"/>
  <c r="AC23" i="1"/>
  <c r="AA23" i="1" s="1"/>
  <c r="AB23" i="1" s="1"/>
  <c r="W25" i="1"/>
  <c r="U25" i="1" s="1"/>
  <c r="V25" i="1" s="1"/>
  <c r="Z25" i="1"/>
  <c r="X25" i="1" s="1"/>
  <c r="Y25" i="1" s="1"/>
  <c r="AC25" i="1"/>
  <c r="AA25" i="1" s="1"/>
  <c r="AB25" i="1" s="1"/>
  <c r="W27" i="1"/>
  <c r="U27" i="1" s="1"/>
  <c r="V27" i="1" s="1"/>
  <c r="Z27" i="1"/>
  <c r="X27" i="1" s="1"/>
  <c r="Y27" i="1" s="1"/>
  <c r="AC27" i="1"/>
  <c r="AA27" i="1" s="1"/>
  <c r="AB27" i="1" s="1"/>
  <c r="W28" i="1"/>
  <c r="U28" i="1" s="1"/>
  <c r="V28" i="1" s="1"/>
  <c r="Z28" i="1"/>
  <c r="X28" i="1" s="1"/>
  <c r="Y28" i="1" s="1"/>
  <c r="AC28" i="1"/>
  <c r="AA28" i="1" s="1"/>
  <c r="AB28" i="1" s="1"/>
  <c r="W26" i="1"/>
  <c r="U26" i="1" s="1"/>
  <c r="V26" i="1" s="1"/>
  <c r="Z26" i="1"/>
  <c r="X26" i="1" s="1"/>
  <c r="Y26" i="1" s="1"/>
  <c r="AC26" i="1"/>
  <c r="AA26" i="1" s="1"/>
  <c r="AB26" i="1" s="1"/>
  <c r="AC62" i="1"/>
  <c r="AA62" i="1" s="1"/>
  <c r="AB62" i="1" s="1"/>
  <c r="AC63" i="1"/>
  <c r="AA63" i="1" s="1"/>
  <c r="AB63" i="1" s="1"/>
  <c r="AC64" i="1"/>
  <c r="AA64" i="1" s="1"/>
  <c r="AB64" i="1" s="1"/>
  <c r="AC65" i="1"/>
  <c r="AA65" i="1" s="1"/>
  <c r="AB65" i="1" s="1"/>
  <c r="AC66" i="1"/>
  <c r="AA66" i="1" s="1"/>
  <c r="AB66" i="1" s="1"/>
  <c r="AC68" i="1"/>
  <c r="AA68" i="1" s="1"/>
  <c r="AB68" i="1" s="1"/>
  <c r="AC69" i="1"/>
  <c r="AA69" i="1" s="1"/>
  <c r="AB69" i="1" s="1"/>
  <c r="AC70" i="1"/>
  <c r="AA70" i="1" s="1"/>
  <c r="AB70" i="1" s="1"/>
  <c r="AC71" i="1"/>
  <c r="AA71" i="1" s="1"/>
  <c r="AB71" i="1" s="1"/>
  <c r="W35" i="1"/>
  <c r="U35" i="1" s="1"/>
  <c r="V35" i="1" s="1"/>
  <c r="W36" i="1"/>
  <c r="U36" i="1" s="1"/>
  <c r="V36" i="1" s="1"/>
  <c r="W37" i="1"/>
  <c r="U37" i="1" s="1"/>
  <c r="V37" i="1" s="1"/>
  <c r="W38" i="1"/>
  <c r="U38" i="1" s="1"/>
  <c r="V38" i="1" s="1"/>
  <c r="W39" i="1"/>
  <c r="U39" i="1" s="1"/>
  <c r="V39" i="1" s="1"/>
  <c r="W40" i="1"/>
  <c r="U40" i="1" s="1"/>
  <c r="V40" i="1" s="1"/>
  <c r="W41" i="1"/>
  <c r="U41" i="1" s="1"/>
  <c r="V41" i="1" s="1"/>
  <c r="W42" i="1"/>
  <c r="U42" i="1" s="1"/>
  <c r="V42" i="1" s="1"/>
  <c r="W43" i="1"/>
  <c r="U43" i="1" s="1"/>
  <c r="V43" i="1" s="1"/>
  <c r="W44" i="1"/>
  <c r="U44" i="1" s="1"/>
  <c r="V44" i="1" s="1"/>
  <c r="W45" i="1"/>
  <c r="U45" i="1" s="1"/>
  <c r="V45" i="1" s="1"/>
  <c r="W46" i="1"/>
  <c r="U46" i="1" s="1"/>
  <c r="V46" i="1" s="1"/>
  <c r="W47" i="1"/>
  <c r="U47" i="1" s="1"/>
  <c r="V47" i="1" s="1"/>
  <c r="W48" i="1"/>
  <c r="U48" i="1" s="1"/>
  <c r="V48" i="1" s="1"/>
  <c r="W49" i="1"/>
  <c r="U49" i="1" s="1"/>
  <c r="V49" i="1" s="1"/>
  <c r="W50" i="1"/>
  <c r="U50" i="1" s="1"/>
  <c r="V50" i="1" s="1"/>
  <c r="W51" i="1"/>
  <c r="U51" i="1" s="1"/>
  <c r="V51" i="1" s="1"/>
  <c r="W52" i="1"/>
  <c r="U52" i="1" s="1"/>
  <c r="V52" i="1" s="1"/>
  <c r="W53" i="1"/>
  <c r="U53" i="1" s="1"/>
  <c r="V53" i="1" s="1"/>
  <c r="W54" i="1"/>
  <c r="U54" i="1" s="1"/>
  <c r="V54" i="1" s="1"/>
  <c r="W55" i="1"/>
  <c r="U55" i="1" s="1"/>
  <c r="V55" i="1" s="1"/>
  <c r="W56" i="1"/>
  <c r="U56" i="1" s="1"/>
  <c r="V56" i="1" s="1"/>
  <c r="W57" i="1"/>
  <c r="U57" i="1" s="1"/>
  <c r="V57" i="1" s="1"/>
  <c r="W58" i="1"/>
  <c r="U58" i="1" s="1"/>
  <c r="V58" i="1" s="1"/>
  <c r="W59" i="1"/>
  <c r="U59" i="1" s="1"/>
  <c r="V59" i="1" s="1"/>
  <c r="W60" i="1"/>
  <c r="U60" i="1" s="1"/>
  <c r="V60" i="1" s="1"/>
  <c r="W61" i="1"/>
  <c r="U61" i="1" s="1"/>
  <c r="V61" i="1" s="1"/>
  <c r="W62" i="1"/>
  <c r="U62" i="1" s="1"/>
  <c r="V62" i="1" s="1"/>
  <c r="W63" i="1"/>
  <c r="U63" i="1" s="1"/>
  <c r="V63" i="1" s="1"/>
  <c r="W64" i="1"/>
  <c r="U64" i="1" s="1"/>
  <c r="V64" i="1" s="1"/>
  <c r="W65" i="1"/>
  <c r="U65" i="1" s="1"/>
  <c r="V65" i="1" s="1"/>
  <c r="W66" i="1"/>
  <c r="U66" i="1" s="1"/>
  <c r="V66" i="1" s="1"/>
  <c r="W68" i="1"/>
  <c r="U68" i="1" s="1"/>
  <c r="V68" i="1" s="1"/>
  <c r="W69" i="1"/>
  <c r="U69" i="1" s="1"/>
  <c r="V69" i="1" s="1"/>
  <c r="W70" i="1"/>
  <c r="U70" i="1" s="1"/>
  <c r="V70" i="1" s="1"/>
  <c r="W71" i="1"/>
  <c r="U71" i="1" s="1"/>
  <c r="V71" i="1" s="1"/>
  <c r="Z35" i="1"/>
  <c r="X35" i="1" s="1"/>
  <c r="Y35" i="1" s="1"/>
  <c r="Z36" i="1"/>
  <c r="X36" i="1" s="1"/>
  <c r="Y36" i="1" s="1"/>
  <c r="Z37" i="1"/>
  <c r="X37" i="1" s="1"/>
  <c r="Y37" i="1" s="1"/>
  <c r="Z38" i="1"/>
  <c r="X38" i="1" s="1"/>
  <c r="Y38" i="1" s="1"/>
  <c r="Z39" i="1"/>
  <c r="X39" i="1" s="1"/>
  <c r="Y39" i="1" s="1"/>
  <c r="Z40" i="1"/>
  <c r="X40" i="1" s="1"/>
  <c r="Y40" i="1" s="1"/>
  <c r="Z41" i="1"/>
  <c r="X41" i="1" s="1"/>
  <c r="Y41" i="1" s="1"/>
  <c r="Z42" i="1"/>
  <c r="X42" i="1" s="1"/>
  <c r="Y42" i="1" s="1"/>
  <c r="Z43" i="1"/>
  <c r="X43" i="1" s="1"/>
  <c r="Y43" i="1" s="1"/>
  <c r="Z44" i="1"/>
  <c r="X44" i="1" s="1"/>
  <c r="Y44" i="1" s="1"/>
  <c r="Z45" i="1"/>
  <c r="X45" i="1" s="1"/>
  <c r="Y45" i="1" s="1"/>
  <c r="Z46" i="1"/>
  <c r="X46" i="1" s="1"/>
  <c r="Y46" i="1" s="1"/>
  <c r="Z47" i="1"/>
  <c r="X47" i="1" s="1"/>
  <c r="Y47" i="1" s="1"/>
  <c r="Z48" i="1"/>
  <c r="X48" i="1" s="1"/>
  <c r="Y48" i="1" s="1"/>
  <c r="Z49" i="1"/>
  <c r="X49" i="1" s="1"/>
  <c r="Y49" i="1" s="1"/>
  <c r="Z50" i="1"/>
  <c r="X50" i="1" s="1"/>
  <c r="Y50" i="1" s="1"/>
  <c r="Z51" i="1"/>
  <c r="X51" i="1" s="1"/>
  <c r="Y51" i="1" s="1"/>
  <c r="Z52" i="1"/>
  <c r="X52" i="1" s="1"/>
  <c r="Y52" i="1" s="1"/>
  <c r="Z53" i="1"/>
  <c r="X53" i="1" s="1"/>
  <c r="Y53" i="1" s="1"/>
  <c r="Z54" i="1"/>
  <c r="X54" i="1" s="1"/>
  <c r="Y54" i="1" s="1"/>
  <c r="Z55" i="1"/>
  <c r="X55" i="1" s="1"/>
  <c r="Y55" i="1" s="1"/>
  <c r="Z56" i="1"/>
  <c r="X56" i="1" s="1"/>
  <c r="Y56" i="1" s="1"/>
  <c r="Z57" i="1"/>
  <c r="X57" i="1" s="1"/>
  <c r="Y57" i="1" s="1"/>
  <c r="Z58" i="1"/>
  <c r="X58" i="1" s="1"/>
  <c r="Y58" i="1" s="1"/>
  <c r="Z59" i="1"/>
  <c r="X59" i="1" s="1"/>
  <c r="Y59" i="1" s="1"/>
  <c r="Z60" i="1"/>
  <c r="X60" i="1" s="1"/>
  <c r="Y60" i="1" s="1"/>
  <c r="Z61" i="1"/>
  <c r="X61" i="1" s="1"/>
  <c r="Y61" i="1" s="1"/>
  <c r="Z62" i="1"/>
  <c r="X62" i="1" s="1"/>
  <c r="Y62" i="1" s="1"/>
  <c r="Z63" i="1"/>
  <c r="X63" i="1" s="1"/>
  <c r="Y63" i="1" s="1"/>
  <c r="Z64" i="1"/>
  <c r="X64" i="1" s="1"/>
  <c r="Y64" i="1" s="1"/>
  <c r="Z65" i="1"/>
  <c r="X65" i="1" s="1"/>
  <c r="Y65" i="1" s="1"/>
  <c r="Z66" i="1"/>
  <c r="X66" i="1" s="1"/>
  <c r="Y66" i="1" s="1"/>
  <c r="Z68" i="1"/>
  <c r="X68" i="1" s="1"/>
  <c r="Y68" i="1" s="1"/>
  <c r="Z69" i="1"/>
  <c r="X69" i="1" s="1"/>
  <c r="Y69" i="1" s="1"/>
  <c r="Z70" i="1"/>
  <c r="X70" i="1" s="1"/>
  <c r="Y70" i="1" s="1"/>
  <c r="Z71" i="1"/>
  <c r="X71" i="1" s="1"/>
  <c r="Y71" i="1" s="1"/>
  <c r="AC35" i="1"/>
  <c r="AA35" i="1" s="1"/>
  <c r="AB35" i="1" s="1"/>
  <c r="AC36" i="1"/>
  <c r="AA36" i="1" s="1"/>
  <c r="AB36" i="1" s="1"/>
  <c r="AC37" i="1"/>
  <c r="AA37" i="1" s="1"/>
  <c r="AB37" i="1" s="1"/>
  <c r="AC38" i="1"/>
  <c r="AA38" i="1" s="1"/>
  <c r="AB38" i="1" s="1"/>
  <c r="AC39" i="1"/>
  <c r="AA39" i="1" s="1"/>
  <c r="AB39" i="1" s="1"/>
  <c r="AC40" i="1"/>
  <c r="AA40" i="1" s="1"/>
  <c r="AB40" i="1" s="1"/>
  <c r="AC41" i="1"/>
  <c r="AA41" i="1" s="1"/>
  <c r="AB41" i="1" s="1"/>
  <c r="AC42" i="1"/>
  <c r="AA42" i="1" s="1"/>
  <c r="AB42" i="1" s="1"/>
  <c r="AC43" i="1"/>
  <c r="AA43" i="1" s="1"/>
  <c r="AB43" i="1" s="1"/>
  <c r="AC44" i="1"/>
  <c r="AA44" i="1" s="1"/>
  <c r="AB44" i="1" s="1"/>
  <c r="AC45" i="1"/>
  <c r="AA45" i="1" s="1"/>
  <c r="AB45" i="1" s="1"/>
  <c r="AC46" i="1"/>
  <c r="AA46" i="1" s="1"/>
  <c r="AB46" i="1" s="1"/>
  <c r="AC47" i="1"/>
  <c r="AA47" i="1" s="1"/>
  <c r="AB47" i="1" s="1"/>
  <c r="AC48" i="1"/>
  <c r="AA48" i="1" s="1"/>
  <c r="AB48" i="1" s="1"/>
  <c r="AC49" i="1"/>
  <c r="AA49" i="1" s="1"/>
  <c r="AB49" i="1" s="1"/>
  <c r="AC50" i="1"/>
  <c r="AA50" i="1" s="1"/>
  <c r="AB50" i="1" s="1"/>
  <c r="AC51" i="1"/>
  <c r="AA51" i="1" s="1"/>
  <c r="AB51" i="1" s="1"/>
  <c r="AC52" i="1"/>
  <c r="AA52" i="1" s="1"/>
  <c r="AB52" i="1" s="1"/>
  <c r="AC53" i="1"/>
  <c r="AA53" i="1" s="1"/>
  <c r="AB53" i="1" s="1"/>
  <c r="AC54" i="1"/>
  <c r="AA54" i="1" s="1"/>
  <c r="AB54" i="1" s="1"/>
  <c r="AC55" i="1"/>
  <c r="AA55" i="1" s="1"/>
  <c r="AB55" i="1" s="1"/>
  <c r="AC56" i="1"/>
  <c r="AA56" i="1" s="1"/>
  <c r="AB56" i="1" s="1"/>
  <c r="AC57" i="1"/>
  <c r="AA57" i="1" s="1"/>
  <c r="AB57" i="1" s="1"/>
  <c r="AC58" i="1"/>
  <c r="AA58" i="1" s="1"/>
  <c r="AB58" i="1" s="1"/>
  <c r="AC59" i="1"/>
  <c r="AA59" i="1" s="1"/>
  <c r="AB59" i="1" s="1"/>
  <c r="AC60" i="1"/>
  <c r="AA60" i="1" s="1"/>
  <c r="AB60" i="1" s="1"/>
  <c r="AC61" i="1"/>
  <c r="AA61" i="1" s="1"/>
  <c r="AB61" i="1" s="1"/>
  <c r="Z24" i="1"/>
  <c r="X24" i="1" s="1"/>
  <c r="Y24" i="1" s="1"/>
  <c r="Z67" i="1"/>
  <c r="X67" i="1" s="1"/>
  <c r="Y67" i="1" s="1"/>
  <c r="Z72" i="1"/>
  <c r="X72" i="1" s="1"/>
  <c r="Y72" i="1" s="1"/>
  <c r="Z73" i="1"/>
  <c r="X73" i="1" s="1"/>
  <c r="Y73" i="1" s="1"/>
  <c r="Z74" i="1"/>
  <c r="X74" i="1" s="1"/>
  <c r="Y74" i="1" s="1"/>
  <c r="Z75" i="1"/>
  <c r="X75" i="1" s="1"/>
  <c r="Y75" i="1" s="1"/>
  <c r="Z76" i="1"/>
  <c r="X76" i="1" s="1"/>
  <c r="Y76" i="1" s="1"/>
  <c r="Z77" i="1"/>
  <c r="X77" i="1" s="1"/>
  <c r="Y77" i="1" s="1"/>
  <c r="Z78" i="1"/>
  <c r="X78" i="1" s="1"/>
  <c r="Y78" i="1" s="1"/>
  <c r="Z79" i="1"/>
  <c r="X79" i="1" s="1"/>
  <c r="Y79" i="1" s="1"/>
  <c r="Z80" i="1"/>
  <c r="X80" i="1" s="1"/>
  <c r="Y80" i="1" s="1"/>
  <c r="Z81" i="1"/>
  <c r="X81" i="1" s="1"/>
  <c r="Y81" i="1" s="1"/>
  <c r="Z82" i="1"/>
  <c r="X82" i="1" s="1"/>
  <c r="Y82" i="1" s="1"/>
  <c r="Z83" i="1"/>
  <c r="X83" i="1" s="1"/>
  <c r="Y83" i="1" s="1"/>
  <c r="Z84" i="1"/>
  <c r="X84" i="1" s="1"/>
  <c r="Y84" i="1" s="1"/>
  <c r="Z85" i="1"/>
  <c r="X85" i="1" s="1"/>
  <c r="Y85" i="1" s="1"/>
  <c r="Z86" i="1"/>
  <c r="X86" i="1" s="1"/>
  <c r="Y86" i="1" s="1"/>
  <c r="Z87" i="1"/>
  <c r="X87" i="1" s="1"/>
  <c r="Y87" i="1" s="1"/>
  <c r="Z88" i="1"/>
  <c r="X88" i="1" s="1"/>
  <c r="Y88" i="1" s="1"/>
  <c r="Z89" i="1"/>
  <c r="X89" i="1" s="1"/>
  <c r="Y89" i="1" s="1"/>
  <c r="Z90" i="1"/>
  <c r="X90" i="1" s="1"/>
  <c r="Y90" i="1" s="1"/>
  <c r="Z91" i="1"/>
  <c r="X91" i="1" s="1"/>
  <c r="Y91" i="1" s="1"/>
  <c r="Z92" i="1"/>
  <c r="X92" i="1" s="1"/>
  <c r="Y92" i="1" s="1"/>
  <c r="Z93" i="1"/>
  <c r="X93" i="1" s="1"/>
  <c r="Y93" i="1" s="1"/>
  <c r="Z94" i="1"/>
  <c r="X94" i="1" s="1"/>
  <c r="Y94" i="1" s="1"/>
  <c r="Z95" i="1"/>
  <c r="X95" i="1" s="1"/>
  <c r="Y95" i="1" s="1"/>
  <c r="Z96" i="1"/>
  <c r="X96" i="1" s="1"/>
  <c r="Y96" i="1" s="1"/>
  <c r="Z97" i="1"/>
  <c r="X97" i="1" s="1"/>
  <c r="Y97" i="1" s="1"/>
  <c r="Z98" i="1"/>
  <c r="X98" i="1" s="1"/>
  <c r="Y98" i="1" s="1"/>
  <c r="Z99" i="1"/>
  <c r="X99" i="1" s="1"/>
  <c r="Y99" i="1" s="1"/>
  <c r="Z100" i="1"/>
  <c r="X100" i="1" s="1"/>
  <c r="Y100" i="1" s="1"/>
  <c r="Z101" i="1"/>
  <c r="X101" i="1" s="1"/>
  <c r="Y101" i="1" s="1"/>
  <c r="Z102" i="1"/>
  <c r="X102" i="1" s="1"/>
  <c r="Y102" i="1" s="1"/>
  <c r="Z103" i="1"/>
  <c r="X103" i="1" s="1"/>
  <c r="Y103" i="1" s="1"/>
  <c r="Z104" i="1"/>
  <c r="X104" i="1" s="1"/>
  <c r="Y104" i="1" s="1"/>
  <c r="Z105" i="1"/>
  <c r="X105" i="1" s="1"/>
  <c r="Y105" i="1" s="1"/>
  <c r="Z106" i="1"/>
  <c r="X106" i="1" s="1"/>
  <c r="Y106" i="1" s="1"/>
  <c r="Z107" i="1"/>
  <c r="X107" i="1" s="1"/>
  <c r="Y107" i="1" s="1"/>
  <c r="Z108" i="1"/>
  <c r="X108" i="1" s="1"/>
  <c r="Y108" i="1" s="1"/>
  <c r="Z109" i="1"/>
  <c r="X109" i="1" s="1"/>
  <c r="Y109" i="1" s="1"/>
  <c r="Z110" i="1"/>
  <c r="X110" i="1" s="1"/>
  <c r="Y110" i="1" s="1"/>
  <c r="Z111" i="1"/>
  <c r="X111" i="1" s="1"/>
  <c r="Y111" i="1" s="1"/>
  <c r="Z112" i="1"/>
  <c r="X112" i="1" s="1"/>
  <c r="Y112" i="1" s="1"/>
  <c r="Z113" i="1"/>
  <c r="X113" i="1" s="1"/>
  <c r="Y113" i="1" s="1"/>
  <c r="Z114" i="1"/>
  <c r="X114" i="1" s="1"/>
  <c r="Y114" i="1" s="1"/>
  <c r="Z115" i="1"/>
  <c r="X115" i="1" s="1"/>
  <c r="Y115" i="1" s="1"/>
  <c r="Z116" i="1"/>
  <c r="X116" i="1" s="1"/>
  <c r="Y116" i="1" s="1"/>
  <c r="Z117" i="1"/>
  <c r="X117" i="1" s="1"/>
  <c r="Y117" i="1" s="1"/>
  <c r="Z118" i="1"/>
  <c r="X118" i="1" s="1"/>
  <c r="Y118" i="1" s="1"/>
  <c r="Z119" i="1"/>
  <c r="X119" i="1" s="1"/>
  <c r="Y119" i="1" s="1"/>
  <c r="Z29" i="1"/>
  <c r="X29" i="1" s="1"/>
  <c r="Y29" i="1" s="1"/>
  <c r="Z30" i="1"/>
  <c r="X30" i="1" s="1"/>
  <c r="Y30" i="1" s="1"/>
  <c r="Z31" i="1"/>
  <c r="X31" i="1" s="1"/>
  <c r="Y31" i="1" s="1"/>
  <c r="Z32" i="1"/>
  <c r="X32" i="1" s="1"/>
  <c r="Y32" i="1" s="1"/>
  <c r="Z33" i="1"/>
  <c r="X33" i="1" s="1"/>
  <c r="Y33" i="1" s="1"/>
  <c r="Z34" i="1"/>
  <c r="X34" i="1" s="1"/>
  <c r="Y34" i="1" s="1"/>
  <c r="AC24" i="1"/>
  <c r="AA24" i="1" s="1"/>
  <c r="AB24" i="1" s="1"/>
  <c r="AC67" i="1"/>
  <c r="AA67" i="1" s="1"/>
  <c r="AB67" i="1" s="1"/>
  <c r="AC72" i="1"/>
  <c r="AA72" i="1" s="1"/>
  <c r="AB72" i="1" s="1"/>
  <c r="AC73" i="1"/>
  <c r="AA73" i="1" s="1"/>
  <c r="AB73" i="1" s="1"/>
  <c r="AC74" i="1"/>
  <c r="AA74" i="1" s="1"/>
  <c r="AB74" i="1" s="1"/>
  <c r="AC75" i="1"/>
  <c r="AA75" i="1" s="1"/>
  <c r="AB75" i="1" s="1"/>
  <c r="AC76" i="1"/>
  <c r="AA76" i="1" s="1"/>
  <c r="AB76" i="1" s="1"/>
  <c r="AC77" i="1"/>
  <c r="AA77" i="1" s="1"/>
  <c r="AB77" i="1" s="1"/>
  <c r="AC78" i="1"/>
  <c r="AA78" i="1" s="1"/>
  <c r="AB78" i="1" s="1"/>
  <c r="AC79" i="1"/>
  <c r="AA79" i="1" s="1"/>
  <c r="AB79" i="1" s="1"/>
  <c r="AC80" i="1"/>
  <c r="AA80" i="1" s="1"/>
  <c r="AB80" i="1" s="1"/>
  <c r="AC81" i="1"/>
  <c r="AA81" i="1" s="1"/>
  <c r="AB81" i="1" s="1"/>
  <c r="AC82" i="1"/>
  <c r="AA82" i="1" s="1"/>
  <c r="AB82" i="1" s="1"/>
  <c r="AC83" i="1"/>
  <c r="AA83" i="1" s="1"/>
  <c r="AB83" i="1" s="1"/>
  <c r="AC84" i="1"/>
  <c r="AA84" i="1" s="1"/>
  <c r="AB84" i="1" s="1"/>
  <c r="AC85" i="1"/>
  <c r="AA85" i="1" s="1"/>
  <c r="AB85" i="1" s="1"/>
  <c r="AC86" i="1"/>
  <c r="AA86" i="1" s="1"/>
  <c r="AB86" i="1" s="1"/>
  <c r="AC87" i="1"/>
  <c r="AA87" i="1" s="1"/>
  <c r="AB87" i="1" s="1"/>
  <c r="AC88" i="1"/>
  <c r="AA88" i="1" s="1"/>
  <c r="AB88" i="1" s="1"/>
  <c r="AC89" i="1"/>
  <c r="AA89" i="1" s="1"/>
  <c r="AB89" i="1" s="1"/>
  <c r="AC90" i="1"/>
  <c r="AA90" i="1" s="1"/>
  <c r="AB90" i="1" s="1"/>
  <c r="AC91" i="1"/>
  <c r="AA91" i="1" s="1"/>
  <c r="AB91" i="1" s="1"/>
  <c r="AC92" i="1"/>
  <c r="AA92" i="1" s="1"/>
  <c r="AB92" i="1" s="1"/>
  <c r="AC93" i="1"/>
  <c r="AA93" i="1" s="1"/>
  <c r="AB93" i="1" s="1"/>
  <c r="AC94" i="1"/>
  <c r="AA94" i="1" s="1"/>
  <c r="AB94" i="1" s="1"/>
  <c r="AC95" i="1"/>
  <c r="AA95" i="1" s="1"/>
  <c r="AB95" i="1" s="1"/>
  <c r="AC96" i="1"/>
  <c r="AA96" i="1" s="1"/>
  <c r="AB96" i="1" s="1"/>
  <c r="AC97" i="1"/>
  <c r="AA97" i="1" s="1"/>
  <c r="AB97" i="1" s="1"/>
  <c r="AC98" i="1"/>
  <c r="AA98" i="1" s="1"/>
  <c r="AB98" i="1" s="1"/>
  <c r="AC99" i="1"/>
  <c r="AA99" i="1" s="1"/>
  <c r="AB99" i="1" s="1"/>
  <c r="AC100" i="1"/>
  <c r="AA100" i="1" s="1"/>
  <c r="AB100" i="1" s="1"/>
  <c r="AC101" i="1"/>
  <c r="AA101" i="1" s="1"/>
  <c r="AB101" i="1" s="1"/>
  <c r="AC102" i="1"/>
  <c r="AA102" i="1" s="1"/>
  <c r="AB102" i="1" s="1"/>
  <c r="AC103" i="1"/>
  <c r="AA103" i="1" s="1"/>
  <c r="AB103" i="1" s="1"/>
  <c r="AC104" i="1"/>
  <c r="AA104" i="1" s="1"/>
  <c r="AB104" i="1" s="1"/>
  <c r="AC105" i="1"/>
  <c r="AA105" i="1" s="1"/>
  <c r="AB105" i="1" s="1"/>
  <c r="AC106" i="1"/>
  <c r="AA106" i="1" s="1"/>
  <c r="AB106" i="1" s="1"/>
  <c r="AC107" i="1"/>
  <c r="AA107" i="1" s="1"/>
  <c r="AB107" i="1" s="1"/>
  <c r="AC108" i="1"/>
  <c r="AA108" i="1" s="1"/>
  <c r="AB108" i="1" s="1"/>
  <c r="AC109" i="1"/>
  <c r="AA109" i="1" s="1"/>
  <c r="AB109" i="1" s="1"/>
  <c r="AC110" i="1"/>
  <c r="AA110" i="1" s="1"/>
  <c r="AB110" i="1" s="1"/>
  <c r="AC111" i="1"/>
  <c r="AA111" i="1" s="1"/>
  <c r="AB111" i="1" s="1"/>
  <c r="AC112" i="1"/>
  <c r="AA112" i="1" s="1"/>
  <c r="AB112" i="1" s="1"/>
  <c r="AC113" i="1"/>
  <c r="AA113" i="1" s="1"/>
  <c r="AB113" i="1" s="1"/>
  <c r="AC114" i="1"/>
  <c r="AA114" i="1" s="1"/>
  <c r="AB114" i="1" s="1"/>
  <c r="AC115" i="1"/>
  <c r="AA115" i="1" s="1"/>
  <c r="AB115" i="1" s="1"/>
  <c r="AC116" i="1"/>
  <c r="AA116" i="1" s="1"/>
  <c r="AB116" i="1" s="1"/>
  <c r="AC117" i="1"/>
  <c r="AA117" i="1" s="1"/>
  <c r="AB117" i="1" s="1"/>
  <c r="AC118" i="1"/>
  <c r="AA118" i="1" s="1"/>
  <c r="AB118" i="1" s="1"/>
  <c r="AC119" i="1"/>
  <c r="AA119" i="1" s="1"/>
  <c r="AB119" i="1" s="1"/>
  <c r="AC29" i="1"/>
  <c r="AA29" i="1" s="1"/>
  <c r="AB29" i="1" s="1"/>
  <c r="AC30" i="1"/>
  <c r="AA30" i="1" s="1"/>
  <c r="AB30" i="1" s="1"/>
  <c r="AC31" i="1"/>
  <c r="AA31" i="1" s="1"/>
  <c r="AB31" i="1" s="1"/>
  <c r="AC32" i="1"/>
  <c r="AA32" i="1" s="1"/>
  <c r="AB32" i="1" s="1"/>
  <c r="AC33" i="1"/>
  <c r="AA33" i="1" s="1"/>
  <c r="AB33" i="1" s="1"/>
  <c r="AC34" i="1"/>
  <c r="AA34" i="1" s="1"/>
  <c r="AB34" i="1" s="1"/>
  <c r="W67" i="1"/>
  <c r="U67" i="1" s="1"/>
  <c r="V67" i="1" s="1"/>
  <c r="W72" i="1"/>
  <c r="U72" i="1" s="1"/>
  <c r="V72" i="1" s="1"/>
  <c r="W73" i="1"/>
  <c r="U73" i="1" s="1"/>
  <c r="V73" i="1" s="1"/>
  <c r="W74" i="1"/>
  <c r="U74" i="1" s="1"/>
  <c r="V74" i="1" s="1"/>
  <c r="W75" i="1"/>
  <c r="U75" i="1" s="1"/>
  <c r="V75" i="1" s="1"/>
  <c r="W76" i="1"/>
  <c r="U76" i="1" s="1"/>
  <c r="V76" i="1" s="1"/>
  <c r="W77" i="1"/>
  <c r="U77" i="1" s="1"/>
  <c r="V77" i="1" s="1"/>
  <c r="W78" i="1"/>
  <c r="U78" i="1" s="1"/>
  <c r="V78" i="1" s="1"/>
  <c r="W79" i="1"/>
  <c r="U79" i="1" s="1"/>
  <c r="V79" i="1" s="1"/>
  <c r="W80" i="1"/>
  <c r="U80" i="1" s="1"/>
  <c r="V80" i="1" s="1"/>
  <c r="W81" i="1"/>
  <c r="U81" i="1" s="1"/>
  <c r="V81" i="1" s="1"/>
  <c r="W82" i="1"/>
  <c r="U82" i="1" s="1"/>
  <c r="V82" i="1" s="1"/>
  <c r="W83" i="1"/>
  <c r="U83" i="1" s="1"/>
  <c r="V83" i="1" s="1"/>
  <c r="W84" i="1"/>
  <c r="U84" i="1" s="1"/>
  <c r="V84" i="1" s="1"/>
  <c r="W85" i="1"/>
  <c r="U85" i="1" s="1"/>
  <c r="V85" i="1" s="1"/>
  <c r="W86" i="1"/>
  <c r="U86" i="1" s="1"/>
  <c r="V86" i="1" s="1"/>
  <c r="W87" i="1"/>
  <c r="U87" i="1" s="1"/>
  <c r="V87" i="1" s="1"/>
  <c r="W88" i="1"/>
  <c r="U88" i="1" s="1"/>
  <c r="V88" i="1" s="1"/>
  <c r="W89" i="1"/>
  <c r="U89" i="1" s="1"/>
  <c r="V89" i="1" s="1"/>
  <c r="W90" i="1"/>
  <c r="U90" i="1" s="1"/>
  <c r="V90" i="1" s="1"/>
  <c r="W91" i="1"/>
  <c r="U91" i="1" s="1"/>
  <c r="V91" i="1" s="1"/>
  <c r="W92" i="1"/>
  <c r="U92" i="1" s="1"/>
  <c r="V92" i="1" s="1"/>
  <c r="W93" i="1"/>
  <c r="U93" i="1" s="1"/>
  <c r="V93" i="1" s="1"/>
  <c r="W94" i="1"/>
  <c r="U94" i="1" s="1"/>
  <c r="V94" i="1" s="1"/>
  <c r="W95" i="1"/>
  <c r="U95" i="1" s="1"/>
  <c r="V95" i="1" s="1"/>
  <c r="W96" i="1"/>
  <c r="U96" i="1" s="1"/>
  <c r="V96" i="1" s="1"/>
  <c r="W97" i="1"/>
  <c r="U97" i="1" s="1"/>
  <c r="V97" i="1" s="1"/>
  <c r="W98" i="1"/>
  <c r="U98" i="1" s="1"/>
  <c r="V98" i="1" s="1"/>
  <c r="W99" i="1"/>
  <c r="U99" i="1" s="1"/>
  <c r="V99" i="1" s="1"/>
  <c r="W100" i="1"/>
  <c r="U100" i="1" s="1"/>
  <c r="V100" i="1" s="1"/>
  <c r="W101" i="1"/>
  <c r="U101" i="1" s="1"/>
  <c r="V101" i="1" s="1"/>
  <c r="W102" i="1"/>
  <c r="U102" i="1" s="1"/>
  <c r="V102" i="1" s="1"/>
  <c r="W103" i="1"/>
  <c r="U103" i="1" s="1"/>
  <c r="V103" i="1" s="1"/>
  <c r="W104" i="1"/>
  <c r="U104" i="1" s="1"/>
  <c r="V104" i="1" s="1"/>
  <c r="W105" i="1"/>
  <c r="U105" i="1" s="1"/>
  <c r="V105" i="1" s="1"/>
  <c r="W106" i="1"/>
  <c r="U106" i="1" s="1"/>
  <c r="V106" i="1" s="1"/>
  <c r="W107" i="1"/>
  <c r="U107" i="1" s="1"/>
  <c r="V107" i="1" s="1"/>
  <c r="W108" i="1"/>
  <c r="U108" i="1" s="1"/>
  <c r="V108" i="1" s="1"/>
  <c r="W109" i="1"/>
  <c r="U109" i="1" s="1"/>
  <c r="V109" i="1" s="1"/>
  <c r="W110" i="1"/>
  <c r="U110" i="1" s="1"/>
  <c r="V110" i="1" s="1"/>
  <c r="W111" i="1"/>
  <c r="U111" i="1" s="1"/>
  <c r="V111" i="1" s="1"/>
  <c r="W112" i="1"/>
  <c r="U112" i="1" s="1"/>
  <c r="V112" i="1" s="1"/>
  <c r="W113" i="1"/>
  <c r="U113" i="1" s="1"/>
  <c r="V113" i="1" s="1"/>
  <c r="W114" i="1"/>
  <c r="U114" i="1" s="1"/>
  <c r="V114" i="1" s="1"/>
  <c r="W115" i="1"/>
  <c r="U115" i="1" s="1"/>
  <c r="V115" i="1" s="1"/>
  <c r="W116" i="1"/>
  <c r="U116" i="1" s="1"/>
  <c r="V116" i="1" s="1"/>
  <c r="W117" i="1"/>
  <c r="U117" i="1" s="1"/>
  <c r="V117" i="1" s="1"/>
  <c r="W118" i="1"/>
  <c r="U118" i="1" s="1"/>
  <c r="V118" i="1" s="1"/>
  <c r="W119" i="1"/>
  <c r="U119" i="1" s="1"/>
  <c r="V119" i="1" s="1"/>
  <c r="W29" i="1"/>
  <c r="U29" i="1" s="1"/>
  <c r="V29" i="1" s="1"/>
  <c r="W30" i="1"/>
  <c r="U30" i="1" s="1"/>
  <c r="V30" i="1" s="1"/>
  <c r="W31" i="1"/>
  <c r="U31" i="1" s="1"/>
  <c r="V31" i="1" s="1"/>
  <c r="W32" i="1"/>
  <c r="U32" i="1" s="1"/>
  <c r="V32" i="1" s="1"/>
  <c r="W33" i="1"/>
  <c r="U33" i="1" s="1"/>
  <c r="V33" i="1" s="1"/>
  <c r="W34" i="1"/>
  <c r="U34" i="1" s="1"/>
  <c r="V34" i="1" s="1"/>
  <c r="W24" i="1"/>
  <c r="U24" i="1" s="1"/>
  <c r="V24" i="1" s="1"/>
</calcChain>
</file>

<file path=xl/sharedStrings.xml><?xml version="1.0" encoding="utf-8"?>
<sst xmlns="http://schemas.openxmlformats.org/spreadsheetml/2006/main" count="792" uniqueCount="464">
  <si>
    <t>Name</t>
  </si>
  <si>
    <t>Type</t>
  </si>
  <si>
    <t>Effect 1</t>
  </si>
  <si>
    <t>Effect 2</t>
  </si>
  <si>
    <t>Effect 3</t>
  </si>
  <si>
    <t>Baleful Eye</t>
  </si>
  <si>
    <t>Limb</t>
  </si>
  <si>
    <t>Effect 1 Title</t>
  </si>
  <si>
    <t>Effect 1 Type</t>
  </si>
  <si>
    <t>Mark a target as your hated target. You can only have one target at a time.</t>
  </si>
  <si>
    <t>&lt;b&gt;Rancor: &lt;/b&gt;2 AP + weirdTJazzT</t>
  </si>
  <si>
    <t>Active</t>
  </si>
  <si>
    <t>Effect 2 Type</t>
  </si>
  <si>
    <t>Effect 2 Title</t>
  </si>
  <si>
    <t>Effect 3 Type</t>
  </si>
  <si>
    <t>Effect 3 Title</t>
  </si>
  <si>
    <t>&lt;b&gt; Scorn:&lt;/b&gt; 2 AP</t>
  </si>
  <si>
    <t>Charges</t>
  </si>
  <si>
    <t>Effect 2 Y</t>
  </si>
  <si>
    <t>Effect 3 Y</t>
  </si>
  <si>
    <t>Effect 1 Y</t>
  </si>
  <si>
    <t>Ypos</t>
  </si>
  <si>
    <t>E1BY</t>
  </si>
  <si>
    <t>E1TY</t>
  </si>
  <si>
    <t>E1Y</t>
  </si>
  <si>
    <t>E2TY</t>
  </si>
  <si>
    <t>E2BY</t>
  </si>
  <si>
    <t>E2Y</t>
  </si>
  <si>
    <t>E3TY</t>
  </si>
  <si>
    <t>E3BY</t>
  </si>
  <si>
    <t>E3Y</t>
  </si>
  <si>
    <t>Ability Offset</t>
  </si>
  <si>
    <t>Border Offset</t>
  </si>
  <si>
    <t>Title Offset</t>
  </si>
  <si>
    <t>Attack</t>
  </si>
  <si>
    <t>Slime Shooter</t>
  </si>
  <si>
    <t>Passive</t>
  </si>
  <si>
    <t>When you take a move action, you may spend weirdt to leave a trail of goo in all hexes moved out of. Moving through this goo costs 2 hexes of movement per hex.</t>
  </si>
  <si>
    <t>&lt;b&gt;Slime Glob: 2 AP</t>
  </si>
  <si>
    <t>Bladed Fingers</t>
  </si>
  <si>
    <t>Cicada Wings</t>
  </si>
  <si>
    <t>&lt;b&gt; 1000 Cuts: &lt;/b&gt;2 AP</t>
  </si>
  <si>
    <t>&lt;b&gt;Fly: &lt;/b&gt;2 AP or  weirdT</t>
  </si>
  <si>
    <t>Make a move action with + 1 speed, ignore terrain during this move (within reason).</t>
  </si>
  <si>
    <t>&lt;b&gt;Chirp Tune: &lt;/b&gt;3 AP</t>
  </si>
  <si>
    <t>You and any number of target allies each gain up to 3 temporary composure.</t>
  </si>
  <si>
    <t>Unstable</t>
  </si>
  <si>
    <t>Form</t>
  </si>
  <si>
    <t>Linewidth</t>
  </si>
  <si>
    <t>At the end of each of your turns, take 2 damage and refresh 1 weirdT.</t>
  </si>
  <si>
    <t>Whenever you spend weirdt, adjacent beings take 2 damage.</t>
  </si>
  <si>
    <t xml:space="preserve">&lt;i&gt;&lt;b&gt;Secretions&lt;/b&gt;&lt;/i&gt;   </t>
  </si>
  <si>
    <t>Treacherous</t>
  </si>
  <si>
    <t>Impression</t>
  </si>
  <si>
    <t>&lt;b&gt;&lt;i&gt;Snigger:&lt;/b&gt;&lt;/i&gt; 1 AP or WeirdT</t>
  </si>
  <si>
    <t>Whenever you see a being take damage from a source other than you, increase that damage by 2. This does not stack.</t>
  </si>
  <si>
    <t>Reaction</t>
  </si>
  <si>
    <t>Chalk Vein</t>
  </si>
  <si>
    <t>Clay Exuder</t>
  </si>
  <si>
    <t>Clayling</t>
  </si>
  <si>
    <t>Cloven Hoof</t>
  </si>
  <si>
    <t>Crackling Geode</t>
  </si>
  <si>
    <t>Crystal of the Deep</t>
  </si>
  <si>
    <t>Dolem Piston</t>
  </si>
  <si>
    <t>Doomtouch</t>
  </si>
  <si>
    <t>Enflamed Lash</t>
  </si>
  <si>
    <t>Explosive Lesion</t>
  </si>
  <si>
    <t>Explosive Polyps</t>
  </si>
  <si>
    <t>Granite Fists</t>
  </si>
  <si>
    <t>Grasp of Mud</t>
  </si>
  <si>
    <t>Hammer and Chisel</t>
  </si>
  <si>
    <t>Horns</t>
  </si>
  <si>
    <t>Humming Moonstone</t>
  </si>
  <si>
    <t>Hungering Hand</t>
  </si>
  <si>
    <t>Lanceflower Bloom</t>
  </si>
  <si>
    <t>Lithium Geode</t>
  </si>
  <si>
    <t>Locked Screen Mouth</t>
  </si>
  <si>
    <t>Mandibles</t>
  </si>
  <si>
    <t>Mantid Scythe</t>
  </si>
  <si>
    <t>Monolith of Pain</t>
  </si>
  <si>
    <t>Needle Mouthed</t>
  </si>
  <si>
    <t>Noxious Trunk</t>
  </si>
  <si>
    <t>Oversized Claw</t>
  </si>
  <si>
    <t>Painted Slab</t>
  </si>
  <si>
    <t>&lt;b&gt;Wall of Splendor: &lt;/b&gt;1 AP&lt;br&gt;Place the slab down on an adjacent hex. It extends straight on each side to become a three hex wall, if there is space. This wall blocks vision and is indestructible.</t>
  </si>
  <si>
    <t>&lt;b&gt;Reclaim: &lt;/b&gt;3 AP or fleshtfleshtfleshT&lt;br&gt;Pick up a deployed painted slab, any adjacent being can do this.</t>
  </si>
  <si>
    <t>Pincer Grips</t>
  </si>
  <si>
    <t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</si>
  <si>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>Projectile Spines</t>
  </si>
  <si>
    <t>&lt;i&gt;Ranged Attack -&lt;/i&gt;&lt;b&gt; Volley:&lt;/b&gt; 2 AP&lt;br&gt;Damage = 4. &lt;br&gt;You take 1 damage when you use this attack, this damage cannot be reduced.</t>
  </si>
  <si>
    <t>Pulsing Heartstone</t>
  </si>
  <si>
    <t>&lt;b&gt;Embed:&lt;/b&gt; weirdt&lt;br&gt;Place a 1 hex sized heartstone on an adjacent hex. It will break if it takes damage.</t>
  </si>
  <si>
    <t>Quartz Seed</t>
  </si>
  <si>
    <t>&lt;b&gt;Sprout Spire:&lt;/b&gt; 2 AP + (weirdt or charget)&lt;br&gt;Place a &lt;b&gt;crystal spire&lt;/b&gt; on an adjacent hex, it has a two hex radius aura, blocks line of sight, and is &lt;b&gt;destructible&lt;/b&gt;.&lt;br&gt;Whiskey_Xplo</t>
  </si>
  <si>
    <t>Other beings that start their turn inside a &lt;b&gt;crystal spire&lt;/b&gt; aura or enter it their turn take 3 damage.</t>
  </si>
  <si>
    <t>Rock Pouch</t>
  </si>
  <si>
    <t>&lt;i&gt;Ranged Attack - &lt;/i&gt;&lt;b&gt;Throw: &lt;/b&gt;1 AP + charget&lt;br&gt;Damage = &lt;span style="color:#e74c3c"&gt;&lt;strong&gt;Flesh&lt;/strong&gt;&lt;/span&gt;.</t>
  </si>
  <si>
    <t>&lt;b&gt;Rummage:&lt;/b&gt; 3 AP + fleshT&lt;br&gt;Recharge this item.</t>
  </si>
  <si>
    <t>Shovelling talons</t>
  </si>
  <si>
    <t>&lt;i&gt;Melee Attack -&lt;/i&gt; &lt;b&gt;Thump: &lt;/b&gt;2 AP&lt;br&gt;Damage =4, close range.&lt;br&gt;Crit Option:&lt;br&gt;&lt;b&gt;Concuss:&lt;/b&gt; Inflict the &lt;b&gt;Stunned&lt;/b&gt; status effect.</t>
  </si>
  <si>
    <t>&lt;b&gt;Dig:&lt;/b&gt; 1 AP or fleshT&lt;br&gt;Clear an adjacent hex of any terrain. This can cause beings to fall if they were on top of it.</t>
  </si>
  <si>
    <t>Sineuous Lash</t>
  </si>
  <si>
    <t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</si>
  <si>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>Sneak Spurs</t>
  </si>
  <si>
    <t>&lt;i&gt;Melee Attack -&lt;/i&gt;&lt;b&gt; Ping!: &lt;/b&gt;1 AP&lt;br&gt;Damage = 1, reach.&lt;br&gt;Crit Options:&lt;br&gt;&lt;b&gt;Dash:&lt;/b&gt; Take a move action for free.&lt;br&gt;&lt;b&gt;Brutal Strike:&lt;/b&gt; +2 damage.</t>
  </si>
  <si>
    <t>Stalagmite</t>
  </si>
  <si>
    <t>&lt;i&gt;Melee Attack - &lt;/i&gt;&lt;b&gt;Prod:&lt;/b&gt; 2 AP&lt;br&gt;Damage = 4, reach.&lt;br&gt;This can only target non-adjacent beings.&lt;br&gt;Crit Option:&lt;br&gt;&lt;b&gt;Strike:&lt;/b&gt; +1 damage.</t>
  </si>
  <si>
    <t>Steam Vent</t>
  </si>
  <si>
    <t>&lt;i&gt;Melee Attack - &lt;/i&gt;&lt;b&gt;Geyser:&lt;/b&gt; 2 AP&lt;br&gt;Damage = 2, reach.&lt;br&gt;On a hit, remove all &lt;b&gt;temporary composure&lt;/b&gt; from the target before dealing damage.&lt;br&gt;Crit Option:&lt;br&gt;&lt;b&gt;Armour Piercing:&lt;/b&gt; Damage from this attack cannot be reduced.</t>
  </si>
  <si>
    <t>Stone-Swivel Hinge</t>
  </si>
  <si>
    <t>&lt;i&gt;Melee Attack - &lt;/i&gt;&lt;b&gt;Smash:&lt;/b&gt; 3 AP + 2 composure&lt;br&gt;Damage = 7, reach.&lt;br&gt;</t>
  </si>
  <si>
    <t>Thermal Funnel</t>
  </si>
  <si>
    <t>&lt;i&gt;Ranged Attack - &lt;/i&gt;&lt;b&gt;Flameball:&lt;/b&gt; 3 AP&lt;br&gt;Damage = 5&lt;br&gt;On a hit, inflict the &lt;b&gt;burning&lt;/b&gt; status effect.&lt;br&gt;On a miss, inflict the &lt;b&gt;burning&lt;/b&gt; status effect on you.</t>
  </si>
  <si>
    <t>Torsion Ribs</t>
  </si>
  <si>
    <t>&lt;i&gt;Ranged Attack - &lt;/i&gt;&lt;b&gt;Release:&lt;/b&gt; 5 x chargeT&lt;br&gt;Automatically activates upon reaching 5 charget.&lt;br&gt;Deal 8 damage to all beings in a straight line from you. No attack roll required.</t>
  </si>
  <si>
    <t>Twitching Talons</t>
  </si>
  <si>
    <t>&lt;i&gt;Melee Attack - &lt;/i&gt;&lt;b&gt;Scour:&lt;/b&gt; 2 AP&lt;br&gt;Damage = 4 , close range.</t>
  </si>
  <si>
    <t>Venemous Tail</t>
  </si>
  <si>
    <t>&lt;i&gt;Melee Attack - &lt;/i&gt;&lt;b&gt;Lance: &lt;/b&gt;2 AP&lt;br&gt;Damage = 3 , reach.&lt;br&gt;Crit Option:&lt;br&gt;&lt;b&gt;Venom: &lt;/b&gt;Inflict the &lt;b&gt;Stunned&lt;/b&gt; status effect.</t>
  </si>
  <si>
    <t>&lt;i&gt;Reaction - &lt;/i&gt;&lt;b&gt;Jab: &lt;/b&gt;jazzt&lt;br&gt;Use the Lance attack on a being that has entered your attack range for the first time on their turn.</t>
  </si>
  <si>
    <t>Willow Parasite</t>
  </si>
  <si>
    <t>&lt;i&gt;Melee Attack - &lt;/i&gt;&lt;b&gt;Lash Out:&lt;/b&gt; 2 AP&lt;br&gt;Damage = 4 , reach.</t>
  </si>
  <si>
    <t>&lt;b&gt;Summon Saplings:&lt;/b&gt; weirdtweirdT&lt;br&gt;Fill 3 target connected empty hexes with a willow tree which blocks movement and vision. Each hex can be individually destroyed by dealing damage.</t>
  </si>
  <si>
    <t>Withered Hand</t>
  </si>
  <si>
    <t>&lt;i&gt;Melee Attack - &lt;/i&gt;&lt;b&gt;Anhidonia:&lt;/b&gt; 3 AP&lt;br&gt;Damage = 5, close range.&lt;br&gt;Inflict the &lt;b&gt;Exhausted&lt;/b&gt; status effect on a hit.</t>
  </si>
  <si>
    <t>&lt;b&gt;Create Sigil: &lt;/b&gt;1 AP</t>
  </si>
  <si>
    <t>&lt;b&gt;Siphon: &lt;/b&gt;2 AP + weirdT</t>
  </si>
  <si>
    <t>If there are 3 sigils, deal a random wound to all creatures within the triangle of sigils (edges count). Heal a wound of your choice.</t>
  </si>
  <si>
    <t>A target gains up to 4 temporary composure and -2 speed until the end of their next turn.</t>
  </si>
  <si>
    <t>Whenever you spend weirdt, gain up to 1 temporary composure.</t>
  </si>
  <si>
    <t>&lt;b&gt;Flail: automatic&lt;/b&gt;</t>
  </si>
  <si>
    <t>&lt;b&gt;Damage = 4, close range.&lt;/b&gt;</t>
  </si>
  <si>
    <t>Draw a sigil on an adjacent tile. You may have a maximum of 3 sigils. Other players may spend 3AP to destroy an adjacent sigil</t>
  </si>
  <si>
    <t>At the end of your turn, this limb uses &lt;b&gt;Flail&lt;/b&gt; for free, it will target you if there are no other targets available.</t>
  </si>
  <si>
    <t>Whenever you spend weirdt, deal 1 damage to any target. This damage cannot be reduced.</t>
  </si>
  <si>
    <t>&lt;b&gt; Shock: 2 AP&lt;/b&gt;</t>
  </si>
  <si>
    <t>&lt;b&gt; Back-kick: 2 AP&lt;/b&gt;</t>
  </si>
  <si>
    <t>&lt;b&gt;Coat in Clay: 1 AP +  weirdT&lt;/b&gt;</t>
  </si>
  <si>
    <t>&lt;b&gt;Embed: &lt;/b&gt;weirdT</t>
  </si>
  <si>
    <t>Place a 1 hex crystal on an adjacent hex. The crystal breaks if it takes damage.</t>
  </si>
  <si>
    <t>&lt;b&gt; Smash: &lt;/b&gt;2 AP + 3 Composure</t>
  </si>
  <si>
    <t>&lt;b&gt; Thwack: &lt;/b&gt;1 AP</t>
  </si>
  <si>
    <t>&lt;b&gt;Flay:&lt;/b&gt; 2 AP</t>
  </si>
  <si>
    <t>&lt;i&gt;&lt;b&gt;Burst Block: &lt;/b&gt;Destroy this card&lt;/i&gt;</t>
  </si>
  <si>
    <t>Completely block an incoming attack and deal 5 damage to all adjacent beings.</t>
  </si>
  <si>
    <t>At the end of your turn, if you are adjacent to a crystal, choose one of the following status effects to gain:&lt;br&gt;&lt;b&gt;Monstrous, Well Rested, Imbued.</t>
  </si>
  <si>
    <t>Add +1 damage and +1 range to attacks this turn, use only once each turn.</t>
  </si>
  <si>
    <t>&lt;b&gt;Drive-Power: &lt;/b&gt;weirdt</t>
  </si>
  <si>
    <t>Inflict the &lt;b&gt;Cursed&lt;/b&gt; status effect on a target in close range.</t>
  </si>
  <si>
    <t>&lt;b&gt;Smear:&lt;/b&gt; 2 AP + weirdT weirdT</t>
  </si>
  <si>
    <t>Your attacks this turn inflict the &lt;b&gt;Burning&lt;/b&gt; status effect on a hit and have + 1 range</t>
  </si>
  <si>
    <t>&lt;b&gt;Stoke the Flames:&lt;/b&gt; WeirdT</t>
  </si>
  <si>
    <t>Place an explosive egg on an adjacent hex.</t>
  </si>
  <si>
    <t>&lt;b&gt;Lay Egg:&lt;/b&gt; 1 AP + (chargeT or  weirdT)</t>
  </si>
  <si>
    <t>&lt;i&gt;&lt;b&gt;Detonate:&lt;/b&gt; &lt;/i&gt;1 AP</t>
  </si>
  <si>
    <t>All eggs on the map explode, adjacent beings take 5 damage and terrain is destroyed, including walls.</t>
  </si>
  <si>
    <t>&lt;b&gt;Crush:&lt;/b&gt; 4 AP or (2 AP + fleshT fleshT)</t>
  </si>
  <si>
    <t>&lt;b&gt;Damage = 5 , close range.&lt;/b&gt;</t>
  </si>
  <si>
    <t>&lt;b&gt;Bludgeon:&lt;/b&gt; 3 AP</t>
  </si>
  <si>
    <t>Damage = 3 , close range.&lt;br&gt;Inflicts the &lt;b&gt;Entangled&lt;/b&gt; status effect on a hit.</t>
  </si>
  <si>
    <t>&lt;b&gt;Whelm:&lt;/b&gt; 1 AP + weirdT</t>
  </si>
  <si>
    <t>&lt;b&gt;Vandalise:&lt;/b&gt; 2 AP</t>
  </si>
  <si>
    <t>&lt;b&gt; Charge!:&lt;/b&gt; 2 AP</t>
  </si>
  <si>
    <t>&lt;b&gt;Damage = 6 , close range.&lt;/b&gt;</t>
  </si>
  <si>
    <t>&lt;b&gt; Shove :&lt;/b&gt; 1 AP + fleshT</t>
  </si>
  <si>
    <t>&lt;b&gt;Crush:&lt;/b&gt; 3 AP</t>
  </si>
  <si>
    <t>You and any number of target allies gain the &lt;b&gt;Monstrous&lt;/b&gt; status effect.</t>
  </si>
  <si>
    <t>&lt;b&gt;Reverberate:&lt;/b&gt; 1 AP or weirdT</t>
  </si>
  <si>
    <t>Crit</t>
  </si>
  <si>
    <t>&lt;b&gt;Omen:&lt;/b&gt; inflict the &lt;b&gt;Cursed&lt;/b&gt; status effect.</t>
  </si>
  <si>
    <t>&lt;b&gt;Phage: &lt;/b&gt;2 AP</t>
  </si>
  <si>
    <t>&lt;b&gt; Bite:&lt;/b&gt; 2 AP</t>
  </si>
  <si>
    <t>&lt;b&gt;Damage = 4 , close range.&lt;br&gt;&lt;/b&gt;</t>
  </si>
  <si>
    <t>&lt;b&gt;Damage = 3 , close range.&lt;/b&gt;</t>
  </si>
  <si>
    <t>&lt;b&gt;Flurry:&lt;/b&gt;Your next attack costs 1 less AP.&lt;br&gt;&lt;b&gt;Strike:&lt;/b&gt; +1 Damage.</t>
  </si>
  <si>
    <t>&lt;b&gt;Damage = 4 , close range.&lt;/b&gt;</t>
  </si>
  <si>
    <t>&lt;b&gt;Dash:&lt;/b&gt; Take a move action.&lt;br&gt;&lt;b&gt;Mighty Shove:&lt;/b&gt; Push the target 2 hexes.</t>
  </si>
  <si>
    <t>&lt;center&gt;Critical options&lt;/center&gt;</t>
  </si>
  <si>
    <t>&lt;center&gt;Critical Options&lt;/center&gt;</t>
  </si>
  <si>
    <t>&lt;center&gt;&lt;i&gt;&lt;b&gt;Radioactive&lt;/i&gt;&lt;/b&gt;&lt;/center&gt;</t>
  </si>
  <si>
    <t>The boss does not consider you a target unless you are the last alive.</t>
  </si>
  <si>
    <t>&lt;b&gt;Damage = 1 , close range.&lt;/b&gt;</t>
  </si>
  <si>
    <t>&lt;b&gt;Omen:&lt;/b&gt; Inflict the &lt;b&gt;Cursed&lt;/b&gt; status effect.</t>
  </si>
  <si>
    <t>&lt;b&gt;Burn:&lt;/b&gt; Inflict the &lt;b&gt;Burning&lt;/b&gt; status effect.</t>
  </si>
  <si>
    <t>&lt;b&gt;Damage = 8 , close range.&lt;/b&gt;</t>
  </si>
  <si>
    <t>&lt;b&gt;Concuss:&lt;/b&gt; Inflict the &lt;b&gt;Stunned&lt;/b&gt; status effect.</t>
  </si>
  <si>
    <t>&lt;b&gt;Impale: &lt;/b&gt;2 AP</t>
  </si>
  <si>
    <t>&lt;b&gt;Damage = 4 , reach.&lt;/b&gt;</t>
  </si>
  <si>
    <t>Destroy this card to completely block an incoming attack.</t>
  </si>
  <si>
    <t>&lt;i&gt;&lt;b&gt;Bloom: &lt;/b&gt; WeirdT + &lt;b&gt;exhausted&lt;/b&gt;</t>
  </si>
  <si>
    <t>For the rest of your turn, leave a conductive trail behind in any hex you move out of.</t>
  </si>
  <si>
    <t>&lt;b&gt;Splinter Trail:&lt;/b&gt; 1 AP + (chargeT or weirdT)</t>
  </si>
  <si>
    <t>Electrify an adjacent hex and all connected conductive hexes. All beings electrified take 3 damage. This damage cannot be reduced. Hexes with water are also conductive.</t>
  </si>
  <si>
    <t>&lt;b&gt;Electrify:&lt;/b&gt; 2 AP</t>
  </si>
  <si>
    <t>chargeBIG chargeBIG</t>
  </si>
  <si>
    <t>ChargeBIGchargebigchargebig</t>
  </si>
  <si>
    <t>chargebigchargebig</t>
  </si>
  <si>
    <t>&lt;b&gt;Headbut: &lt;/b&gt;2 AP</t>
  </si>
  <si>
    <t>When you hit with this limb, you may spend flesht as though it were weirdt until the end of your turn.</t>
  </si>
  <si>
    <t>Whenever you inflict a wound with Mandibles, refresh a spent token of the same type as the wound</t>
  </si>
  <si>
    <t>&lt;b&gt; Gnaw:&lt;/b&gt; 1 AP</t>
  </si>
  <si>
    <t>&lt;b&gt; Nasty Stab:&lt;/b&gt; 3 AP</t>
  </si>
  <si>
    <t>&lt;b&gt;Armour Piercing:&lt;/b&gt; Ignore damage reduction effects.</t>
  </si>
  <si>
    <t>Whenever an adjacent creature takes a wound, you may activate this and inflict the &lt;b&gt;Stunned&lt;/b&gt; status effect on them.</t>
  </si>
  <si>
    <t>&lt;i&gt; &lt;b&gt;Salt in the wound:&lt;/b&gt;&lt;/i&gt; weirdT</t>
  </si>
  <si>
    <t>Whenever you suffer a wound, gain the &lt;b&gt;Well Rested&lt;/b&gt; status effect.</t>
  </si>
  <si>
    <t>&lt;i&gt;&lt;b&gt;Fueled by pain&lt;/i&gt;&lt;/b&gt;</t>
  </si>
  <si>
    <t>&lt;b&gt;Nip: &lt;/b&gt;2 AP</t>
  </si>
  <si>
    <t>Wounds inflicted by this limb's attacks always target the stat of your choice.</t>
  </si>
  <si>
    <t>&lt;i&gt;&lt;b&gt;Precise:&lt;/b&gt;&lt;/i&gt;</t>
  </si>
  <si>
    <t>&lt;b&gt;Strike:&lt;/b&gt; +1 damage.</t>
  </si>
  <si>
    <t>&lt;b&gt;Corrosive spit: &lt;/b&gt;2 AP + weirdT</t>
  </si>
  <si>
    <t>&lt;b&gt;Snap: &lt;/b&gt;3 AP + &lt;b&gt;exhausted&lt;/b&gt;</t>
  </si>
  <si>
    <t>&lt;b&gt;Damage = 6 , Reach.&lt;/b&gt;</t>
  </si>
  <si>
    <t xml:space="preserve">&lt;i&gt;&lt;b&gt;Decay&lt;/b&gt;&lt;/i&gt; </t>
  </si>
  <si>
    <t>&lt;i&gt;&lt;b&gt;Minion&lt;/b&gt;&lt;/i&gt;</t>
  </si>
  <si>
    <t>&lt;i&gt;&lt;b&gt;Spreading clay&lt;/i&gt;&lt;/b&gt;</t>
  </si>
  <si>
    <t>&lt;i&gt;&lt;b&gt; Autonomous Limb&lt;/i&gt;&lt;/b&gt;</t>
  </si>
  <si>
    <t>&lt;i&gt;&lt;b&gt; Sparks&lt;/i&gt;&lt;/b&gt;</t>
  </si>
  <si>
    <t>&lt;i&gt;&lt;b&gt; Radiance&lt;/b&gt;&lt;/i&gt;</t>
  </si>
  <si>
    <t>&lt;i&gt;&lt;b&gt;Release&lt;/i&gt;&lt;/b&gt;</t>
  </si>
  <si>
    <t>&lt;i&gt;&lt;b&gt;Snack&lt;/i&gt;&lt;/b&gt;</t>
  </si>
  <si>
    <t>&lt;b&gt; Slam:&lt;/b&gt; 4 AP</t>
  </si>
  <si>
    <t>Adaptive</t>
  </si>
  <si>
    <t>Ambidextrous</t>
  </si>
  <si>
    <t>Assertive</t>
  </si>
  <si>
    <t>Balanced</t>
  </si>
  <si>
    <t>Blood Mage</t>
  </si>
  <si>
    <t>Confident</t>
  </si>
  <si>
    <t>Coward</t>
  </si>
  <si>
    <t>&lt;i&gt;Reaction - &lt;/i&gt;&lt;b&gt;Flee:&lt;/b&gt; jazzT&lt;br&gt;When an enemy moves into an adjacent tile, you may take a free move action immediately.</t>
  </si>
  <si>
    <t>Creative</t>
  </si>
  <si>
    <t>Dancer</t>
  </si>
  <si>
    <t>Disciplined</t>
  </si>
  <si>
    <t>Dormant</t>
  </si>
  <si>
    <t>Energetic</t>
  </si>
  <si>
    <t>chargemidchargemidchargemid</t>
  </si>
  <si>
    <t>&lt;b&gt;Burst:&lt;/b&gt; chargeT or weirdT&lt;br&gt;Replenish a jazzt or flesht</t>
  </si>
  <si>
    <t>Grandiose</t>
  </si>
  <si>
    <t>Pillars can be climbed by spending 3 AP or jazzT.</t>
  </si>
  <si>
    <t>Hardy</t>
  </si>
  <si>
    <t>Heroic</t>
  </si>
  <si>
    <t>I'm Normal</t>
  </si>
  <si>
    <t>&lt;i&gt;Reaction - &lt;/i&gt;&lt;b&gt;What?:&lt;/b&gt; 1 &lt;span style="color:#d964d4"&gt;&lt;strong&gt;Normal&lt;/strong&gt;&lt;/span&gt;&lt;br&gt;Ignore the effects of an ability with weirdt in its cost. (Even if no weirdT was spent).</t>
  </si>
  <si>
    <t>&lt;b&gt;A cup of tea:&lt;/b&gt; 1 AP + 1 &lt;span style="color:#d964d4"&gt;&lt;strong&gt;Normal&lt;/strong&gt;&lt;/span&gt;&lt;br&gt;Gain the &lt;b&gt;Well rested&lt;/b&gt; status effect.</t>
  </si>
  <si>
    <t>Kind</t>
  </si>
  <si>
    <t>&lt;b&gt;Alliance:&lt;/b&gt; 3 AP&lt;br&gt;Declare target being your ally (if they consent), you both win if you are the only beings left in the room. You may only use this ability if 4 players are alive.</t>
  </si>
  <si>
    <t>You may only use Kind in a 4 or more player game, if drawn in a 3 player game replace immediately.</t>
  </si>
  <si>
    <t>Liar</t>
  </si>
  <si>
    <t>chargeBIGchargeBIG</t>
  </si>
  <si>
    <t>Loot Goblin</t>
  </si>
  <si>
    <t>Lucky</t>
  </si>
  <si>
    <t>Malevolent</t>
  </si>
  <si>
    <t>&lt;b&gt;Cackle:&lt;/b&gt; WeirdT&lt;br&gt;Give yourself and an ally up to 1 temporary composure</t>
  </si>
  <si>
    <t>Melancholic</t>
  </si>
  <si>
    <t>&lt;b&gt;Apathy&lt;/b&gt;: WeirdT&lt;br&gt;Put a counter on a limb of target being. The next time that limb deals damage, it deals 2 less. This doesn't stack.</t>
  </si>
  <si>
    <t>Morbid</t>
  </si>
  <si>
    <t>Musical</t>
  </si>
  <si>
    <t>&lt;b&gt;Rally Song:&lt;/b&gt; 2 AP or weirdT&lt;br&gt;You and any number of target allies gain up to 3 temporary composure.</t>
  </si>
  <si>
    <t>Negotiator</t>
  </si>
  <si>
    <t>&lt;b&gt;Pact&lt;/b&gt;: 1 AP + WeirdT
&lt;br&gt;Offer a deal to a player. If they accept they gain one temporary stat token. &lt;br&gt;If they then break the deal, they take 8 damage.
&lt;br&gt;If they reject the deal, you gain the temporary stat token.</t>
  </si>
  <si>
    <t>Nimble</t>
  </si>
  <si>
    <t>&lt;b&gt;Dash: jazzt&lt;br&gt;&lt;/b&gt;Take a move action.</t>
  </si>
  <si>
    <t>Obscene</t>
  </si>
  <si>
    <t>&lt;b&gt;Slander:&lt;/b&gt; 1AP + WeirdT&lt;br&gt;Mark a target, your attacks against marked target deal +1 damage.</t>
  </si>
  <si>
    <t>Pathetic</t>
  </si>
  <si>
    <t>Patient</t>
  </si>
  <si>
    <t>&lt;b&gt;Exhale:&lt;/b&gt; Remove all counters&lt;br&gt;Gain 1 AP for each counter removed. This turn inhale won't trigger.</t>
  </si>
  <si>
    <t>Protector</t>
  </si>
  <si>
    <t>&lt;b&gt;Good Clay:&lt;/b&gt; weirdtweirdt or 2 AP + weirdT&lt;br&gt;You and up to 1 adjacent being restore 1 wound.</t>
  </si>
  <si>
    <t>Relentless</t>
  </si>
  <si>
    <t>&lt;i&gt;Reaction - &lt;b&gt;Double down:&lt;/b&gt;&lt;/i&gt; jazzTjazzT&lt;br&gt;Re-roll an attack roll you have made.</t>
  </si>
  <si>
    <t>Restless</t>
  </si>
  <si>
    <t>Sly</t>
  </si>
  <si>
    <t>Spiteful</t>
  </si>
  <si>
    <t>Stalwart</t>
  </si>
  <si>
    <t>&lt;i&gt;Reaction - &lt;/i&gt;&lt;b&gt;Protect&lt;/b&gt;: FleshT or WeirdT
&lt;br&gt;When target ally takes damage, reduce that damage by 2, activate only once per instance of damage.</t>
  </si>
  <si>
    <t>Stoic</t>
  </si>
  <si>
    <t>&lt;i&gt;Reaction - Unfazed&lt;/i&gt;: WeirdT
&lt;br&gt;When you would take a status effect (except exhausted), ignore it instead.</t>
  </si>
  <si>
    <t>Strange</t>
  </si>
  <si>
    <t>&lt;b&gt;Secret Technique:&lt;/b&gt; 1AP or weirdT&lt;br&gt;Add your &lt;span style="color: #1563da;"&gt;Weird&lt;/span&gt; to the range of your next melee attack this turn.</t>
  </si>
  <si>
    <t>Strong Heartbeat</t>
  </si>
  <si>
    <t>&lt;i&gt;Reaction - &lt;/i&gt;&lt;b&gt;Snigger:&lt;/b&gt; 1 AP or WeirdT
&lt;br&gt;Whenever you see a being take damage from a source other than you, increase that damage by 2. This does not stack.</t>
  </si>
  <si>
    <t>Trickster</t>
  </si>
  <si>
    <t>Wanderer</t>
  </si>
  <si>
    <t>&lt;i&gt;Reaction - &lt;/i&gt;&lt;b&gt;Push Through the Pain:&lt;/b&gt; JazzT + FleshT + weirdT&lt;br&gt;When you are non-lethally wounded, ignore the wound.</t>
  </si>
  <si>
    <t>Wilful</t>
  </si>
  <si>
    <t>&lt;b&gt;Overexert&lt;/b&gt;: Gain the &lt;b&gt;Exhausted&lt;/b&gt; status effect
&lt;br&gt;Gain the &lt;b&gt;Well Rested&lt;/b&gt; status effect.</t>
  </si>
  <si>
    <t>Ancient One</t>
  </si>
  <si>
    <t>Beast</t>
  </si>
  <si>
    <t>Carcinous</t>
  </si>
  <si>
    <t>Crystalline</t>
  </si>
  <si>
    <t>Fungal</t>
  </si>
  <si>
    <t>Glowing Kintsugi</t>
  </si>
  <si>
    <t>Hag</t>
  </si>
  <si>
    <t>Hollow</t>
  </si>
  <si>
    <t>Hulking</t>
  </si>
  <si>
    <t>Human</t>
  </si>
  <si>
    <t>Hungry Clay</t>
  </si>
  <si>
    <t>Lanky</t>
  </si>
  <si>
    <t>Liquid Lightning</t>
  </si>
  <si>
    <t>Mechanical</t>
  </si>
  <si>
    <t>Mob of Deep Ones</t>
  </si>
  <si>
    <t>Overlord</t>
  </si>
  <si>
    <t>Phantom</t>
  </si>
  <si>
    <t>Quilled</t>
  </si>
  <si>
    <t>Serpentine</t>
  </si>
  <si>
    <t>Siltwood Sapling</t>
  </si>
  <si>
    <t>Sticky</t>
  </si>
  <si>
    <t>Stone Plated</t>
  </si>
  <si>
    <t>Volcanic</t>
  </si>
  <si>
    <t>Wreathed in Flame</t>
  </si>
  <si>
    <t>Writhing Mass</t>
  </si>
  <si>
    <t>Worm Nest</t>
  </si>
  <si>
    <t>chargeBigchargeBig</t>
  </si>
  <si>
    <t>Wide - Hex2wide</t>
  </si>
  <si>
    <t>Large- Hex1b</t>
  </si>
  <si>
    <t>chargeBig</t>
  </si>
  <si>
    <t>&lt;b&gt;Breathe Fire: &lt;/b&gt;3 AP + weirdT
&lt;br&gt;Emit an inferno of fire, all other beings within 3 hexes take 7 damage.
&lt;br&gt;You and all adjacent beings suffer the &lt;b&gt;Burning&lt;/b&gt; status.</t>
  </si>
  <si>
    <t>&lt;b&gt;Beam:&lt;/b&gt; chargeT or weirdTweirdT
&lt;br&gt;Teleport to any hex inside a starting zone</t>
  </si>
  <si>
    <r>
      <rPr>
        <sz val="11"/>
        <color theme="1"/>
        <rFont val="Aptos Narrow"/>
        <family val="2"/>
        <charset val="1"/>
      </rPr>
      <t>&lt;b&gt;</t>
    </r>
    <r>
      <rPr>
        <sz val="11"/>
        <color theme="1"/>
        <rFont val="Aptos Narrow"/>
        <family val="2"/>
      </rPr>
      <t>Command</t>
    </r>
    <r>
      <rPr>
        <sz val="11"/>
        <color theme="1"/>
        <rFont val="Aptos Narrow"/>
        <family val="2"/>
        <charset val="1"/>
      </rPr>
      <t>: &lt;/b&gt;1 AP or WeirdT
&lt;br&gt;Target creature moves one tile under your control.</t>
    </r>
  </si>
  <si>
    <t>&lt;b&gt;Chilling presence: &lt;/b&gt;weirdT
&lt;br&gt;Reduce the composure of a being you have moved through this turn by 3 (minimum 1).</t>
  </si>
  <si>
    <t>&lt;b&gt;Transplant: &lt;/b&gt;1 AP + (weirdT or chargeT)
&lt;br&gt;Swap the location of your body and the heart bulb.</t>
  </si>
  <si>
    <t>You may destroy an equipped limb to replenish a spent token.</t>
  </si>
  <si>
    <t>&lt;b&gt;Feast&lt;/b&gt;
Remove an infected token from a being, and use one of your abilities spending their tokens.</t>
  </si>
  <si>
    <t>Whenever you take damage, refresh 1 WeirdT.</t>
  </si>
  <si>
    <t>&lt;i&gt;&lt;b&gt;Pain to Power&lt;/i&gt;&lt;/b&gt;</t>
  </si>
  <si>
    <t>&lt;i&gt;&lt;b&gt;Reckless&lt;/i&gt;&lt;/b&gt;</t>
  </si>
  <si>
    <t>You get an extra AP at the end of each turn, if you are &lt;b&gt;Monstrous&lt;/b&gt;.</t>
  </si>
  <si>
    <t>&lt;i&gt;&lt;b&gt;Relentless&lt;/i&gt;&lt;/b&gt;</t>
  </si>
  <si>
    <t>&lt;i&gt;&lt;b&gt;Victorious&lt;/i&gt;&lt;/b&gt;</t>
  </si>
  <si>
    <t>Your move speed is increased by 1 and you take 1 more damage from all sources.</t>
  </si>
  <si>
    <t>All attacks have the crit option:
&lt;br&gt;&lt;b&gt;Howl: &lt;/b&gt;Gain &lt;b&gt;Monstrous&lt;/b&gt;.</t>
  </si>
  <si>
    <t>Whenever you inflict a status effect, you may set that creature's composure to 1</t>
  </si>
  <si>
    <t>Reduce damage taken by 2</t>
  </si>
  <si>
    <t>&lt;i&gt;&lt;b&gt;Chiton&lt;/i&gt;&lt;/b&gt;</t>
  </si>
  <si>
    <t>&lt;b&gt;Sidesteps: &lt;/b&gt;1AP</t>
  </si>
  <si>
    <t xml:space="preserve">You may only move sideways.
&lt;br&gt;Swivel on a point you're standing on, then move as many tiles as you like in a straight line aligned with the hexes. </t>
  </si>
  <si>
    <t>&lt;b&gt;Labyrinth&lt;/b&gt;: chargeT or weirdT</t>
  </si>
  <si>
    <t>Whenever you spend chargeT on any card, refresh 1 spent token.</t>
  </si>
  <si>
    <t>&lt;i&gt;&lt;b&gt;Budding Growth&lt;/i&gt;&lt;/b&gt;</t>
  </si>
  <si>
    <t>&lt;i&gt;&lt;b&gt;Spores&lt;/i&gt;&lt;/b&gt;</t>
  </si>
  <si>
    <t>Whenever you are struck by a melee attack, after damage is resolved, deal 2 damage to all adjacent beings and refresh your composure.</t>
  </si>
  <si>
    <t>&lt;i&gt;&lt;b&gt;Warm Glow&lt;/i&gt;&lt;/b&gt;</t>
  </si>
  <si>
    <t>&lt;b&gt;Light Beam:&lt;/b&gt; 1 tempct.</t>
  </si>
  <si>
    <t>Do one of the following:
&lt;br&gt;&lt;b&gt;Scamper:&lt;/b&gt; Move 1 tile.
&lt;br&gt;&lt;b&gt;Focus:&lt;/b&gt;Increase your attack roll by 1. Once per attack.
&lt;br&gt;&lt;b&gt;Calm:&lt;/b&gt; Restore comptcompt.</t>
  </si>
  <si>
    <t>At the start of your turn, gain &lt;br&gt;tempct tempct. Temporary composure can stack from any source up to a cap of 5.</t>
  </si>
  <si>
    <t>&lt;i&gt;&lt;b&gt;Charger:&lt;br&gt;&lt;/i&gt;&lt;/b&gt;When you make an attack, you may move 2 tiles before attacking</t>
  </si>
  <si>
    <t>&lt;i&gt;&lt;b&gt;Inhale:&lt;br&gt;&lt;/i&gt;&lt;/b&gt;At the end of your turn, for each unspent action point add a counter to this card, up to max of your &lt;span style="color: #1563da;"&gt;Weird&lt;/span&gt;.</t>
  </si>
  <si>
    <t>&lt;i&gt;&lt;b&gt;Relish in battle:&lt;br&gt;&lt;/i&gt;&lt;/b&gt;Whenever you critically hit, restore 2 composure or gain up to 2 temporary composure.</t>
  </si>
  <si>
    <t>&lt;i&gt;&lt;b&gt;Decrepit&lt;/i&gt;&lt;/b&gt;</t>
  </si>
  <si>
    <t>&lt;i&gt;&lt;b&gt;Odd structure&lt;/i&gt;&lt;/b&gt;</t>
  </si>
  <si>
    <t>&lt;i&gt;&lt;b&gt;Immense&lt;/i&gt;&lt;/b&gt;</t>
  </si>
  <si>
    <t>&lt;i&gt;Reaction - &lt;b&gt;Switcheroo&lt;/i&gt;&lt;/b&gt; 1 AP + weirdT&lt;br&gt;After taking damage, you may activate this to swap places with any being.</t>
  </si>
  <si>
    <t>&lt;i&gt;&lt;b&gt;Two Legs&lt;/i&gt;&lt;/b&gt;</t>
  </si>
  <si>
    <t>&lt;i&gt;&lt;b&gt;Consuming&lt;/i&gt;&lt;/b&gt;</t>
  </si>
  <si>
    <t>&lt;i&gt;&lt;b&gt;Long Limbed&lt;/i&gt;&lt;/b&gt;</t>
  </si>
  <si>
    <t>&lt;b&gt;Dampen:&lt;/b&gt; chargeT</t>
  </si>
  <si>
    <t>&lt;i&gt;&lt;b&gt;Twisted&lt;/i&gt;&lt;/b&gt;</t>
  </si>
  <si>
    <t>&lt;i&gt;&lt;b&gt;Fragile&lt;/i&gt;&lt;/b&gt;</t>
  </si>
  <si>
    <t>&lt;i&gt;&lt;b&gt;Punk rock&lt;/i&gt;&lt;/b&gt;</t>
  </si>
  <si>
    <t>&lt;i&gt;&lt;b&gt;Two Arms&lt;/i&gt;&lt;/b&gt;</t>
  </si>
  <si>
    <t>&lt;b&gt;Plot Armour:&lt;/b&gt; chargeT</t>
  </si>
  <si>
    <t>Make a 2 tile wall Hex2wide of Crystal. It can not be climbed and is &lt;b&gt;destructible.&lt;/b&gt;Gain up to two tempct.</t>
  </si>
  <si>
    <t>&lt;b&gt;Mimic: WeirdT + 1AP&lt;/b&gt;Adaptive becomes a copy of any Limb or Impression in play, except it also retains the &lt;b&gt;Mimic&lt;/b&gt; ability. If it would be destroyed, so is Adaptive.</t>
  </si>
  <si>
    <t>&lt;b&gt;Mold Earth: weirdTweirdT&lt;/b&gt;Create a large pillar Hex1b in target empty location.</t>
  </si>
  <si>
    <t>&lt;i&gt;Reaction - &lt;/i&gt;&lt;b&gt;Change of Luck: chargeT&lt;/b&gt;After any die is rolled by any being you can see, you may force it to be re-rolled after seeing the result.</t>
  </si>
  <si>
    <t>&lt;b&gt;Damage = 4, ranged.&lt;/b&gt;This attack can only target your hated target.</t>
  </si>
  <si>
    <t>&lt;b&gt;Damage = 1 , reach.&lt;/b&gt;
This damage cannot be reduced.</t>
  </si>
  <si>
    <t>&lt;b&gt;Damage = 2 , close range.&lt;/b&gt;On a hit, you may destroy this card to destroy any equipped Limb or Impression from the target.</t>
  </si>
  <si>
    <t>&lt;b&gt;Damage = hexes moved, close range.&lt;/b&gt;Charge any number of hexes in a straight line as part of making the attack.&lt;br&gt; hornshexes</t>
  </si>
  <si>
    <t>&lt;b&gt;Damage = 2 , close range.&lt;/b&gt;On a hit, the target is pushed back hexes equal to your &lt;span style="color:#e74c3c"&gt;&lt;strong&gt;Flesh&lt;/strong&gt;&lt;/span&gt;.</t>
  </si>
  <si>
    <t>&lt;b&gt;Damage = 7, ranged.&lt;/b&gt;Throw this limb at your target as part of the attack, regardless of attack outcome, they now have Hungering Hand equipped .</t>
  </si>
  <si>
    <t>&lt;b&gt;Damage = 1 , close range.&lt;/b&gt;This attack always hits, do not roll.</t>
  </si>
  <si>
    <t>&lt;b&gt;Damage = 4 , Ranged&lt;/b&gt;Ignores damage reduction effects.</t>
  </si>
  <si>
    <t>&lt;b&gt;Damage = 8, close range.&lt;/b&gt;</t>
  </si>
  <si>
    <t>&lt;b&gt;Damage = 2, reach.&lt;/b&gt;Inflicts the &lt;b&gt;Entangled&lt;/b&gt; status effect on a hit.</t>
  </si>
  <si>
    <t>&lt;b&gt;Winch: 1 AP&lt;/b&gt;Add a chargeT to this card. Activate only once each turn.</t>
  </si>
  <si>
    <t>&lt;i&gt;&lt;b&gt;Uncanny: &lt;/i&gt;&lt;/b&gt;At the beginning of combat secretly choose the next being to die and write it down. If you are correct, gain the &lt;b&gt;Portent&lt;/b&gt; status and repeat this ability</t>
  </si>
  <si>
    <t xml:space="preserve">&lt;i&gt; &lt;b&gt;Sure Footed: &lt;/i&gt;&lt;/b&gt;Effects from enemy abilities and terrain cannot reduce your movement speed. </t>
  </si>
  <si>
    <t>&lt;i&gt;&lt;b&gt;Furnace&lt;/i&gt;&lt;/b&gt;Your move speed is reduced by 1.
&lt;br&gt;You take 1 less damage from all sources.</t>
  </si>
  <si>
    <t>&lt;i&gt;&lt;b&gt; Magic Touch&lt;/i&gt;&lt;/b&gt;Your attacks have the crit option&lt;br&gt;&lt;b&gt;Imbue:&lt;/b&gt; Gain the &lt;b&gt;Imbued&lt;/b&gt; status effect.</t>
  </si>
  <si>
    <t>&lt;i&gt;&lt;b&gt;Aura of Earth&lt;/i&gt;&lt;/b&gt;Whenever you spend weirdt, you and up to 1 target ally gain up to 1 temporary composure.</t>
  </si>
  <si>
    <t>&lt;i&gt;&lt;b&gt;Creature of the Shadows&lt;/i&gt;&lt;/b&gt;Terrain that does not block movement does not block your line of sight.</t>
  </si>
  <si>
    <t>&lt;i&gt;&lt;b&gt; Living Rythm&lt;/i&gt;&lt;/b&gt;While there is at least 1 heartstone on the map, you gain up to 3 temporary composure at the end of your turn.</t>
  </si>
  <si>
    <t>&lt;i&gt;&lt;b&gt; Snatch&lt;/i&gt;&lt;/b&gt;Whenever a being leaves your attack range, you may spend jazzT to make an attack with any limb against them. If the attack would cost 3 or more AP, become &lt;b&gt;exhausted&lt;/b&gt;.</t>
  </si>
  <si>
    <t>&lt;i&gt;&lt;b&gt; World Sculptor&lt;/i&gt;&lt;/b&gt;Whenever you spend weirdt, create a small pillar Hex1a in target empty hex.</t>
  </si>
  <si>
    <t>&lt;i&gt;&lt;b&gt; Normality&lt;/i&gt;&lt;/b&gt;Replace your  &lt;span style="color:#3366cc"&gt;&lt;strong&gt;Weird&lt;/strong&gt;&lt;/span&gt; with &lt;span style="color:#d964d4"&gt;&lt;strong&gt;Normal&lt;/strong&gt;&lt;/span&gt;. You cannot spend weirdt any more.</t>
  </si>
  <si>
    <t>&lt;i&gt;&lt;b&gt; Vulgarity&lt;/i&gt;&lt;/b&gt;Whenever you spend a weirdt, all marked targets lose 1 composure, down to a minimum of 1.</t>
  </si>
  <si>
    <t>&lt;i&gt;&lt;b&gt;Regenerative&lt;/i&gt;&lt;/b&gt;
When you take a wound, replenish a spent token of the same stat.</t>
  </si>
  <si>
    <t>&lt;i&gt;&lt;b&gt;Sweeper&lt;/i&gt;&lt;/b&gt;
Your melee attacks target all possible targets in range, roll once for the attack.</t>
  </si>
  <si>
    <t>&lt;i&gt;&lt;b&gt;Butter Cutter&lt;/i&gt;&lt;/b&gt;
When you hit two or more creatures with a single attack, replenish a spent token.</t>
  </si>
  <si>
    <t>&lt;i&gt;&lt;b&gt;Recharge&lt;/i&gt;&lt;/b&gt;
Your attacks have the crit option:
&lt;br&gt;&lt;b&gt;Extract energy: &lt;/b&gt;Refresh 1 chargeT.</t>
  </si>
  <si>
    <t>&lt;i&gt;&lt;b&gt;Multitudinous&lt;/i&gt;&lt;/b&gt;
You have 3 bodies, each 1 hex in size. You may distribute movement between them when moving.
&lt;br&gt;When you make a melee attack, all bodies may attack a valid target.</t>
  </si>
  <si>
    <t xml:space="preserve">&lt;i&gt;&lt;b&gt;Shared Mind&lt;/i&gt;&lt;/b&gt;
Damage taken by any of your bodies is taken in full. </t>
  </si>
  <si>
    <t>&lt;i&gt;&lt;b&gt;Consume&lt;/i&gt;&lt;/b&gt;
Whenever you land a killing blow (including death by command), restore all wounds to one stat of your choice.</t>
  </si>
  <si>
    <t>&lt;i&gt;&lt;b&gt;Tough&lt;/i&gt;&lt;/b&gt;
You take 1 less damage from all sources.</t>
  </si>
  <si>
    <t>&lt;i&gt;&lt;b&gt;Thorny&lt;/i&gt;&lt;/b&gt;
Whenever you are struck by a melee attack, deal 3 damage back to the attacker.</t>
  </si>
  <si>
    <t>&lt;i&gt;&lt;b&gt;Just a tail&lt;/i&gt;&lt;/b&gt;
While you have at most 1 limb equipped, you refresh 1 WeirdT at the start of each of your turns.</t>
  </si>
  <si>
    <t>&lt;i&gt;&lt;b&gt;Fast&lt;/i&gt;&lt;/b&gt;
Your move speed is increased by 1.</t>
  </si>
  <si>
    <t>&lt;b&gt;Heart Bulb: 1 AP&lt;/b&gt;
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</si>
  <si>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>&lt;i&gt;&lt;b&gt;Like Glue&lt;/i&gt;&lt;/b&gt;
You cannot be made to move against your will.</t>
  </si>
  <si>
    <t>&lt;i&gt;&lt;b&gt;Moving is optional&lt;/i&gt;&lt;/b&gt;
At the end of your turn, if you did not move, gain up to 4 temporary composure.</t>
  </si>
  <si>
    <t xml:space="preserve">&lt;i&gt;&lt;b&gt;Stone Flesh&lt;/i&gt;&lt;/b&gt;
Reduce damage taken by 1 and your move speed by 2. </t>
  </si>
  <si>
    <t>&lt;i&gt;&lt;b&gt;Impervious Plates&lt;/i&gt;&lt;/b&gt;
Reduce damage from non-adjacent beings to 0.</t>
  </si>
  <si>
    <t>&lt;i&gt;&lt;b&gt;Behemoth&lt;/i&gt;&lt;/b&gt;
Effects cannot move you, only the move action will cause you to move.
&lt;br&gt;Moving into a 1 hex wide space counts as moving 2 hexes.</t>
  </si>
  <si>
    <t>&lt;b&gt;Infect&lt;/b&gt;
Gain the crit option:
&lt;br&gt;&lt;b&gt;Infect:&lt;/b&gt; Spend one chargeT, and give it to your target. While they have this token, they are infected.</t>
  </si>
  <si>
    <t>&lt;i&gt;&lt;b&gt;Writhe and Revel&lt;/i&gt;&lt;/b&gt;
At the start of your turn, gain 1 temporary composure for each infected being including you.</t>
  </si>
  <si>
    <t>&lt;i&gt;&lt;b&gt;Flame geysers&lt;/i&gt;&lt;/b&gt;
At the start of each turn, gain the &lt;b&gt;Burning&lt;/b&gt; status effect</t>
  </si>
  <si>
    <t>&lt;i&gt;&lt;b&gt;Through fire&lt;/i&gt;&lt;/b&gt;
Your attacks gain the crit option:
&lt;br&gt;&lt;b&gt;Purification:&lt;/b&gt;Remove one of your status effects and inflict it.</t>
  </si>
  <si>
    <t>&lt;i&gt;&lt;b&gt; Flow State&lt;/b&gt;&lt;/i&gt;</t>
  </si>
  <si>
    <t>Your attacks have the Crit Option &lt;br&gt;&lt;b&gt;Pirouette:&lt;/b&gt; Move hexes up to your  &lt;span style="color:#27ae60"&gt;&lt;strong&gt;Jazz&lt;/strong&gt;&lt;/span&gt;.</t>
  </si>
  <si>
    <t>When you chill out, also gain up to 2 temporary composure.</t>
  </si>
  <si>
    <r>
      <t>&lt;i&gt;&lt;b&gt;Passive&lt;/i&gt;</t>
    </r>
    <r>
      <rPr>
        <sz val="11"/>
        <color theme="1"/>
        <rFont val="Aptos Narrow"/>
        <family val="2"/>
      </rPr>
      <t>&lt;/b&gt;</t>
    </r>
  </si>
  <si>
    <t>&lt;i&gt;&lt;b&gt;Passive&lt;/i&gt;&lt;/b&gt;The first time a being dies in combat, draw 4 impressions and equip 2 of them.</t>
  </si>
  <si>
    <t>&lt;i&gt;&lt;b&gt;Passive&lt;/i&gt;&lt;/b&gt;</t>
  </si>
  <si>
    <t>&lt;i&gt;Passive- &lt;b&gt;Enflamed:&lt;/b&gt;&lt;/i&gt;Fire and Burning give you temporary composure instead of dealing damage.</t>
  </si>
  <si>
    <t>&lt;i&gt;Passive- &lt;b&gt;Generative:&lt;/b&gt;&lt;/i&gt;At the start of your turn, if you have less than 4 limbs equipped, draw and equip a limb.</t>
  </si>
  <si>
    <t>&lt;i&gt;&lt;b&gt;Dual Wielder&lt;/i&gt;&lt;/b&gt;Your second attack each turn costs 1 less AP</t>
  </si>
  <si>
    <t>&lt;i&gt;&lt;b&gt;Creative Duellist&lt;/i&gt;&lt;/b&gt;You may use crit options available to any of your limbs on all attacks.</t>
  </si>
  <si>
    <t>&lt;i&gt;&lt;b&gt;Passive&lt;/i&gt;&lt;/b&gt;At the start of your turn, if you have an equal number of unspent tokens in each stat, refresh two spent stat tokens.
&lt;br&gt;&lt;br&gt;They must be different tokens.</t>
  </si>
  <si>
    <t>&lt;i&gt;&lt;b&gt;Passive&lt;/i&gt;&lt;/b&gt;Once per turn you may suffer a wound to a stat of your choice to refresh 2 spent tokens in that stat.</t>
  </si>
  <si>
    <t>&lt;i&gt;&lt;b&gt;Passive&lt;/i&gt;&lt;/b&gt;While you are unwounded, gain 1 additional AP at the start of each turn.</t>
  </si>
  <si>
    <t>&lt;i&gt;&lt;b&gt;Passive&lt;/i&gt;&lt;/b&gt;At the start of your first turn, draw an impression and equip it over creative. &lt;br&gt;At the end of your each turn, you &lt;b&gt;may&lt;/b&gt; discard that impression to draw and equip a new impression over creative.</t>
  </si>
  <si>
    <t>&lt;i&gt;&lt;b&gt; On the Move:&lt;/b&gt;&lt;/i&gt;Whenever you gain temporary composure, you may move that many hexes.</t>
  </si>
  <si>
    <t>&lt;i&gt;&lt;b&gt;Passive&lt;/i&gt;&lt;/b&gt;You can't be affected by the &lt;b&gt;Targeted Strike&lt;/b&gt; critical effect.</t>
  </si>
  <si>
    <t>&lt;i&gt;&lt;b&gt;Passive&lt;/i&gt;&lt;/b&gt;Your attacks have the crit option:&lt;br&gt;&lt;b&gt;Rally:&lt;/b&gt; You and one ally gain up to 1 temporary composure.</t>
  </si>
  <si>
    <t>&lt;i&gt;&lt;b&gt; Treasure!:&lt;/b&gt;&lt;/i&gt;During map creation, search the boons deck for any card. You may place this on the map in addition to your allotted terrain cards.</t>
  </si>
  <si>
    <t>&lt;i&gt;&lt;b&gt;Passive&lt;/i&gt;&lt;/b&gt;Whenever a 12 is rolled by any being during the game, replenish 1 spent stat token of your choice.</t>
  </si>
  <si>
    <t>&lt;i&gt;&lt;b&gt;Twisted Kindness&lt;/b&gt;&lt;/i&gt;Whenever you would give another creature temporary composure, you may deal that much damage instead</t>
  </si>
  <si>
    <t>&lt;i&gt;&lt;b&gt;Fatebender: &lt;/b&gt;&lt;/i&gt;At the stat of combat, gain the &lt;b&gt;Portent&lt;/b&gt; status effect.</t>
  </si>
  <si>
    <t>&lt;i&gt;&lt;b&gt;Passive&lt;/i&gt;&lt;/b&gt;When you take the &lt;b&gt;cower&lt;/b&gt; reaction, you can reduce damage taken by 2 instead of 1</t>
  </si>
  <si>
    <t>&lt;i&gt;&lt;b&gt;Passive&lt;/i&gt;&lt;/b&gt;When you take the &lt;b&gt;reposition&lt;/b&gt; reaction you can move your speed instead of 1 hex.</t>
  </si>
  <si>
    <t>&lt;i&gt;&lt;b&gt;Passive&lt;/i&gt;&lt;/b&gt;Your attacks deal bonus damage equal to the number of &lt;span style="color: #1563da;"&gt;Weird&lt;/span&gt; wounds you have.</t>
  </si>
  <si>
    <t>&lt;i&gt;&lt;b&gt;Pressure Points&lt;/b&gt;&lt;/i&gt;Your attacks have the crit option:&lt;br&gt;&lt;b&gt;Puppeteer:&lt;/b&gt; Move the target 2 hexes in any direction.</t>
  </si>
  <si>
    <t xml:space="preserve">&lt;i&gt;&lt;b&gt;Passive&lt;/i&gt;&lt;/b&gt;Whenever you would heal or refresh a token, heal or refresh twice as many. </t>
  </si>
  <si>
    <t>&lt;i&gt;&lt;b&gt;Minion:&lt;/b&gt;&lt;/i&gt;The boss does not consider you a target unless you are the last alive</t>
  </si>
  <si>
    <t>Your attacks that inflict a wound have the crit option&lt;br&gt;&lt;b&gt;Absorb:&lt;/b&gt; Heal a wound of the same stat you wounded.</t>
  </si>
  <si>
    <t>You have +1 range on all melee attacks and terrain interactions.</t>
  </si>
  <si>
    <t>Reduce damage taken by 3 until the start of your next turn.</t>
  </si>
  <si>
    <t>&lt;b&gt;&lt;i&gt;Modal&lt;/b&gt;&lt;/i&gt;</t>
  </si>
  <si>
    <t>For every status effect you are afflicted with, reduce damage taken from all sources by 1.</t>
  </si>
  <si>
    <t>If you take a wound during combat, you &lt;b&gt;die.&lt;/b&gt;</t>
  </si>
  <si>
    <t>&lt;span style="color:#3366cc"&gt;&lt;strong&gt;Weird&lt;/strong&gt;&lt;/span&gt;</t>
  </si>
  <si>
    <t>&lt;span style="color:#e74c3c"&gt;&lt;strong&gt;Flesh&lt;/strong&gt;&lt;/span&gt;</t>
  </si>
  <si>
    <t>&lt;i&gt;&lt;b&gt;Easy as walking&lt;/i&gt;&lt;/b&gt;
Climbing does not cost you jazzT.</t>
  </si>
  <si>
    <t>&lt;span style="color:#27ae60"&gt;&lt;strong&gt;Jazz&lt;/strong&gt;&lt;/span&gt;</t>
  </si>
  <si>
    <t>Your composure is equal to &lt;b&gt;twice&lt;/b&gt; your &lt;span style="color:#3366cc"&gt;&lt;strong&gt;Weird&lt;/strong&gt;&lt;/span&gt;.</t>
  </si>
  <si>
    <t>At the start of your turn, put a counter on an empty mode then use that effect</t>
  </si>
  <si>
    <t>&lt;b&gt;Billowing Dark:&lt;/b&gt; 1 AP + weirdT&lt;br&gt;Create a 3 hex area of darkness Hex1b&lt;br&gt;This blocks line of sight. Melee attacks against beings inside darkness will only hit on a 7 or higher and miss otherwise, they only crit on a 12.</t>
  </si>
  <si>
    <t>Your move speed is increased by 2.</t>
  </si>
  <si>
    <t>&lt;i&gt;&lt;b&gt;Very Fast&lt;/i&gt;&lt;/b&gt;</t>
  </si>
  <si>
    <t>Give an Ally 1 AP</t>
  </si>
  <si>
    <t>&lt;b&gt;Coerce: &lt;/b&gt;1 AP or WeirdT</t>
  </si>
  <si>
    <t>Whenever you spend a weirdT, for your next move that turn you may pass through solid objects freely and ignore terrain penalties. You may not stop inside terrain.</t>
  </si>
  <si>
    <t>&lt;i&gt;&lt;b&gt;Ghostly&lt;/i&gt;&lt;/b&gt;</t>
  </si>
  <si>
    <t>&lt;i&gt;&lt;b&gt;Wretched&lt;/i&gt;&lt;/b&gt;</t>
  </si>
  <si>
    <t>Prevent all damage from an attack that would kill you.</t>
  </si>
  <si>
    <t>You may clear a status effect (except exhausted) to refresh a token of your choice</t>
  </si>
  <si>
    <t>Your melee and reach attacks have the crit option:
&lt;br&gt;&lt;b&gt;Hurl: &lt;/b&gt;Throw the victim in a straight line tiles equal to your &lt;span style="color:#e74c3c"&gt;&lt;strong&gt;Flesh&lt;/strong&gt;&lt;/span&gt;. If they hit terrain or another being, both take 3 damage.</t>
  </si>
  <si>
    <t>Reduce damage taken from all sources by 1 and your move speed is reduced by 1.</t>
  </si>
  <si>
    <t>Increase damage taken from all sources by 2 and your move speed is reduced by 1.</t>
  </si>
  <si>
    <t xml:space="preserve"> Your move speed is increased by 1</t>
  </si>
  <si>
    <t>Terrain interactions cost 1 less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</si>
</sst>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8"/>
      <name val="Aptos Narrow"/>
      <family val="2"/>
      <charset val="1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0"/>
        <bgColor rgb="FF969696"/>
      </patternFill>
    </fill>
    <fill>
      <patternFill patternType="solid">
        <fgColor rgb="FFEEEEEE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 readingOrder="1"/>
    </xf>
    <xf numFmtId="0" fontId="0" fillId="0" borderId="2" xfId="0" applyBorder="1" applyAlignment="1">
      <alignment horizontal="left" wrapText="1" readingOrder="1"/>
    </xf>
    <xf numFmtId="0" fontId="0" fillId="4" borderId="1" xfId="0" applyFill="1" applyBorder="1" applyAlignment="1">
      <alignment horizontal="left" vertical="top" wrapText="1" readingOrder="1"/>
    </xf>
    <xf numFmtId="0" fontId="0" fillId="0" borderId="1" xfId="0" applyBorder="1" applyAlignment="1">
      <alignment horizontal="left" vertical="top" wrapText="1" readingOrder="1"/>
    </xf>
    <xf numFmtId="0" fontId="0" fillId="4" borderId="0" xfId="0" applyFill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 wrapText="1" readingOrder="1"/>
    </xf>
    <xf numFmtId="0" fontId="0" fillId="5" borderId="1" xfId="0" applyFill="1" applyBorder="1" applyAlignment="1">
      <alignment horizontal="left" vertical="top" wrapText="1" readingOrder="1"/>
    </xf>
    <xf numFmtId="0" fontId="0" fillId="6" borderId="0" xfId="0" applyFill="1" applyAlignment="1">
      <alignment horizontal="left" vertical="top" wrapText="1" readingOrder="1"/>
    </xf>
    <xf numFmtId="0" fontId="0" fillId="7" borderId="0" xfId="0" applyFill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0" xfId="0" applyFill="1" applyAlignment="1">
      <alignment horizontal="left" vertical="top" wrapText="1" readingOrder="1"/>
    </xf>
    <xf numFmtId="0" fontId="0" fillId="0" borderId="0" xfId="0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45">
    <dxf>
      <alignment horizontal="left" vertical="top" textRotation="0" wrapText="1" indent="0" justifyLastLine="0" shrinkToFit="0"/>
    </dxf>
    <dxf>
      <numFmt numFmtId="0" formatCode="General"/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</dxf>
    <dxf>
      <alignment horizontal="left" vertical="top" textRotation="0" wrapText="1" indent="0" justifyLastLine="0" shrinkToFit="0"/>
    </dxf>
    <dxf>
      <numFmt numFmtId="0" formatCode="General"/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</dxf>
    <dxf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top" textRotation="0" wrapText="1" indent="0" justifyLastLine="0" shrinkToFit="0"/>
    </dxf>
    <dxf>
      <alignment horizontal="left" vertical="top" textRotation="0" wrapText="1" indent="0" justifyLastLine="0" shrinkToFit="0"/>
    </dxf>
    <dxf>
      <alignment horizontal="left" vertical="top" textRotation="0" wrapText="1" indent="0" justifyLastLine="0" shrinkToFit="0"/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AC198" totalsRowShown="0" dataDxfId="0">
  <autoFilter ref="A1:AC198" xr:uid="{00000000-0009-0000-0100-000001000000}"/>
  <sortState xmlns:xlrd2="http://schemas.microsoft.com/office/spreadsheetml/2017/richdata2" ref="A2:AC198">
    <sortCondition ref="B1:B198"/>
  </sortState>
  <tableColumns count="29">
    <tableColumn id="1" xr3:uid="{00000000-0010-0000-0000-000001000000}" name="Name" dataDxfId="29"/>
    <tableColumn id="2" xr3:uid="{00000000-0010-0000-0000-000002000000}" name="Type" dataDxfId="28"/>
    <tableColumn id="4" xr3:uid="{00000000-0010-0000-0000-000004000000}" name="Charges" dataDxfId="27"/>
    <tableColumn id="20" xr3:uid="{CB9824E5-A740-4FE3-BCEB-C9A8B9A20A6F}" name="Effect 1 Y" dataDxfId="26"/>
    <tableColumn id="12" xr3:uid="{61FB1168-E521-4999-B9B1-B541D01EF8B8}" name="Effect 1 Type" dataDxfId="25"/>
    <tableColumn id="11" xr3:uid="{728899FC-C50B-4AB0-8157-B2961DC174E5}" name="Effect 1 Title" dataDxfId="24"/>
    <tableColumn id="5" xr3:uid="{00000000-0010-0000-0000-000005000000}" name="Effect 1" dataDxfId="23"/>
    <tableColumn id="3" xr3:uid="{B518B047-3B8D-4F7F-BF57-46653BA3E90A}" name="Effect 2 Y" dataDxfId="22">
      <calculatedColumnFormula>#REF!+0.6</calculatedColumnFormula>
    </tableColumn>
    <tableColumn id="6" xr3:uid="{00000000-0010-0000-0000-000006000000}" name="Effect 2 Type" dataDxfId="21"/>
    <tableColumn id="7" xr3:uid="{00000000-0010-0000-0000-000007000000}" name="Effect 2 Title" dataDxfId="20"/>
    <tableColumn id="14" xr3:uid="{754357A5-E406-4611-AB3C-20AC5A964569}" name="Effect 2" dataDxfId="19"/>
    <tableColumn id="9" xr3:uid="{19A9845D-F5E0-412D-B3D3-D2AA98F22015}" name="Effect 3 Y" dataDxfId="18">
      <calculatedColumnFormula>#REF!+Table3[[#This Row],[Effect 2 Y]]</calculatedColumnFormula>
    </tableColumn>
    <tableColumn id="13" xr3:uid="{5E84F09A-22B8-4562-A869-32D13202A8AC}" name="Effect 3 Type" dataDxfId="17"/>
    <tableColumn id="10" xr3:uid="{AA634BBF-CBD7-410B-ACFF-6BAAF336A1A5}" name="Effect 3 Title" dataDxfId="16"/>
    <tableColumn id="16" xr3:uid="{E5181A74-E9DC-4FA4-9CCF-432070B5D74B}" name="Effect 3" dataDxfId="15"/>
    <tableColumn id="8" xr3:uid="{2301A507-B4CC-49E9-AA0E-F02F7BD173E1}" name="Ypos" dataDxfId="14"/>
    <tableColumn id="15" xr3:uid="{E3A6F2A9-C4EB-4B5C-840B-71065D1C710B}" name="Linewidth" dataDxfId="13"/>
    <tableColumn id="17" xr3:uid="{0F072005-E263-48D5-BD19-43687FB9AFC2}" name="Ability Offset" dataDxfId="12"/>
    <tableColumn id="19" xr3:uid="{AA9B8FDF-203B-4F09-987C-BF9C70CE1C9F}" name="Border Offset" dataDxfId="11"/>
    <tableColumn id="21" xr3:uid="{E9808F47-9124-48BD-9338-0B3B2C37778D}" name="Title Offset" dataDxfId="10"/>
    <tableColumn id="26" xr3:uid="{ABB25E88-814C-43E2-A221-63BDD7999E71}" name="E1TY" dataDxfId="9">
      <calculatedColumnFormula>Table3[[#This Row],[E1Y]]+T$2</calculatedColumnFormula>
    </tableColumn>
    <tableColumn id="25" xr3:uid="{A2998808-EB82-42E2-BE17-5858A6BB7BBC}" name="E1BY" dataDxfId="8">
      <calculatedColumnFormula>Table3[[#This Row],[E1TY]]+S$2</calculatedColumnFormula>
    </tableColumn>
    <tableColumn id="24" xr3:uid="{BB9BA851-7E24-47AB-944C-68B78FFF12C5}" name="E1Y" dataDxfId="7">
      <calculatedColumnFormula>P$2+Q$2*(Table3[[#This Row],[Effect 1 Y]]-1)</calculatedColumnFormula>
    </tableColumn>
    <tableColumn id="31" xr3:uid="{759B7CF3-A7ED-4E33-9797-2863FC36319A}" name="E2TY" dataDxfId="6">
      <calculatedColumnFormula>Table3[[#This Row],[E2Y]]+T$2</calculatedColumnFormula>
    </tableColumn>
    <tableColumn id="30" xr3:uid="{F8FEDFEC-0D17-4A94-80DF-078563DFCFD4}" name="E2BY" dataDxfId="5">
      <calculatedColumnFormula>Table3[[#This Row],[E2TY]]+S$2</calculatedColumnFormula>
    </tableColumn>
    <tableColumn id="29" xr3:uid="{6E54FF94-FCB4-4293-BCFE-535CDEAC1B5E}" name="E2Y" dataDxfId="4">
      <calculatedColumnFormula>P$2+Q$2*(Table3[[#This Row],[Effect 2 Y]]-1)+R$2</calculatedColumnFormula>
    </tableColumn>
    <tableColumn id="28" xr3:uid="{77ECECFD-32BE-4763-8AB7-1E3FC5CE4019}" name="E3TY" dataDxfId="3">
      <calculatedColumnFormula>Table3[[#This Row],[E3Y]]+T$2</calculatedColumnFormula>
    </tableColumn>
    <tableColumn id="27" xr3:uid="{140B097E-9EEB-471A-900F-3BBD696BA528}" name="E3BY" dataDxfId="2">
      <calculatedColumnFormula>Table3[[#This Row],[E3TY]]+S$2</calculatedColumnFormula>
    </tableColumn>
    <tableColumn id="18" xr3:uid="{2A07D97B-1E57-417D-A0CA-568147DB1F72}" name="E3Y" dataDxfId="1">
      <calculatedColumnFormula>P$2+Q$2*(Table3[[#This Row],[Effect 3 Y]]-1)+2*R$2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"/>
  <sheetViews>
    <sheetView tabSelected="1" topLeftCell="A5" zoomScale="85" zoomScaleNormal="85" workbookViewId="0">
      <selection activeCell="H9" sqref="H9"/>
    </sheetView>
  </sheetViews>
  <sheetFormatPr defaultColWidth="8.5703125" defaultRowHeight="15" x14ac:dyDescent="0.25"/>
  <cols>
    <col min="1" max="1" width="11" customWidth="1"/>
    <col min="2" max="2" width="8.28515625" customWidth="1"/>
    <col min="3" max="3" width="5.28515625" customWidth="1"/>
    <col min="4" max="4" width="4.28515625" customWidth="1"/>
    <col min="5" max="5" width="8.28515625" customWidth="1"/>
    <col min="6" max="6" width="33" customWidth="1"/>
    <col min="7" max="7" width="42.42578125" customWidth="1"/>
    <col min="8" max="8" width="6.85546875" customWidth="1"/>
    <col min="9" max="9" width="14.85546875" customWidth="1"/>
    <col min="10" max="10" width="31.7109375" customWidth="1"/>
    <col min="11" max="11" width="37.85546875" customWidth="1"/>
    <col min="12" max="12" width="6.5703125" customWidth="1"/>
    <col min="13" max="13" width="8.42578125" customWidth="1"/>
    <col min="14" max="14" width="25.5703125" customWidth="1"/>
    <col min="15" max="15" width="35.140625" customWidth="1"/>
    <col min="16" max="16" width="10" customWidth="1"/>
    <col min="17" max="17" width="38" customWidth="1"/>
    <col min="20" max="27" width="10.5703125" customWidth="1"/>
    <col min="28" max="28" width="8.5703125" customWidth="1"/>
  </cols>
  <sheetData>
    <row r="1" spans="1:29" ht="35.25" customHeight="1" x14ac:dyDescent="0.25">
      <c r="A1" s="1" t="s">
        <v>0</v>
      </c>
      <c r="B1" s="2" t="s">
        <v>1</v>
      </c>
      <c r="C1" s="1" t="s">
        <v>17</v>
      </c>
      <c r="D1" s="1" t="s">
        <v>20</v>
      </c>
      <c r="E1" s="1" t="s">
        <v>8</v>
      </c>
      <c r="F1" s="1" t="s">
        <v>7</v>
      </c>
      <c r="G1" s="1" t="s">
        <v>2</v>
      </c>
      <c r="H1" s="3" t="s">
        <v>18</v>
      </c>
      <c r="I1" s="1" t="s">
        <v>12</v>
      </c>
      <c r="J1" s="1" t="s">
        <v>13</v>
      </c>
      <c r="K1" s="1" t="s">
        <v>3</v>
      </c>
      <c r="L1" s="1" t="s">
        <v>19</v>
      </c>
      <c r="M1" s="1" t="s">
        <v>14</v>
      </c>
      <c r="N1" s="1" t="s">
        <v>15</v>
      </c>
      <c r="O1" s="1" t="s">
        <v>4</v>
      </c>
      <c r="P1" s="4" t="s">
        <v>21</v>
      </c>
      <c r="Q1" s="4" t="s">
        <v>48</v>
      </c>
      <c r="R1" s="5" t="s">
        <v>31</v>
      </c>
      <c r="S1" s="5" t="s">
        <v>32</v>
      </c>
      <c r="T1" s="5" t="s">
        <v>33</v>
      </c>
      <c r="U1" t="s">
        <v>23</v>
      </c>
      <c r="V1" t="s">
        <v>22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ht="45" x14ac:dyDescent="0.25">
      <c r="A2" s="6" t="s">
        <v>288</v>
      </c>
      <c r="B2" s="7" t="s">
        <v>47</v>
      </c>
      <c r="C2" s="7"/>
      <c r="D2" s="7">
        <v>1</v>
      </c>
      <c r="E2" s="17" t="s">
        <v>36</v>
      </c>
      <c r="F2" s="17" t="s">
        <v>326</v>
      </c>
      <c r="G2" s="17" t="s">
        <v>325</v>
      </c>
      <c r="H2" s="7">
        <v>4</v>
      </c>
      <c r="I2" s="17" t="s">
        <v>36</v>
      </c>
      <c r="J2" s="17" t="s">
        <v>327</v>
      </c>
      <c r="K2" s="7" t="s">
        <v>333</v>
      </c>
      <c r="L2" s="7"/>
      <c r="M2" s="17"/>
      <c r="N2" s="17"/>
      <c r="O2" s="7"/>
      <c r="P2" s="7">
        <v>2.96</v>
      </c>
      <c r="Q2" s="7">
        <v>0.49</v>
      </c>
      <c r="R2" s="7">
        <v>0.2</v>
      </c>
      <c r="S2" s="7">
        <v>-0.12</v>
      </c>
      <c r="T2" s="7">
        <v>-0.6</v>
      </c>
      <c r="U2" s="11">
        <f>Table3[[#This Row],[E1Y]]+T$2</f>
        <v>2.36</v>
      </c>
      <c r="V2" s="11">
        <f>Table3[[#This Row],[E1TY]]+S$2</f>
        <v>2.2399999999999998</v>
      </c>
      <c r="W2" s="11">
        <f>P$2+Q$2*(Table3[[#This Row],[Effect 1 Y]]-1)</f>
        <v>2.96</v>
      </c>
      <c r="X2" s="11">
        <f>Table3[[#This Row],[E2Y]]+T$2</f>
        <v>4.03</v>
      </c>
      <c r="Y2" s="11">
        <f>Table3[[#This Row],[E2TY]]+S$2</f>
        <v>3.91</v>
      </c>
      <c r="Z2" s="11">
        <f>P$2+Q$2*(Table3[[#This Row],[Effect 2 Y]]-1)+R$2</f>
        <v>4.63</v>
      </c>
      <c r="AA2" s="11">
        <f>Table3[[#This Row],[E3Y]]+T$2</f>
        <v>2.2699999999999996</v>
      </c>
      <c r="AB2" s="11">
        <f>Table3[[#This Row],[E3TY]]+S$2</f>
        <v>2.1499999999999995</v>
      </c>
      <c r="AC2" s="20">
        <f>P$2+Q$2*(Table3[[#This Row],[Effect 3 Y]]-1)+2*R$2</f>
        <v>2.8699999999999997</v>
      </c>
    </row>
    <row r="3" spans="1:29" ht="45" x14ac:dyDescent="0.25">
      <c r="A3" s="6" t="s">
        <v>289</v>
      </c>
      <c r="B3" s="7" t="s">
        <v>47</v>
      </c>
      <c r="C3" s="7"/>
      <c r="D3" s="7">
        <v>1</v>
      </c>
      <c r="E3" s="17" t="s">
        <v>36</v>
      </c>
      <c r="F3" s="17" t="s">
        <v>327</v>
      </c>
      <c r="G3" s="17" t="s">
        <v>331</v>
      </c>
      <c r="H3" s="7">
        <v>5</v>
      </c>
      <c r="I3" s="17" t="s">
        <v>36</v>
      </c>
      <c r="J3" s="17" t="s">
        <v>329</v>
      </c>
      <c r="K3" s="7" t="s">
        <v>328</v>
      </c>
      <c r="L3" s="7">
        <v>9</v>
      </c>
      <c r="M3" s="16" t="s">
        <v>36</v>
      </c>
      <c r="N3" s="17" t="s">
        <v>330</v>
      </c>
      <c r="O3" s="7" t="s">
        <v>332</v>
      </c>
      <c r="P3" s="7"/>
      <c r="Q3" s="7"/>
      <c r="R3" s="7"/>
      <c r="S3" s="7"/>
      <c r="T3" s="7"/>
      <c r="U3" s="11">
        <f>Table3[[#This Row],[E1Y]]+T$2</f>
        <v>2.36</v>
      </c>
      <c r="V3" s="11">
        <f>Table3[[#This Row],[E1TY]]+S$2</f>
        <v>2.2399999999999998</v>
      </c>
      <c r="W3" s="11">
        <f>P$2+Q$2*(Table3[[#This Row],[Effect 1 Y]]-1)</f>
        <v>2.96</v>
      </c>
      <c r="X3" s="11">
        <f>Table3[[#This Row],[E2Y]]+T$2</f>
        <v>4.5200000000000005</v>
      </c>
      <c r="Y3" s="11">
        <f>Table3[[#This Row],[E2TY]]+S$2</f>
        <v>4.4000000000000004</v>
      </c>
      <c r="Z3" s="11">
        <f>P$2+Q$2*(Table3[[#This Row],[Effect 2 Y]]-1)+R$2</f>
        <v>5.12</v>
      </c>
      <c r="AA3" s="11">
        <f>Table3[[#This Row],[E3Y]]+T$2</f>
        <v>6.6800000000000006</v>
      </c>
      <c r="AB3" s="11">
        <f>Table3[[#This Row],[E3TY]]+S$2</f>
        <v>6.5600000000000005</v>
      </c>
      <c r="AC3" s="20">
        <f>P$2+Q$2*(Table3[[#This Row],[Effect 3 Y]]-1)+2*R$2</f>
        <v>7.28</v>
      </c>
    </row>
    <row r="4" spans="1:29" ht="90" x14ac:dyDescent="0.25">
      <c r="A4" s="6" t="s">
        <v>290</v>
      </c>
      <c r="B4" s="7" t="s">
        <v>47</v>
      </c>
      <c r="C4" s="7" t="s">
        <v>315</v>
      </c>
      <c r="D4" s="7">
        <v>1</v>
      </c>
      <c r="E4" s="17" t="s">
        <v>36</v>
      </c>
      <c r="F4" s="17" t="s">
        <v>335</v>
      </c>
      <c r="G4" s="17" t="s">
        <v>334</v>
      </c>
      <c r="H4" s="7">
        <v>3</v>
      </c>
      <c r="I4" s="17" t="s">
        <v>11</v>
      </c>
      <c r="J4" s="17" t="s">
        <v>336</v>
      </c>
      <c r="K4" s="7" t="s">
        <v>337</v>
      </c>
      <c r="L4" s="7"/>
      <c r="M4" s="17"/>
      <c r="N4" s="17"/>
      <c r="O4" s="7"/>
      <c r="P4" s="7"/>
      <c r="Q4" s="12" t="s">
        <v>444</v>
      </c>
      <c r="R4" s="7"/>
      <c r="S4" s="7"/>
      <c r="T4" s="7"/>
      <c r="U4" s="11">
        <f>Table3[[#This Row],[E1Y]]+T$2</f>
        <v>2.36</v>
      </c>
      <c r="V4" s="11">
        <f>Table3[[#This Row],[E1TY]]+S$2</f>
        <v>2.2399999999999998</v>
      </c>
      <c r="W4" s="11">
        <f>P$2+Q$2*(Table3[[#This Row],[Effect 1 Y]]-1)</f>
        <v>2.96</v>
      </c>
      <c r="X4" s="11">
        <f>Table3[[#This Row],[E2Y]]+T$2</f>
        <v>3.5399999999999996</v>
      </c>
      <c r="Y4" s="11">
        <f>Table3[[#This Row],[E2TY]]+S$2</f>
        <v>3.4199999999999995</v>
      </c>
      <c r="Z4" s="11">
        <f>P$2+Q$2*(Table3[[#This Row],[Effect 2 Y]]-1)+R$2</f>
        <v>4.1399999999999997</v>
      </c>
      <c r="AA4" s="11">
        <f>Table3[[#This Row],[E3Y]]+T$2</f>
        <v>2.2699999999999996</v>
      </c>
      <c r="AB4" s="11">
        <f>Table3[[#This Row],[E3TY]]+S$2</f>
        <v>2.1499999999999995</v>
      </c>
      <c r="AC4" s="20">
        <f>P$2+Q$2*(Table3[[#This Row],[Effect 3 Y]]-1)+2*R$2</f>
        <v>2.8699999999999997</v>
      </c>
    </row>
    <row r="5" spans="1:29" ht="75" x14ac:dyDescent="0.25">
      <c r="A5" s="6" t="s">
        <v>291</v>
      </c>
      <c r="B5" s="7" t="s">
        <v>47</v>
      </c>
      <c r="C5" s="7" t="s">
        <v>314</v>
      </c>
      <c r="D5" s="7">
        <v>1</v>
      </c>
      <c r="E5" s="17" t="s">
        <v>11</v>
      </c>
      <c r="F5" s="17" t="s">
        <v>338</v>
      </c>
      <c r="G5" s="17" t="s">
        <v>363</v>
      </c>
      <c r="H5" s="7">
        <v>6</v>
      </c>
      <c r="I5" s="16" t="s">
        <v>36</v>
      </c>
      <c r="J5" s="16" t="s">
        <v>340</v>
      </c>
      <c r="K5" s="7" t="s">
        <v>339</v>
      </c>
      <c r="L5" s="7"/>
      <c r="M5" s="17"/>
      <c r="N5" s="17"/>
      <c r="O5" s="7"/>
      <c r="P5" s="9"/>
      <c r="Q5" s="13" t="s">
        <v>443</v>
      </c>
      <c r="R5" s="7"/>
      <c r="S5" s="7"/>
      <c r="T5" s="7"/>
      <c r="U5" s="11">
        <f>Table3[[#This Row],[E1Y]]+T$2</f>
        <v>2.36</v>
      </c>
      <c r="V5" s="11">
        <f>Table3[[#This Row],[E1TY]]+S$2</f>
        <v>2.2399999999999998</v>
      </c>
      <c r="W5" s="11">
        <f>P$2+Q$2*(Table3[[#This Row],[Effect 1 Y]]-1)</f>
        <v>2.96</v>
      </c>
      <c r="X5" s="11">
        <f>Table3[[#This Row],[E2Y]]+T$2</f>
        <v>5.0100000000000007</v>
      </c>
      <c r="Y5" s="11">
        <f>Table3[[#This Row],[E2TY]]+S$2</f>
        <v>4.8900000000000006</v>
      </c>
      <c r="Z5" s="11">
        <f>P$2+Q$2*(Table3[[#This Row],[Effect 2 Y]]-1)+R$2</f>
        <v>5.61</v>
      </c>
      <c r="AA5" s="11">
        <f>Table3[[#This Row],[E3Y]]+T$2</f>
        <v>2.2699999999999996</v>
      </c>
      <c r="AB5" s="11">
        <f>Table3[[#This Row],[E3TY]]+S$2</f>
        <v>2.1499999999999995</v>
      </c>
      <c r="AC5" s="20">
        <f>P$2+Q$2*(Table3[[#This Row],[Effect 3 Y]]-1)+2*R$2</f>
        <v>2.8699999999999997</v>
      </c>
    </row>
    <row r="6" spans="1:29" ht="60" x14ac:dyDescent="0.25">
      <c r="A6" s="6" t="s">
        <v>292</v>
      </c>
      <c r="B6" s="7" t="s">
        <v>47</v>
      </c>
      <c r="C6" s="7"/>
      <c r="D6" s="7">
        <v>1</v>
      </c>
      <c r="E6" s="17" t="s">
        <v>36</v>
      </c>
      <c r="F6" s="17" t="s">
        <v>341</v>
      </c>
      <c r="G6" s="17" t="s">
        <v>342</v>
      </c>
      <c r="H6" s="7"/>
      <c r="I6" s="17"/>
      <c r="J6" s="17"/>
      <c r="K6" s="7"/>
      <c r="L6" s="7"/>
      <c r="M6" s="17"/>
      <c r="N6" s="17"/>
      <c r="O6" s="7"/>
      <c r="P6" s="9"/>
      <c r="Q6" s="14" t="s">
        <v>446</v>
      </c>
      <c r="R6" s="7"/>
      <c r="S6" s="7"/>
      <c r="T6" s="7"/>
      <c r="U6" s="11">
        <f>Table3[[#This Row],[E1Y]]+T$2</f>
        <v>2.36</v>
      </c>
      <c r="V6" s="11">
        <f>Table3[[#This Row],[E1TY]]+S$2</f>
        <v>2.2399999999999998</v>
      </c>
      <c r="W6" s="11">
        <f>P$2+Q$2*(Table3[[#This Row],[Effect 1 Y]]-1)</f>
        <v>2.96</v>
      </c>
      <c r="X6" s="11">
        <f>Table3[[#This Row],[E2Y]]+T$2</f>
        <v>2.0699999999999998</v>
      </c>
      <c r="Y6" s="11">
        <f>Table3[[#This Row],[E2TY]]+S$2</f>
        <v>1.9499999999999997</v>
      </c>
      <c r="Z6" s="11">
        <f>P$2+Q$2*(Table3[[#This Row],[Effect 2 Y]]-1)+R$2</f>
        <v>2.67</v>
      </c>
      <c r="AA6" s="11">
        <f>Table3[[#This Row],[E3Y]]+T$2</f>
        <v>2.2699999999999996</v>
      </c>
      <c r="AB6" s="11">
        <f>Table3[[#This Row],[E3TY]]+S$2</f>
        <v>2.1499999999999995</v>
      </c>
      <c r="AC6" s="20">
        <f>P$2+Q$2*(Table3[[#This Row],[Effect 3 Y]]-1)+2*R$2</f>
        <v>2.8699999999999997</v>
      </c>
    </row>
    <row r="7" spans="1:29" ht="75" x14ac:dyDescent="0.25">
      <c r="A7" s="8" t="s">
        <v>293</v>
      </c>
      <c r="B7" s="7" t="s">
        <v>47</v>
      </c>
      <c r="C7" s="7"/>
      <c r="D7" s="7">
        <v>1</v>
      </c>
      <c r="E7" s="17" t="s">
        <v>36</v>
      </c>
      <c r="F7" s="17" t="s">
        <v>343</v>
      </c>
      <c r="G7" s="21" t="s">
        <v>346</v>
      </c>
      <c r="H7" s="7">
        <v>6</v>
      </c>
      <c r="I7" s="17" t="s">
        <v>11</v>
      </c>
      <c r="J7" s="17" t="s">
        <v>344</v>
      </c>
      <c r="K7" s="9" t="s">
        <v>345</v>
      </c>
      <c r="L7" s="7"/>
      <c r="M7" s="17"/>
      <c r="N7" s="17"/>
      <c r="O7" s="7"/>
      <c r="P7" s="7"/>
      <c r="Q7" s="7"/>
      <c r="R7" s="7"/>
      <c r="S7" s="7"/>
      <c r="T7" s="7"/>
      <c r="U7" s="11">
        <f>Table3[[#This Row],[E1Y]]+T$2</f>
        <v>2.36</v>
      </c>
      <c r="V7" s="11">
        <f>Table3[[#This Row],[E1TY]]+S$2</f>
        <v>2.2399999999999998</v>
      </c>
      <c r="W7" s="11">
        <f>P$2+Q$2*(Table3[[#This Row],[Effect 1 Y]]-1)</f>
        <v>2.96</v>
      </c>
      <c r="X7" s="11">
        <f>Table3[[#This Row],[E2Y]]+T$2</f>
        <v>5.0100000000000007</v>
      </c>
      <c r="Y7" s="11">
        <f>Table3[[#This Row],[E2TY]]+S$2</f>
        <v>4.8900000000000006</v>
      </c>
      <c r="Z7" s="11">
        <f>P$2+Q$2*(Table3[[#This Row],[Effect 2 Y]]-1)+R$2</f>
        <v>5.61</v>
      </c>
      <c r="AA7" s="11">
        <f>Table3[[#This Row],[E3Y]]+T$2</f>
        <v>2.2699999999999996</v>
      </c>
      <c r="AB7" s="11">
        <f>Table3[[#This Row],[E3TY]]+S$2</f>
        <v>2.1499999999999995</v>
      </c>
      <c r="AC7" s="20">
        <f>P$2+Q$2*(Table3[[#This Row],[Effect 3 Y]]-1)+2*R$2</f>
        <v>2.8699999999999997</v>
      </c>
    </row>
    <row r="8" spans="1:29" ht="45" x14ac:dyDescent="0.25">
      <c r="A8" s="6" t="s">
        <v>294</v>
      </c>
      <c r="B8" s="7" t="s">
        <v>47</v>
      </c>
      <c r="C8" s="7"/>
      <c r="D8" s="7">
        <v>1</v>
      </c>
      <c r="E8" s="17" t="s">
        <v>36</v>
      </c>
      <c r="F8" s="17" t="s">
        <v>350</v>
      </c>
      <c r="G8" s="17" t="s">
        <v>461</v>
      </c>
      <c r="H8" s="7">
        <v>5</v>
      </c>
      <c r="I8" s="17" t="s">
        <v>36</v>
      </c>
      <c r="J8" s="17" t="s">
        <v>358</v>
      </c>
      <c r="K8" s="7" t="s">
        <v>441</v>
      </c>
      <c r="L8" s="7">
        <v>9</v>
      </c>
      <c r="M8" s="16" t="s">
        <v>36</v>
      </c>
      <c r="N8" s="17" t="s">
        <v>456</v>
      </c>
      <c r="O8" s="7" t="s">
        <v>458</v>
      </c>
      <c r="P8" s="7"/>
      <c r="Q8" s="7"/>
      <c r="R8" s="7"/>
      <c r="S8" s="7"/>
      <c r="T8" s="7"/>
      <c r="U8" s="11">
        <f>Table3[[#This Row],[E1Y]]+T$2</f>
        <v>2.36</v>
      </c>
      <c r="V8" s="11">
        <f>Table3[[#This Row],[E1TY]]+S$2</f>
        <v>2.2399999999999998</v>
      </c>
      <c r="W8" s="11">
        <f>P$2+Q$2*(Table3[[#This Row],[Effect 1 Y]]-1)</f>
        <v>2.96</v>
      </c>
      <c r="X8" s="11">
        <f>Table3[[#This Row],[E2Y]]+T$2</f>
        <v>4.5200000000000005</v>
      </c>
      <c r="Y8" s="11">
        <f>Table3[[#This Row],[E2TY]]+S$2</f>
        <v>4.4000000000000004</v>
      </c>
      <c r="Z8" s="11">
        <f>P$2+Q$2*(Table3[[#This Row],[Effect 2 Y]]-1)+R$2</f>
        <v>5.12</v>
      </c>
      <c r="AA8" s="11">
        <f>Table3[[#This Row],[E3Y]]+T$2</f>
        <v>6.6800000000000006</v>
      </c>
      <c r="AB8" s="11">
        <f>Table3[[#This Row],[E3TY]]+S$2</f>
        <v>6.5600000000000005</v>
      </c>
      <c r="AC8" s="20">
        <f>P$2+Q$2*(Table3[[#This Row],[Effect 3 Y]]-1)+2*R$2</f>
        <v>7.28</v>
      </c>
    </row>
    <row r="9" spans="1:29" ht="60" x14ac:dyDescent="0.25">
      <c r="A9" s="6" t="s">
        <v>295</v>
      </c>
      <c r="B9" s="7" t="s">
        <v>47</v>
      </c>
      <c r="C9" s="7"/>
      <c r="D9" s="7">
        <v>1</v>
      </c>
      <c r="E9" s="17" t="s">
        <v>36</v>
      </c>
      <c r="F9" s="17" t="s">
        <v>351</v>
      </c>
      <c r="G9" s="21" t="s">
        <v>447</v>
      </c>
      <c r="H9" s="7">
        <v>4</v>
      </c>
      <c r="I9" s="17" t="s">
        <v>36</v>
      </c>
      <c r="J9" s="17" t="s">
        <v>359</v>
      </c>
      <c r="K9" s="7" t="s">
        <v>442</v>
      </c>
      <c r="L9" s="7"/>
      <c r="M9" s="17"/>
      <c r="N9" s="17"/>
      <c r="O9" s="7"/>
      <c r="P9" s="7"/>
      <c r="Q9" s="7"/>
      <c r="R9" s="7"/>
      <c r="S9" s="7"/>
      <c r="T9" s="7"/>
      <c r="U9" s="11">
        <f>Table3[[#This Row],[E1Y]]+T$2</f>
        <v>2.36</v>
      </c>
      <c r="V9" s="11">
        <f>Table3[[#This Row],[E1TY]]+S$2</f>
        <v>2.2399999999999998</v>
      </c>
      <c r="W9" s="11">
        <f>P$2+Q$2*(Table3[[#This Row],[Effect 1 Y]]-1)</f>
        <v>2.96</v>
      </c>
      <c r="X9" s="11">
        <f>Table3[[#This Row],[E2Y]]+T$2</f>
        <v>4.03</v>
      </c>
      <c r="Y9" s="11">
        <f>Table3[[#This Row],[E2TY]]+S$2</f>
        <v>3.91</v>
      </c>
      <c r="Z9" s="11">
        <f>P$2+Q$2*(Table3[[#This Row],[Effect 2 Y]]-1)+R$2</f>
        <v>4.63</v>
      </c>
      <c r="AA9" s="11">
        <f>Table3[[#This Row],[E3Y]]+T$2</f>
        <v>2.2699999999999996</v>
      </c>
      <c r="AB9" s="11">
        <f>Table3[[#This Row],[E3TY]]+S$2</f>
        <v>2.1499999999999995</v>
      </c>
      <c r="AC9" s="20">
        <f>P$2+Q$2*(Table3[[#This Row],[Effect 3 Y]]-1)+2*R$2</f>
        <v>2.8699999999999997</v>
      </c>
    </row>
    <row r="10" spans="1:29" ht="105" x14ac:dyDescent="0.25">
      <c r="A10" s="6" t="s">
        <v>296</v>
      </c>
      <c r="B10" s="7" t="s">
        <v>47</v>
      </c>
      <c r="C10" s="7" t="s">
        <v>316</v>
      </c>
      <c r="D10" s="7">
        <v>1</v>
      </c>
      <c r="E10" s="17" t="s">
        <v>36</v>
      </c>
      <c r="F10" s="17" t="s">
        <v>352</v>
      </c>
      <c r="G10" s="17" t="s">
        <v>460</v>
      </c>
      <c r="H10" s="7">
        <v>5</v>
      </c>
      <c r="I10" s="17" t="s">
        <v>36</v>
      </c>
      <c r="J10" s="17" t="s">
        <v>360</v>
      </c>
      <c r="K10" s="7" t="s">
        <v>459</v>
      </c>
      <c r="L10" s="7"/>
      <c r="M10" s="17"/>
      <c r="N10" s="17"/>
      <c r="O10" s="7"/>
      <c r="P10" s="7"/>
      <c r="Q10" s="7"/>
      <c r="R10" s="7"/>
      <c r="S10" s="7"/>
      <c r="T10" s="7"/>
      <c r="U10" s="11">
        <f>Table3[[#This Row],[E1Y]]+T$2</f>
        <v>2.36</v>
      </c>
      <c r="V10" s="11">
        <f>Table3[[#This Row],[E1TY]]+S$2</f>
        <v>2.2399999999999998</v>
      </c>
      <c r="W10" s="11">
        <f>P$2+Q$2*(Table3[[#This Row],[Effect 1 Y]]-1)</f>
        <v>2.96</v>
      </c>
      <c r="X10" s="11">
        <f>Table3[[#This Row],[E2Y]]+T$2</f>
        <v>4.5200000000000005</v>
      </c>
      <c r="Y10" s="11">
        <f>Table3[[#This Row],[E2TY]]+S$2</f>
        <v>4.4000000000000004</v>
      </c>
      <c r="Z10" s="11">
        <f>P$2+Q$2*(Table3[[#This Row],[Effect 2 Y]]-1)+R$2</f>
        <v>5.12</v>
      </c>
      <c r="AA10" s="11">
        <f>Table3[[#This Row],[E3Y]]+T$2</f>
        <v>2.2699999999999996</v>
      </c>
      <c r="AB10" s="11">
        <f>Table3[[#This Row],[E3TY]]+S$2</f>
        <v>2.1499999999999995</v>
      </c>
      <c r="AC10" s="20">
        <f>P$2+Q$2*(Table3[[#This Row],[Effect 3 Y]]-1)+2*R$2</f>
        <v>2.8699999999999997</v>
      </c>
    </row>
    <row r="11" spans="1:29" ht="75" x14ac:dyDescent="0.25">
      <c r="A11" s="6" t="s">
        <v>297</v>
      </c>
      <c r="B11" s="7" t="s">
        <v>47</v>
      </c>
      <c r="C11" s="7" t="s">
        <v>314</v>
      </c>
      <c r="D11" s="7">
        <v>1</v>
      </c>
      <c r="E11" s="17" t="s">
        <v>36</v>
      </c>
      <c r="F11" s="17" t="s">
        <v>354</v>
      </c>
      <c r="G11" s="17" t="s">
        <v>462</v>
      </c>
      <c r="H11" s="7">
        <v>4</v>
      </c>
      <c r="I11" s="17" t="s">
        <v>36</v>
      </c>
      <c r="J11" s="17" t="s">
        <v>361</v>
      </c>
      <c r="K11" s="10" t="s">
        <v>463</v>
      </c>
      <c r="L11" s="7">
        <v>7</v>
      </c>
      <c r="M11" s="17" t="s">
        <v>11</v>
      </c>
      <c r="N11" s="17" t="s">
        <v>362</v>
      </c>
      <c r="O11" s="10" t="s">
        <v>457</v>
      </c>
      <c r="P11" s="7"/>
      <c r="Q11" s="7"/>
      <c r="R11" s="7"/>
      <c r="S11" s="7"/>
      <c r="T11" s="7"/>
      <c r="U11" s="11">
        <f>Table3[[#This Row],[E1Y]]+T$2</f>
        <v>2.36</v>
      </c>
      <c r="V11" s="11">
        <f>Table3[[#This Row],[E1TY]]+S$2</f>
        <v>2.2399999999999998</v>
      </c>
      <c r="W11" s="11">
        <f>P$2+Q$2*(Table3[[#This Row],[Effect 1 Y]]-1)</f>
        <v>2.96</v>
      </c>
      <c r="X11" s="11">
        <f>Table3[[#This Row],[E2Y]]+T$2</f>
        <v>4.03</v>
      </c>
      <c r="Y11" s="11">
        <f>Table3[[#This Row],[E2TY]]+S$2</f>
        <v>3.91</v>
      </c>
      <c r="Z11" s="11">
        <f>P$2+Q$2*(Table3[[#This Row],[Effect 2 Y]]-1)+R$2</f>
        <v>4.63</v>
      </c>
      <c r="AA11" s="11">
        <f>Table3[[#This Row],[E3Y]]+T$2</f>
        <v>5.7000000000000011</v>
      </c>
      <c r="AB11" s="11">
        <f>Table3[[#This Row],[E3TY]]+S$2</f>
        <v>5.580000000000001</v>
      </c>
      <c r="AC11" s="20">
        <f>P$2+Q$2*(Table3[[#This Row],[Effect 3 Y]]-1)+2*R$2</f>
        <v>6.3000000000000007</v>
      </c>
    </row>
    <row r="12" spans="1:29" ht="60" x14ac:dyDescent="0.25">
      <c r="A12" s="6" t="s">
        <v>298</v>
      </c>
      <c r="B12" s="7" t="s">
        <v>47</v>
      </c>
      <c r="C12" s="7"/>
      <c r="D12" s="7">
        <v>1</v>
      </c>
      <c r="E12" s="17" t="s">
        <v>36</v>
      </c>
      <c r="F12" s="17" t="s">
        <v>355</v>
      </c>
      <c r="G12" s="17" t="s">
        <v>437</v>
      </c>
      <c r="H12" s="7"/>
      <c r="I12" s="17" t="s">
        <v>36</v>
      </c>
      <c r="J12" s="17"/>
      <c r="K12" s="7" t="s">
        <v>389</v>
      </c>
      <c r="L12" s="7"/>
      <c r="M12" s="17"/>
      <c r="N12" s="17"/>
      <c r="O12" s="7"/>
      <c r="P12" s="7"/>
      <c r="Q12" s="7"/>
      <c r="R12" s="7"/>
      <c r="S12" s="7"/>
      <c r="T12" s="7"/>
      <c r="U12" s="11">
        <f>Table3[[#This Row],[E1Y]]+T$2</f>
        <v>2.36</v>
      </c>
      <c r="V12" s="11">
        <f>Table3[[#This Row],[E1TY]]+S$2</f>
        <v>2.2399999999999998</v>
      </c>
      <c r="W12" s="11">
        <f>P$2+Q$2*(Table3[[#This Row],[Effect 1 Y]]-1)</f>
        <v>2.96</v>
      </c>
      <c r="X12" s="11">
        <f>Table3[[#This Row],[E2Y]]+T$2</f>
        <v>2.0699999999999998</v>
      </c>
      <c r="Y12" s="11">
        <f>Table3[[#This Row],[E2TY]]+S$2</f>
        <v>1.9499999999999997</v>
      </c>
      <c r="Z12" s="11">
        <f>P$2+Q$2*(Table3[[#This Row],[Effect 2 Y]]-1)+R$2</f>
        <v>2.67</v>
      </c>
      <c r="AA12" s="11">
        <f>Table3[[#This Row],[E3Y]]+T$2</f>
        <v>2.2699999999999996</v>
      </c>
      <c r="AB12" s="11">
        <f>Table3[[#This Row],[E3TY]]+S$2</f>
        <v>2.1499999999999995</v>
      </c>
      <c r="AC12" s="20">
        <f>P$2+Q$2*(Table3[[#This Row],[Effect 3 Y]]-1)+2*R$2</f>
        <v>2.8699999999999997</v>
      </c>
    </row>
    <row r="13" spans="1:29" ht="120" x14ac:dyDescent="0.25">
      <c r="A13" s="6" t="s">
        <v>299</v>
      </c>
      <c r="B13" s="7" t="s">
        <v>47</v>
      </c>
      <c r="C13" s="7"/>
      <c r="D13" s="7">
        <v>1</v>
      </c>
      <c r="E13" s="17" t="s">
        <v>36</v>
      </c>
      <c r="F13" s="17" t="s">
        <v>356</v>
      </c>
      <c r="G13" s="21" t="s">
        <v>438</v>
      </c>
      <c r="H13" s="7"/>
      <c r="I13" s="17" t="s">
        <v>36</v>
      </c>
      <c r="J13" s="17"/>
      <c r="K13" s="7" t="s">
        <v>390</v>
      </c>
      <c r="L13" s="7"/>
      <c r="M13" s="17" t="s">
        <v>36</v>
      </c>
      <c r="N13" s="17"/>
      <c r="O13" s="7" t="s">
        <v>391</v>
      </c>
      <c r="P13" s="7"/>
      <c r="Q13" s="7"/>
      <c r="R13" s="7"/>
      <c r="S13" s="7"/>
      <c r="T13" s="7"/>
      <c r="U13" s="11">
        <f>Table3[[#This Row],[E1Y]]+T$2</f>
        <v>2.36</v>
      </c>
      <c r="V13" s="11">
        <f>Table3[[#This Row],[E1TY]]+S$2</f>
        <v>2.2399999999999998</v>
      </c>
      <c r="W13" s="11">
        <f>P$2+Q$2*(Table3[[#This Row],[Effect 1 Y]]-1)</f>
        <v>2.96</v>
      </c>
      <c r="X13" s="11">
        <f>Table3[[#This Row],[E2Y]]+T$2</f>
        <v>2.0699999999999998</v>
      </c>
      <c r="Y13" s="11">
        <f>Table3[[#This Row],[E2TY]]+S$2</f>
        <v>1.9499999999999997</v>
      </c>
      <c r="Z13" s="11">
        <f>P$2+Q$2*(Table3[[#This Row],[Effect 2 Y]]-1)+R$2</f>
        <v>2.67</v>
      </c>
      <c r="AA13" s="11">
        <f>Table3[[#This Row],[E3Y]]+T$2</f>
        <v>2.2699999999999996</v>
      </c>
      <c r="AB13" s="11">
        <f>Table3[[#This Row],[E3TY]]+S$2</f>
        <v>2.1499999999999995</v>
      </c>
      <c r="AC13" s="20">
        <f>P$2+Q$2*(Table3[[#This Row],[Effect 3 Y]]-1)+2*R$2</f>
        <v>2.8699999999999997</v>
      </c>
    </row>
    <row r="14" spans="1:29" ht="135" x14ac:dyDescent="0.25">
      <c r="A14" s="6" t="s">
        <v>300</v>
      </c>
      <c r="B14" s="7" t="s">
        <v>47</v>
      </c>
      <c r="C14" s="7" t="s">
        <v>317</v>
      </c>
      <c r="D14" s="7">
        <v>1</v>
      </c>
      <c r="E14" s="17" t="s">
        <v>11</v>
      </c>
      <c r="F14" s="17" t="s">
        <v>357</v>
      </c>
      <c r="G14" s="17" t="s">
        <v>439</v>
      </c>
      <c r="H14" s="7"/>
      <c r="I14" s="17" t="s">
        <v>11</v>
      </c>
      <c r="J14" s="17"/>
      <c r="K14" s="7" t="s">
        <v>319</v>
      </c>
      <c r="L14" s="7"/>
      <c r="M14" s="17" t="s">
        <v>36</v>
      </c>
      <c r="N14" s="17"/>
      <c r="O14" s="7" t="s">
        <v>392</v>
      </c>
      <c r="P14" s="7"/>
      <c r="Q14" s="7"/>
      <c r="R14" s="7"/>
      <c r="S14" s="7"/>
      <c r="T14" s="7"/>
      <c r="U14" s="11">
        <f>Table3[[#This Row],[E1Y]]+T$2</f>
        <v>2.36</v>
      </c>
      <c r="V14" s="11">
        <f>Table3[[#This Row],[E1TY]]+S$2</f>
        <v>2.2399999999999998</v>
      </c>
      <c r="W14" s="11">
        <f>P$2+Q$2*(Table3[[#This Row],[Effect 1 Y]]-1)</f>
        <v>2.96</v>
      </c>
      <c r="X14" s="11">
        <f>Table3[[#This Row],[E2Y]]+T$2</f>
        <v>2.0699999999999998</v>
      </c>
      <c r="Y14" s="11">
        <f>Table3[[#This Row],[E2TY]]+S$2</f>
        <v>1.9499999999999997</v>
      </c>
      <c r="Z14" s="11">
        <f>P$2+Q$2*(Table3[[#This Row],[Effect 2 Y]]-1)+R$2</f>
        <v>2.67</v>
      </c>
      <c r="AA14" s="11">
        <f>Table3[[#This Row],[E3Y]]+T$2</f>
        <v>2.2699999999999996</v>
      </c>
      <c r="AB14" s="11">
        <f>Table3[[#This Row],[E3TY]]+S$2</f>
        <v>2.1499999999999995</v>
      </c>
      <c r="AC14" s="20">
        <f>P$2+Q$2*(Table3[[#This Row],[Effect 3 Y]]-1)+2*R$2</f>
        <v>2.8699999999999997</v>
      </c>
    </row>
    <row r="15" spans="1:29" ht="30" x14ac:dyDescent="0.25">
      <c r="A15" s="6" t="s">
        <v>301</v>
      </c>
      <c r="B15" s="7" t="s">
        <v>47</v>
      </c>
      <c r="C15" s="7"/>
      <c r="D15" s="7">
        <v>1</v>
      </c>
      <c r="E15" s="17" t="s">
        <v>36</v>
      </c>
      <c r="F15" s="17" t="s">
        <v>440</v>
      </c>
      <c r="G15" s="17" t="s">
        <v>448</v>
      </c>
      <c r="H15" s="7"/>
      <c r="I15" s="17"/>
      <c r="J15" s="17"/>
      <c r="K15" s="7"/>
      <c r="L15" s="7"/>
      <c r="M15" s="17"/>
      <c r="N15" s="17"/>
      <c r="O15" s="7"/>
      <c r="P15" s="7"/>
      <c r="Q15" s="7"/>
      <c r="R15" s="7"/>
      <c r="S15" s="7"/>
      <c r="T15" s="7"/>
      <c r="U15" s="11">
        <f>Table3[[#This Row],[E1Y]]+T$2</f>
        <v>2.36</v>
      </c>
      <c r="V15" s="11">
        <f>Table3[[#This Row],[E1TY]]+S$2</f>
        <v>2.2399999999999998</v>
      </c>
      <c r="W15" s="11">
        <f>P$2+Q$2*(Table3[[#This Row],[Effect 1 Y]]-1)</f>
        <v>2.96</v>
      </c>
      <c r="X15" s="11">
        <f>Table3[[#This Row],[E2Y]]+T$2</f>
        <v>2.0699999999999998</v>
      </c>
      <c r="Y15" s="11">
        <f>Table3[[#This Row],[E2TY]]+S$2</f>
        <v>1.9499999999999997</v>
      </c>
      <c r="Z15" s="11">
        <f>P$2+Q$2*(Table3[[#This Row],[Effect 2 Y]]-1)+R$2</f>
        <v>2.67</v>
      </c>
      <c r="AA15" s="11">
        <f>Table3[[#This Row],[E3Y]]+T$2</f>
        <v>2.2699999999999996</v>
      </c>
      <c r="AB15" s="11">
        <f>Table3[[#This Row],[E3TY]]+S$2</f>
        <v>2.1499999999999995</v>
      </c>
      <c r="AC15" s="20">
        <f>P$2+Q$2*(Table3[[#This Row],[Effect 3 Y]]-1)+2*R$2</f>
        <v>2.8699999999999997</v>
      </c>
    </row>
    <row r="16" spans="1:29" ht="90" x14ac:dyDescent="0.25">
      <c r="A16" s="6" t="s">
        <v>302</v>
      </c>
      <c r="B16" s="7" t="s">
        <v>47</v>
      </c>
      <c r="C16" s="7"/>
      <c r="D16" s="7">
        <v>1</v>
      </c>
      <c r="E16" s="17" t="s">
        <v>36</v>
      </c>
      <c r="F16" s="17" t="s">
        <v>451</v>
      </c>
      <c r="G16" s="17" t="s">
        <v>450</v>
      </c>
      <c r="H16" s="7"/>
      <c r="I16" s="17" t="s">
        <v>36</v>
      </c>
      <c r="J16" s="17"/>
      <c r="K16" s="7" t="s">
        <v>393</v>
      </c>
      <c r="L16" s="7"/>
      <c r="M16" s="17" t="s">
        <v>36</v>
      </c>
      <c r="N16" s="17"/>
      <c r="O16" s="7" t="s">
        <v>394</v>
      </c>
      <c r="P16" s="7"/>
      <c r="Q16" s="7"/>
      <c r="R16" s="7"/>
      <c r="S16" s="7"/>
      <c r="T16" s="7"/>
      <c r="U16" s="11">
        <f>Table3[[#This Row],[E1Y]]+T$2</f>
        <v>2.36</v>
      </c>
      <c r="V16" s="11">
        <f>Table3[[#This Row],[E1TY]]+S$2</f>
        <v>2.2399999999999998</v>
      </c>
      <c r="W16" s="11">
        <f>P$2+Q$2*(Table3[[#This Row],[Effect 1 Y]]-1)</f>
        <v>2.96</v>
      </c>
      <c r="X16" s="11">
        <f>Table3[[#This Row],[E2Y]]+T$2</f>
        <v>2.0699999999999998</v>
      </c>
      <c r="Y16" s="11">
        <f>Table3[[#This Row],[E2TY]]+S$2</f>
        <v>1.9499999999999997</v>
      </c>
      <c r="Z16" s="11">
        <f>P$2+Q$2*(Table3[[#This Row],[Effect 2 Y]]-1)+R$2</f>
        <v>2.67</v>
      </c>
      <c r="AA16" s="11">
        <f>Table3[[#This Row],[E3Y]]+T$2</f>
        <v>2.2699999999999996</v>
      </c>
      <c r="AB16" s="11">
        <f>Table3[[#This Row],[E3TY]]+S$2</f>
        <v>2.1499999999999995</v>
      </c>
      <c r="AC16" s="20">
        <f>P$2+Q$2*(Table3[[#This Row],[Effect 3 Y]]-1)+2*R$2</f>
        <v>2.8699999999999997</v>
      </c>
    </row>
    <row r="17" spans="1:29" ht="75" x14ac:dyDescent="0.25">
      <c r="A17" s="6" t="s">
        <v>303</v>
      </c>
      <c r="B17" s="7" t="s">
        <v>47</v>
      </c>
      <c r="C17" s="7"/>
      <c r="D17" s="7">
        <v>1</v>
      </c>
      <c r="E17" s="17" t="s">
        <v>11</v>
      </c>
      <c r="F17" s="17" t="s">
        <v>453</v>
      </c>
      <c r="G17" s="17" t="s">
        <v>452</v>
      </c>
      <c r="H17" s="7"/>
      <c r="I17" s="17" t="s">
        <v>11</v>
      </c>
      <c r="J17" s="17"/>
      <c r="K17" s="7" t="s">
        <v>320</v>
      </c>
      <c r="L17" s="7"/>
      <c r="M17" s="17" t="s">
        <v>36</v>
      </c>
      <c r="N17" s="17"/>
      <c r="O17" s="7" t="s">
        <v>395</v>
      </c>
      <c r="P17" s="7"/>
      <c r="Q17" s="7"/>
      <c r="R17" s="7"/>
      <c r="S17" s="7"/>
      <c r="T17" s="7"/>
      <c r="U17" s="11">
        <f>Table3[[#This Row],[E1Y]]+T$2</f>
        <v>2.36</v>
      </c>
      <c r="V17" s="11">
        <f>Table3[[#This Row],[E1TY]]+S$2</f>
        <v>2.2399999999999998</v>
      </c>
      <c r="W17" s="11">
        <f>P$2+Q$2*(Table3[[#This Row],[Effect 1 Y]]-1)</f>
        <v>2.96</v>
      </c>
      <c r="X17" s="11">
        <f>Table3[[#This Row],[E2Y]]+T$2</f>
        <v>2.0699999999999998</v>
      </c>
      <c r="Y17" s="11">
        <f>Table3[[#This Row],[E2TY]]+S$2</f>
        <v>1.9499999999999997</v>
      </c>
      <c r="Z17" s="11">
        <f>P$2+Q$2*(Table3[[#This Row],[Effect 2 Y]]-1)+R$2</f>
        <v>2.67</v>
      </c>
      <c r="AA17" s="11">
        <f>Table3[[#This Row],[E3Y]]+T$2</f>
        <v>2.2699999999999996</v>
      </c>
      <c r="AB17" s="11">
        <f>Table3[[#This Row],[E3TY]]+S$2</f>
        <v>2.1499999999999995</v>
      </c>
      <c r="AC17" s="20">
        <f>P$2+Q$2*(Table3[[#This Row],[Effect 3 Y]]-1)+2*R$2</f>
        <v>2.8699999999999997</v>
      </c>
    </row>
    <row r="18" spans="1:29" ht="60" x14ac:dyDescent="0.25">
      <c r="A18" s="6" t="s">
        <v>304</v>
      </c>
      <c r="B18" s="7" t="s">
        <v>47</v>
      </c>
      <c r="C18" s="7"/>
      <c r="D18" s="7">
        <v>1</v>
      </c>
      <c r="E18" s="17" t="s">
        <v>36</v>
      </c>
      <c r="F18" s="17" t="s">
        <v>455</v>
      </c>
      <c r="G18" s="17" t="s">
        <v>454</v>
      </c>
      <c r="H18" s="7"/>
      <c r="I18" s="17" t="s">
        <v>11</v>
      </c>
      <c r="J18" s="17"/>
      <c r="K18" s="7" t="s">
        <v>321</v>
      </c>
      <c r="L18" s="7"/>
      <c r="M18" s="17"/>
      <c r="N18" s="17"/>
      <c r="O18" s="7"/>
      <c r="P18" s="7"/>
      <c r="Q18" s="7"/>
      <c r="R18" s="7"/>
      <c r="S18" s="7"/>
      <c r="T18" s="7"/>
      <c r="U18" s="11">
        <f>Table3[[#This Row],[E1Y]]+T$2</f>
        <v>2.36</v>
      </c>
      <c r="V18" s="11">
        <f>Table3[[#This Row],[E1TY]]+S$2</f>
        <v>2.2399999999999998</v>
      </c>
      <c r="W18" s="11">
        <f>P$2+Q$2*(Table3[[#This Row],[Effect 1 Y]]-1)</f>
        <v>2.96</v>
      </c>
      <c r="X18" s="11">
        <f>Table3[[#This Row],[E2Y]]+T$2</f>
        <v>2.0699999999999998</v>
      </c>
      <c r="Y18" s="11">
        <f>Table3[[#This Row],[E2TY]]+S$2</f>
        <v>1.9499999999999997</v>
      </c>
      <c r="Z18" s="11">
        <f>P$2+Q$2*(Table3[[#This Row],[Effect 2 Y]]-1)+R$2</f>
        <v>2.67</v>
      </c>
      <c r="AA18" s="11">
        <f>Table3[[#This Row],[E3Y]]+T$2</f>
        <v>2.2699999999999996</v>
      </c>
      <c r="AB18" s="11">
        <f>Table3[[#This Row],[E3TY]]+S$2</f>
        <v>2.1499999999999995</v>
      </c>
      <c r="AC18" s="20">
        <f>P$2+Q$2*(Table3[[#This Row],[Effect 3 Y]]-1)+2*R$2</f>
        <v>2.8699999999999997</v>
      </c>
    </row>
    <row r="19" spans="1:29" ht="60" x14ac:dyDescent="0.25">
      <c r="A19" s="6" t="s">
        <v>305</v>
      </c>
      <c r="B19" s="7" t="s">
        <v>47</v>
      </c>
      <c r="C19" s="7"/>
      <c r="D19" s="7">
        <v>1</v>
      </c>
      <c r="E19" s="17" t="s">
        <v>36</v>
      </c>
      <c r="F19" s="17"/>
      <c r="G19" s="21" t="s">
        <v>396</v>
      </c>
      <c r="H19" s="7"/>
      <c r="I19" s="17" t="s">
        <v>36</v>
      </c>
      <c r="J19" s="17"/>
      <c r="K19" s="9" t="s">
        <v>397</v>
      </c>
      <c r="L19" s="7"/>
      <c r="M19" s="17"/>
      <c r="N19" s="17"/>
      <c r="O19" s="7"/>
      <c r="P19" s="7"/>
      <c r="Q19" s="7"/>
      <c r="R19" s="7"/>
      <c r="S19" s="7"/>
      <c r="T19" s="7"/>
      <c r="U19" s="11">
        <f>Table3[[#This Row],[E1Y]]+T$2</f>
        <v>2.36</v>
      </c>
      <c r="V19" s="11">
        <f>Table3[[#This Row],[E1TY]]+S$2</f>
        <v>2.2399999999999998</v>
      </c>
      <c r="W19" s="11">
        <f>P$2+Q$2*(Table3[[#This Row],[Effect 1 Y]]-1)</f>
        <v>2.96</v>
      </c>
      <c r="X19" s="11">
        <f>Table3[[#This Row],[E2Y]]+T$2</f>
        <v>2.0699999999999998</v>
      </c>
      <c r="Y19" s="11">
        <f>Table3[[#This Row],[E2TY]]+S$2</f>
        <v>1.9499999999999997</v>
      </c>
      <c r="Z19" s="11">
        <f>P$2+Q$2*(Table3[[#This Row],[Effect 2 Y]]-1)+R$2</f>
        <v>2.67</v>
      </c>
      <c r="AA19" s="11">
        <f>Table3[[#This Row],[E3Y]]+T$2</f>
        <v>2.2699999999999996</v>
      </c>
      <c r="AB19" s="11">
        <f>Table3[[#This Row],[E3TY]]+S$2</f>
        <v>2.1499999999999995</v>
      </c>
      <c r="AC19" s="20">
        <f>P$2+Q$2*(Table3[[#This Row],[Effect 3 Y]]-1)+2*R$2</f>
        <v>2.8699999999999997</v>
      </c>
    </row>
    <row r="20" spans="1:29" ht="60" x14ac:dyDescent="0.25">
      <c r="A20" s="6" t="s">
        <v>306</v>
      </c>
      <c r="B20" s="7" t="s">
        <v>47</v>
      </c>
      <c r="C20" s="7"/>
      <c r="D20" s="7">
        <v>1</v>
      </c>
      <c r="E20" s="17" t="s">
        <v>36</v>
      </c>
      <c r="F20" s="17"/>
      <c r="G20" s="17" t="s">
        <v>398</v>
      </c>
      <c r="H20" s="7"/>
      <c r="I20" s="17" t="s">
        <v>36</v>
      </c>
      <c r="J20" s="17"/>
      <c r="K20" s="7" t="s">
        <v>399</v>
      </c>
      <c r="L20" s="7"/>
      <c r="M20" s="17"/>
      <c r="N20" s="17"/>
      <c r="O20" s="7"/>
      <c r="P20" s="7"/>
      <c r="Q20" s="7"/>
      <c r="R20" s="7"/>
      <c r="S20" s="7"/>
      <c r="T20" s="7"/>
      <c r="U20" s="11">
        <f>Table3[[#This Row],[E1Y]]+T$2</f>
        <v>2.36</v>
      </c>
      <c r="V20" s="11">
        <f>Table3[[#This Row],[E1TY]]+S$2</f>
        <v>2.2399999999999998</v>
      </c>
      <c r="W20" s="11">
        <f>P$2+Q$2*(Table3[[#This Row],[Effect 1 Y]]-1)</f>
        <v>2.96</v>
      </c>
      <c r="X20" s="11">
        <f>Table3[[#This Row],[E2Y]]+T$2</f>
        <v>2.0699999999999998</v>
      </c>
      <c r="Y20" s="11">
        <f>Table3[[#This Row],[E2TY]]+S$2</f>
        <v>1.9499999999999997</v>
      </c>
      <c r="Z20" s="11">
        <f>P$2+Q$2*(Table3[[#This Row],[Effect 2 Y]]-1)+R$2</f>
        <v>2.67</v>
      </c>
      <c r="AA20" s="11">
        <f>Table3[[#This Row],[E3Y]]+T$2</f>
        <v>2.2699999999999996</v>
      </c>
      <c r="AB20" s="11">
        <f>Table3[[#This Row],[E3TY]]+S$2</f>
        <v>2.1499999999999995</v>
      </c>
      <c r="AC20" s="20">
        <f>P$2+Q$2*(Table3[[#This Row],[Effect 3 Y]]-1)+2*R$2</f>
        <v>2.8699999999999997</v>
      </c>
    </row>
    <row r="21" spans="1:29" ht="150" x14ac:dyDescent="0.25">
      <c r="A21" s="6" t="s">
        <v>307</v>
      </c>
      <c r="B21" s="7" t="s">
        <v>47</v>
      </c>
      <c r="C21" s="7" t="s">
        <v>314</v>
      </c>
      <c r="D21" s="7">
        <v>1</v>
      </c>
      <c r="E21" s="7" t="s">
        <v>11</v>
      </c>
      <c r="F21" s="17"/>
      <c r="G21" s="17" t="s">
        <v>400</v>
      </c>
      <c r="H21" s="7"/>
      <c r="I21" s="7" t="s">
        <v>11</v>
      </c>
      <c r="J21" s="17"/>
      <c r="K21" s="7" t="s">
        <v>322</v>
      </c>
      <c r="L21" s="7"/>
      <c r="M21" s="17"/>
      <c r="N21" s="17"/>
      <c r="O21" s="7"/>
      <c r="P21" s="7"/>
      <c r="Q21" s="7"/>
      <c r="R21" s="7"/>
      <c r="S21" s="7"/>
      <c r="T21" s="7"/>
      <c r="U21" s="11">
        <f>Table3[[#This Row],[E1Y]]+T$2</f>
        <v>2.36</v>
      </c>
      <c r="V21" s="11">
        <f>Table3[[#This Row],[E1TY]]+S$2</f>
        <v>2.2399999999999998</v>
      </c>
      <c r="W21" s="11">
        <f>P$2+Q$2*(Table3[[#This Row],[Effect 1 Y]]-1)</f>
        <v>2.96</v>
      </c>
      <c r="X21" s="11">
        <f>Table3[[#This Row],[E2Y]]+T$2</f>
        <v>2.0699999999999998</v>
      </c>
      <c r="Y21" s="11">
        <f>Table3[[#This Row],[E2TY]]+S$2</f>
        <v>1.9499999999999997</v>
      </c>
      <c r="Z21" s="11">
        <f>P$2+Q$2*(Table3[[#This Row],[Effect 2 Y]]-1)+R$2</f>
        <v>2.67</v>
      </c>
      <c r="AA21" s="11">
        <f>Table3[[#This Row],[E3Y]]+T$2</f>
        <v>2.2699999999999996</v>
      </c>
      <c r="AB21" s="11">
        <f>Table3[[#This Row],[E3TY]]+S$2</f>
        <v>2.1499999999999995</v>
      </c>
      <c r="AC21" s="20">
        <f>P$2+Q$2*(Table3[[#This Row],[Effect 3 Y]]-1)+2*R$2</f>
        <v>2.8699999999999997</v>
      </c>
    </row>
    <row r="22" spans="1:29" ht="135" x14ac:dyDescent="0.25">
      <c r="A22" s="6" t="s">
        <v>308</v>
      </c>
      <c r="B22" s="7" t="s">
        <v>47</v>
      </c>
      <c r="C22" s="7"/>
      <c r="D22" s="7">
        <v>1</v>
      </c>
      <c r="E22" s="17" t="s">
        <v>36</v>
      </c>
      <c r="F22" s="17"/>
      <c r="G22" s="17" t="s">
        <v>445</v>
      </c>
      <c r="H22" s="7"/>
      <c r="I22" s="17" t="s">
        <v>36</v>
      </c>
      <c r="J22" s="17"/>
      <c r="K22" s="7" t="s">
        <v>401</v>
      </c>
      <c r="L22" s="7"/>
      <c r="M22" s="17" t="s">
        <v>36</v>
      </c>
      <c r="N22" s="17"/>
      <c r="O22" s="7" t="s">
        <v>402</v>
      </c>
      <c r="P22" s="7"/>
      <c r="Q22" s="7"/>
      <c r="R22" s="7"/>
      <c r="S22" s="7"/>
      <c r="T22" s="7"/>
      <c r="U22" s="11">
        <f>Table3[[#This Row],[E1Y]]+T$2</f>
        <v>2.36</v>
      </c>
      <c r="V22" s="11">
        <f>Table3[[#This Row],[E1TY]]+S$2</f>
        <v>2.2399999999999998</v>
      </c>
      <c r="W22" s="11">
        <f>P$2+Q$2*(Table3[[#This Row],[Effect 1 Y]]-1)</f>
        <v>2.96</v>
      </c>
      <c r="X22" s="11">
        <f>Table3[[#This Row],[E2Y]]+T$2</f>
        <v>2.0699999999999998</v>
      </c>
      <c r="Y22" s="11">
        <f>Table3[[#This Row],[E2TY]]+S$2</f>
        <v>1.9499999999999997</v>
      </c>
      <c r="Z22" s="11">
        <f>P$2+Q$2*(Table3[[#This Row],[Effect 2 Y]]-1)+R$2</f>
        <v>2.67</v>
      </c>
      <c r="AA22" s="11">
        <f>Table3[[#This Row],[E3Y]]+T$2</f>
        <v>2.2699999999999996</v>
      </c>
      <c r="AB22" s="11">
        <f>Table3[[#This Row],[E3TY]]+S$2</f>
        <v>2.1499999999999995</v>
      </c>
      <c r="AC22" s="20">
        <f>P$2+Q$2*(Table3[[#This Row],[Effect 3 Y]]-1)+2*R$2</f>
        <v>2.8699999999999997</v>
      </c>
    </row>
    <row r="23" spans="1:29" ht="165" x14ac:dyDescent="0.25">
      <c r="A23" s="6" t="s">
        <v>309</v>
      </c>
      <c r="B23" s="7" t="s">
        <v>47</v>
      </c>
      <c r="C23" s="7" t="s">
        <v>316</v>
      </c>
      <c r="D23" s="7">
        <v>1</v>
      </c>
      <c r="E23" s="17" t="s">
        <v>36</v>
      </c>
      <c r="F23" s="17"/>
      <c r="G23" s="17" t="s">
        <v>403</v>
      </c>
      <c r="H23" s="7"/>
      <c r="I23" s="17" t="s">
        <v>36</v>
      </c>
      <c r="J23" s="17"/>
      <c r="K23" s="7" t="s">
        <v>404</v>
      </c>
      <c r="L23" s="7"/>
      <c r="M23" s="17" t="s">
        <v>36</v>
      </c>
      <c r="N23" s="17"/>
      <c r="O23" s="7" t="s">
        <v>405</v>
      </c>
      <c r="P23" s="7"/>
      <c r="Q23" s="7"/>
      <c r="R23" s="7"/>
      <c r="S23" s="7"/>
      <c r="T23" s="7"/>
      <c r="U23" s="11">
        <f>Table3[[#This Row],[E1Y]]+T$2</f>
        <v>2.36</v>
      </c>
      <c r="V23" s="11">
        <f>Table3[[#This Row],[E1TY]]+S$2</f>
        <v>2.2399999999999998</v>
      </c>
      <c r="W23" s="11">
        <f>P$2+Q$2*(Table3[[#This Row],[Effect 1 Y]]-1)</f>
        <v>2.96</v>
      </c>
      <c r="X23" s="11">
        <f>Table3[[#This Row],[E2Y]]+T$2</f>
        <v>2.0699999999999998</v>
      </c>
      <c r="Y23" s="11">
        <f>Table3[[#This Row],[E2TY]]+S$2</f>
        <v>1.9499999999999997</v>
      </c>
      <c r="Z23" s="11">
        <f>P$2+Q$2*(Table3[[#This Row],[Effect 2 Y]]-1)+R$2</f>
        <v>2.67</v>
      </c>
      <c r="AA23" s="11">
        <f>Table3[[#This Row],[E3Y]]+T$2</f>
        <v>2.2699999999999996</v>
      </c>
      <c r="AB23" s="11">
        <f>Table3[[#This Row],[E3TY]]+S$2</f>
        <v>2.1499999999999995</v>
      </c>
      <c r="AC23" s="20">
        <f>P$2+Q$2*(Table3[[#This Row],[Effect 3 Y]]-1)+2*R$2</f>
        <v>2.8699999999999997</v>
      </c>
    </row>
    <row r="24" spans="1:29" ht="45" x14ac:dyDescent="0.25">
      <c r="A24" s="7" t="s">
        <v>46</v>
      </c>
      <c r="B24" s="7" t="s">
        <v>47</v>
      </c>
      <c r="C24" s="7"/>
      <c r="D24" s="7">
        <v>1</v>
      </c>
      <c r="E24" s="7" t="s">
        <v>36</v>
      </c>
      <c r="F24" s="7" t="s">
        <v>179</v>
      </c>
      <c r="G24" s="7" t="s">
        <v>50</v>
      </c>
      <c r="H24" s="7">
        <v>4</v>
      </c>
      <c r="I24" s="17" t="s">
        <v>36</v>
      </c>
      <c r="J24" s="17" t="s">
        <v>214</v>
      </c>
      <c r="K24" s="7" t="s">
        <v>49</v>
      </c>
      <c r="L24" s="7"/>
      <c r="M24" s="7"/>
      <c r="N24" s="7"/>
      <c r="O24" s="7"/>
      <c r="P24" s="7">
        <v>2.96</v>
      </c>
      <c r="Q24" s="7">
        <v>0.49</v>
      </c>
      <c r="R24" s="7">
        <v>0.2</v>
      </c>
      <c r="S24" s="7">
        <v>-0.12</v>
      </c>
      <c r="T24" s="7">
        <v>-0.6</v>
      </c>
      <c r="U24" s="11">
        <f>Table3[[#This Row],[E1Y]]+T$2</f>
        <v>2.36</v>
      </c>
      <c r="V24" s="11">
        <f>Table3[[#This Row],[E1TY]]+S$2</f>
        <v>2.2399999999999998</v>
      </c>
      <c r="W24" s="11">
        <f>P$2+Q$2*(Table3[[#This Row],[Effect 1 Y]]-1)</f>
        <v>2.96</v>
      </c>
      <c r="X24" s="11">
        <f>Table3[[#This Row],[E2Y]]+T$2</f>
        <v>4.03</v>
      </c>
      <c r="Y24" s="11">
        <f>Table3[[#This Row],[E2TY]]+S$2</f>
        <v>3.91</v>
      </c>
      <c r="Z24" s="11">
        <f>P$2+Q$2*(Table3[[#This Row],[Effect 2 Y]]-1)+R$2</f>
        <v>4.63</v>
      </c>
      <c r="AA24" s="11">
        <f>Table3[[#This Row],[E3Y]]+T$2</f>
        <v>2.2699999999999996</v>
      </c>
      <c r="AB24" s="11">
        <f>Table3[[#This Row],[E3TY]]+S$2</f>
        <v>2.1499999999999995</v>
      </c>
      <c r="AC24" s="20">
        <f>P$2+Q$2*(Table3[[#This Row],[Effect 3 Y]]-1)+2*R$2</f>
        <v>2.8699999999999997</v>
      </c>
    </row>
    <row r="25" spans="1:29" ht="75" x14ac:dyDescent="0.25">
      <c r="A25" s="6" t="s">
        <v>310</v>
      </c>
      <c r="B25" s="7" t="s">
        <v>47</v>
      </c>
      <c r="C25" s="7"/>
      <c r="D25" s="7">
        <v>1</v>
      </c>
      <c r="E25" s="7" t="s">
        <v>11</v>
      </c>
      <c r="F25" s="17"/>
      <c r="G25" s="17" t="s">
        <v>318</v>
      </c>
      <c r="H25" s="7"/>
      <c r="I25" s="17"/>
      <c r="J25" s="17"/>
      <c r="K25" s="7" t="s">
        <v>380</v>
      </c>
      <c r="L25" s="7"/>
      <c r="M25" s="17"/>
      <c r="N25" s="17"/>
      <c r="O25" s="7"/>
      <c r="P25" s="7"/>
      <c r="Q25" s="7"/>
      <c r="R25" s="7"/>
      <c r="S25" s="7"/>
      <c r="T25" s="7"/>
      <c r="U25" s="11">
        <f>Table3[[#This Row],[E1Y]]+T$2</f>
        <v>2.36</v>
      </c>
      <c r="V25" s="11">
        <f>Table3[[#This Row],[E1TY]]+S$2</f>
        <v>2.2399999999999998</v>
      </c>
      <c r="W25" s="11">
        <f>P$2+Q$2*(Table3[[#This Row],[Effect 1 Y]]-1)</f>
        <v>2.96</v>
      </c>
      <c r="X25" s="11">
        <f>Table3[[#This Row],[E2Y]]+T$2</f>
        <v>2.0699999999999998</v>
      </c>
      <c r="Y25" s="11">
        <f>Table3[[#This Row],[E2TY]]+S$2</f>
        <v>1.9499999999999997</v>
      </c>
      <c r="Z25" s="11">
        <f>P$2+Q$2*(Table3[[#This Row],[Effect 2 Y]]-1)+R$2</f>
        <v>2.67</v>
      </c>
      <c r="AA25" s="11">
        <f>Table3[[#This Row],[E3Y]]+T$2</f>
        <v>2.2699999999999996</v>
      </c>
      <c r="AB25" s="11">
        <f>Table3[[#This Row],[E3TY]]+S$2</f>
        <v>2.1499999999999995</v>
      </c>
      <c r="AC25" s="20">
        <f>P$2+Q$2*(Table3[[#This Row],[Effect 3 Y]]-1)+2*R$2</f>
        <v>2.8699999999999997</v>
      </c>
    </row>
    <row r="26" spans="1:29" ht="120" x14ac:dyDescent="0.25">
      <c r="A26" s="6" t="s">
        <v>313</v>
      </c>
      <c r="B26" s="7" t="s">
        <v>47</v>
      </c>
      <c r="C26" s="7"/>
      <c r="D26" s="7">
        <v>1</v>
      </c>
      <c r="E26" s="7" t="s">
        <v>11</v>
      </c>
      <c r="F26" s="17"/>
      <c r="G26" s="17" t="s">
        <v>406</v>
      </c>
      <c r="H26" s="7"/>
      <c r="I26" s="17"/>
      <c r="J26" s="17"/>
      <c r="K26" s="7" t="s">
        <v>407</v>
      </c>
      <c r="L26" s="7"/>
      <c r="M26" s="7" t="s">
        <v>11</v>
      </c>
      <c r="N26" s="17"/>
      <c r="O26" s="7" t="s">
        <v>324</v>
      </c>
      <c r="P26" s="7"/>
      <c r="Q26" s="7"/>
      <c r="R26" s="7"/>
      <c r="S26" s="7"/>
      <c r="T26" s="7"/>
      <c r="U26" s="11">
        <f>Table3[[#This Row],[E1Y]]+T$2</f>
        <v>2.36</v>
      </c>
      <c r="V26" s="11">
        <f>Table3[[#This Row],[E1TY]]+S$2</f>
        <v>2.2399999999999998</v>
      </c>
      <c r="W26" s="11">
        <f>P$2+Q$2*(Table3[[#This Row],[Effect 1 Y]]-1)</f>
        <v>2.96</v>
      </c>
      <c r="X26" s="11">
        <f>Table3[[#This Row],[E2Y]]+T$2</f>
        <v>2.0699999999999998</v>
      </c>
      <c r="Y26" s="11">
        <f>Table3[[#This Row],[E2TY]]+S$2</f>
        <v>1.9499999999999997</v>
      </c>
      <c r="Z26" s="11">
        <f>P$2+Q$2*(Table3[[#This Row],[Effect 2 Y]]-1)+R$2</f>
        <v>2.67</v>
      </c>
      <c r="AA26" s="11">
        <f>Table3[[#This Row],[E3Y]]+T$2</f>
        <v>2.2699999999999996</v>
      </c>
      <c r="AB26" s="11">
        <f>Table3[[#This Row],[E3TY]]+S$2</f>
        <v>2.1499999999999995</v>
      </c>
      <c r="AC26" s="20">
        <f>P$2+Q$2*(Table3[[#This Row],[Effect 3 Y]]-1)+2*R$2</f>
        <v>2.8699999999999997</v>
      </c>
    </row>
    <row r="27" spans="1:29" ht="150" x14ac:dyDescent="0.25">
      <c r="A27" s="6" t="s">
        <v>311</v>
      </c>
      <c r="B27" s="7" t="s">
        <v>47</v>
      </c>
      <c r="C27" s="7"/>
      <c r="D27" s="7">
        <v>1</v>
      </c>
      <c r="E27" s="17" t="s">
        <v>36</v>
      </c>
      <c r="F27" s="17"/>
      <c r="G27" s="17" t="s">
        <v>416</v>
      </c>
      <c r="H27" s="7"/>
      <c r="I27" s="17"/>
      <c r="J27" s="17"/>
      <c r="K27" s="7" t="s">
        <v>408</v>
      </c>
      <c r="L27" s="7"/>
      <c r="M27" s="17"/>
      <c r="N27" s="17"/>
      <c r="O27" s="7" t="s">
        <v>409</v>
      </c>
      <c r="P27" s="7"/>
      <c r="Q27" s="7"/>
      <c r="R27" s="7"/>
      <c r="S27" s="7"/>
      <c r="T27" s="7"/>
      <c r="U27" s="11">
        <f>Table3[[#This Row],[E1Y]]+T$2</f>
        <v>2.36</v>
      </c>
      <c r="V27" s="11">
        <f>Table3[[#This Row],[E1TY]]+S$2</f>
        <v>2.2399999999999998</v>
      </c>
      <c r="W27" s="11">
        <f>P$2+Q$2*(Table3[[#This Row],[Effect 1 Y]]-1)</f>
        <v>2.96</v>
      </c>
      <c r="X27" s="11">
        <f>Table3[[#This Row],[E2Y]]+T$2</f>
        <v>2.0699999999999998</v>
      </c>
      <c r="Y27" s="11">
        <f>Table3[[#This Row],[E2TY]]+S$2</f>
        <v>1.9499999999999997</v>
      </c>
      <c r="Z27" s="11">
        <f>P$2+Q$2*(Table3[[#This Row],[Effect 2 Y]]-1)+R$2</f>
        <v>2.67</v>
      </c>
      <c r="AA27" s="11">
        <f>Table3[[#This Row],[E3Y]]+T$2</f>
        <v>2.2699999999999996</v>
      </c>
      <c r="AB27" s="11">
        <f>Table3[[#This Row],[E3TY]]+S$2</f>
        <v>2.1499999999999995</v>
      </c>
      <c r="AC27" s="20">
        <f>P$2+Q$2*(Table3[[#This Row],[Effect 3 Y]]-1)+2*R$2</f>
        <v>2.8699999999999997</v>
      </c>
    </row>
    <row r="28" spans="1:29" ht="45" x14ac:dyDescent="0.25">
      <c r="A28" s="6" t="s">
        <v>312</v>
      </c>
      <c r="B28" s="7" t="s">
        <v>47</v>
      </c>
      <c r="C28" s="7"/>
      <c r="D28" s="7">
        <v>1</v>
      </c>
      <c r="E28" s="17" t="s">
        <v>36</v>
      </c>
      <c r="F28" s="17"/>
      <c r="G28" s="17" t="s">
        <v>417</v>
      </c>
      <c r="H28" s="7"/>
      <c r="I28" s="7" t="s">
        <v>11</v>
      </c>
      <c r="J28" s="17"/>
      <c r="K28" s="7" t="s">
        <v>323</v>
      </c>
      <c r="L28" s="7"/>
      <c r="M28" s="17"/>
      <c r="N28" s="17"/>
      <c r="O28" s="7"/>
      <c r="P28" s="7"/>
      <c r="Q28" s="7"/>
      <c r="R28" s="7"/>
      <c r="S28" s="7"/>
      <c r="T28" s="7"/>
      <c r="U28" s="11">
        <f>Table3[[#This Row],[E1Y]]+T$2</f>
        <v>2.36</v>
      </c>
      <c r="V28" s="11">
        <f>Table3[[#This Row],[E1TY]]+S$2</f>
        <v>2.2399999999999998</v>
      </c>
      <c r="W28" s="11">
        <f>P$2+Q$2*(Table3[[#This Row],[Effect 1 Y]]-1)</f>
        <v>2.96</v>
      </c>
      <c r="X28" s="11">
        <f>Table3[[#This Row],[E2Y]]+T$2</f>
        <v>2.0699999999999998</v>
      </c>
      <c r="Y28" s="11">
        <f>Table3[[#This Row],[E2TY]]+S$2</f>
        <v>1.9499999999999997</v>
      </c>
      <c r="Z28" s="11">
        <f>P$2+Q$2*(Table3[[#This Row],[Effect 2 Y]]-1)+R$2</f>
        <v>2.67</v>
      </c>
      <c r="AA28" s="11">
        <f>Table3[[#This Row],[E3Y]]+T$2</f>
        <v>2.2699999999999996</v>
      </c>
      <c r="AB28" s="11">
        <f>Table3[[#This Row],[E3TY]]+S$2</f>
        <v>2.1499999999999995</v>
      </c>
      <c r="AC28" s="20">
        <f>P$2+Q$2*(Table3[[#This Row],[Effect 3 Y]]-1)+2*R$2</f>
        <v>2.8699999999999997</v>
      </c>
    </row>
    <row r="29" spans="1:29" ht="60" x14ac:dyDescent="0.25">
      <c r="A29" s="7" t="s">
        <v>223</v>
      </c>
      <c r="B29" s="7" t="s">
        <v>53</v>
      </c>
      <c r="C29" s="7"/>
      <c r="D29" s="7">
        <v>1</v>
      </c>
      <c r="E29" s="7" t="s">
        <v>11</v>
      </c>
      <c r="F29" s="17"/>
      <c r="G29" s="17" t="s">
        <v>364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11">
        <f>Table3[[#This Row],[E1Y]]+T$2</f>
        <v>2.36</v>
      </c>
      <c r="V29" s="11">
        <f>Table3[[#This Row],[E1TY]]+S$2</f>
        <v>2.2399999999999998</v>
      </c>
      <c r="W29" s="11">
        <f>P$2+Q$2*(Table3[[#This Row],[Effect 1 Y]]-1)</f>
        <v>2.96</v>
      </c>
      <c r="X29" s="11">
        <f>Table3[[#This Row],[E2Y]]+T$2</f>
        <v>2.0699999999999998</v>
      </c>
      <c r="Y29" s="11">
        <f>Table3[[#This Row],[E2TY]]+S$2</f>
        <v>1.9499999999999997</v>
      </c>
      <c r="Z29" s="11">
        <f>P$2+Q$2*(Table3[[#This Row],[Effect 2 Y]]-1)+R$2</f>
        <v>2.67</v>
      </c>
      <c r="AA29" s="11">
        <f>Table3[[#This Row],[E3Y]]+T$2</f>
        <v>2.2699999999999996</v>
      </c>
      <c r="AB29" s="11">
        <f>Table3[[#This Row],[E3TY]]+S$2</f>
        <v>2.1499999999999995</v>
      </c>
      <c r="AC29" s="20">
        <f>P$2+Q$2*(Table3[[#This Row],[Effect 3 Y]]-1)+2*R$2</f>
        <v>2.8699999999999997</v>
      </c>
    </row>
    <row r="30" spans="1:29" ht="60" x14ac:dyDescent="0.25">
      <c r="A30" s="7" t="s">
        <v>224</v>
      </c>
      <c r="B30" s="7" t="s">
        <v>53</v>
      </c>
      <c r="C30" s="17"/>
      <c r="D30" s="7">
        <v>1</v>
      </c>
      <c r="E30" s="17" t="s">
        <v>36</v>
      </c>
      <c r="F30" s="17"/>
      <c r="G30" s="17" t="s">
        <v>418</v>
      </c>
      <c r="H30" s="7"/>
      <c r="I30" s="7"/>
      <c r="J30" s="7"/>
      <c r="K30" s="7" t="s">
        <v>419</v>
      </c>
      <c r="L30" s="7"/>
      <c r="M30" s="7"/>
      <c r="N30" s="7"/>
      <c r="O30" s="7"/>
      <c r="P30" s="7"/>
      <c r="Q30" s="7"/>
      <c r="R30" s="7"/>
      <c r="S30" s="7"/>
      <c r="T30" s="7"/>
      <c r="U30" s="11">
        <f>Table3[[#This Row],[E1Y]]+T$2</f>
        <v>2.36</v>
      </c>
      <c r="V30" s="11">
        <f>Table3[[#This Row],[E1TY]]+S$2</f>
        <v>2.2399999999999998</v>
      </c>
      <c r="W30" s="11">
        <f>P$2+Q$2*(Table3[[#This Row],[Effect 1 Y]]-1)</f>
        <v>2.96</v>
      </c>
      <c r="X30" s="11">
        <f>Table3[[#This Row],[E2Y]]+T$2</f>
        <v>2.0699999999999998</v>
      </c>
      <c r="Y30" s="11">
        <f>Table3[[#This Row],[E2TY]]+S$2</f>
        <v>1.9499999999999997</v>
      </c>
      <c r="Z30" s="11">
        <f>P$2+Q$2*(Table3[[#This Row],[Effect 2 Y]]-1)+R$2</f>
        <v>2.67</v>
      </c>
      <c r="AA30" s="11">
        <f>Table3[[#This Row],[E3Y]]+T$2</f>
        <v>2.2699999999999996</v>
      </c>
      <c r="AB30" s="11">
        <f>Table3[[#This Row],[E3TY]]+S$2</f>
        <v>2.1499999999999995</v>
      </c>
      <c r="AC30" s="20">
        <f>P$2+Q$2*(Table3[[#This Row],[Effect 3 Y]]-1)+2*R$2</f>
        <v>2.8699999999999997</v>
      </c>
    </row>
    <row r="31" spans="1:29" ht="45" x14ac:dyDescent="0.25">
      <c r="A31" s="7" t="s">
        <v>225</v>
      </c>
      <c r="B31" s="7" t="s">
        <v>53</v>
      </c>
      <c r="C31" s="7"/>
      <c r="D31" s="7">
        <v>1</v>
      </c>
      <c r="E31" s="17" t="s">
        <v>36</v>
      </c>
      <c r="F31" s="7"/>
      <c r="G31" s="7" t="s">
        <v>347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11">
        <f>Table3[[#This Row],[E1Y]]+T$2</f>
        <v>2.36</v>
      </c>
      <c r="V31" s="11">
        <f>Table3[[#This Row],[E1TY]]+S$2</f>
        <v>2.2399999999999998</v>
      </c>
      <c r="W31" s="11">
        <f>P$2+Q$2*(Table3[[#This Row],[Effect 1 Y]]-1)</f>
        <v>2.96</v>
      </c>
      <c r="X31" s="11">
        <f>Table3[[#This Row],[E2Y]]+T$2</f>
        <v>2.0699999999999998</v>
      </c>
      <c r="Y31" s="11">
        <f>Table3[[#This Row],[E2TY]]+S$2</f>
        <v>1.9499999999999997</v>
      </c>
      <c r="Z31" s="11">
        <f>P$2+Q$2*(Table3[[#This Row],[Effect 2 Y]]-1)+R$2</f>
        <v>2.67</v>
      </c>
      <c r="AA31" s="11">
        <f>Table3[[#This Row],[E3Y]]+T$2</f>
        <v>2.2699999999999996</v>
      </c>
      <c r="AB31" s="11">
        <f>Table3[[#This Row],[E3TY]]+S$2</f>
        <v>2.1499999999999995</v>
      </c>
      <c r="AC31" s="20">
        <f>P$2+Q$2*(Table3[[#This Row],[Effect 3 Y]]-1)+2*R$2</f>
        <v>2.8699999999999997</v>
      </c>
    </row>
    <row r="32" spans="1:29" ht="75" x14ac:dyDescent="0.25">
      <c r="A32" s="7" t="s">
        <v>226</v>
      </c>
      <c r="B32" s="7" t="s">
        <v>53</v>
      </c>
      <c r="C32" s="7"/>
      <c r="D32" s="7">
        <v>1</v>
      </c>
      <c r="E32" s="17" t="s">
        <v>36</v>
      </c>
      <c r="F32" s="7"/>
      <c r="G32" s="7" t="s">
        <v>420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11">
        <f>Table3[[#This Row],[E1Y]]+T$2</f>
        <v>2.36</v>
      </c>
      <c r="V32" s="11">
        <f>Table3[[#This Row],[E1TY]]+S$2</f>
        <v>2.2399999999999998</v>
      </c>
      <c r="W32" s="11">
        <f>P$2+Q$2*(Table3[[#This Row],[Effect 1 Y]]-1)</f>
        <v>2.96</v>
      </c>
      <c r="X32" s="11">
        <f>Table3[[#This Row],[E2Y]]+T$2</f>
        <v>2.0699999999999998</v>
      </c>
      <c r="Y32" s="11">
        <f>Table3[[#This Row],[E2TY]]+S$2</f>
        <v>1.9499999999999997</v>
      </c>
      <c r="Z32" s="11">
        <f>P$2+Q$2*(Table3[[#This Row],[Effect 2 Y]]-1)+R$2</f>
        <v>2.67</v>
      </c>
      <c r="AA32" s="11">
        <f>Table3[[#This Row],[E3Y]]+T$2</f>
        <v>2.2699999999999996</v>
      </c>
      <c r="AB32" s="11">
        <f>Table3[[#This Row],[E3TY]]+S$2</f>
        <v>2.1499999999999995</v>
      </c>
      <c r="AC32" s="20">
        <f>P$2+Q$2*(Table3[[#This Row],[Effect 3 Y]]-1)+2*R$2</f>
        <v>2.8699999999999997</v>
      </c>
    </row>
    <row r="33" spans="1:29" ht="45" x14ac:dyDescent="0.25">
      <c r="A33" s="7" t="s">
        <v>227</v>
      </c>
      <c r="B33" s="7" t="s">
        <v>53</v>
      </c>
      <c r="C33" s="7"/>
      <c r="D33" s="7">
        <v>1</v>
      </c>
      <c r="E33" s="17" t="s">
        <v>36</v>
      </c>
      <c r="F33" s="7"/>
      <c r="G33" s="7" t="s">
        <v>421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11">
        <f>Table3[[#This Row],[E1Y]]+T$2</f>
        <v>2.36</v>
      </c>
      <c r="V33" s="11">
        <f>Table3[[#This Row],[E1TY]]+S$2</f>
        <v>2.2399999999999998</v>
      </c>
      <c r="W33" s="11">
        <f>P$2+Q$2*(Table3[[#This Row],[Effect 1 Y]]-1)</f>
        <v>2.96</v>
      </c>
      <c r="X33" s="11">
        <f>Table3[[#This Row],[E2Y]]+T$2</f>
        <v>2.0699999999999998</v>
      </c>
      <c r="Y33" s="11">
        <f>Table3[[#This Row],[E2TY]]+S$2</f>
        <v>1.9499999999999997</v>
      </c>
      <c r="Z33" s="11">
        <f>P$2+Q$2*(Table3[[#This Row],[Effect 2 Y]]-1)+R$2</f>
        <v>2.67</v>
      </c>
      <c r="AA33" s="11">
        <f>Table3[[#This Row],[E3Y]]+T$2</f>
        <v>2.2699999999999996</v>
      </c>
      <c r="AB33" s="11">
        <f>Table3[[#This Row],[E3TY]]+S$2</f>
        <v>2.1499999999999995</v>
      </c>
      <c r="AC33" s="20">
        <f>P$2+Q$2*(Table3[[#This Row],[Effect 3 Y]]-1)+2*R$2</f>
        <v>2.8699999999999997</v>
      </c>
    </row>
    <row r="34" spans="1:29" ht="45" x14ac:dyDescent="0.25">
      <c r="A34" s="7" t="s">
        <v>228</v>
      </c>
      <c r="B34" s="7" t="s">
        <v>53</v>
      </c>
      <c r="C34" s="7"/>
      <c r="D34" s="7">
        <v>1</v>
      </c>
      <c r="E34" s="17" t="s">
        <v>36</v>
      </c>
      <c r="F34" s="7"/>
      <c r="G34" s="7" t="s">
        <v>422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1">
        <f>Table3[[#This Row],[E1Y]]+T$2</f>
        <v>2.36</v>
      </c>
      <c r="V34" s="11">
        <f>Table3[[#This Row],[E1TY]]+S$2</f>
        <v>2.2399999999999998</v>
      </c>
      <c r="W34" s="11">
        <f>P$2+Q$2*(Table3[[#This Row],[Effect 1 Y]]-1)</f>
        <v>2.96</v>
      </c>
      <c r="X34" s="11">
        <f>Table3[[#This Row],[E2Y]]+T$2</f>
        <v>2.0699999999999998</v>
      </c>
      <c r="Y34" s="11">
        <f>Table3[[#This Row],[E2TY]]+S$2</f>
        <v>1.9499999999999997</v>
      </c>
      <c r="Z34" s="11">
        <f>P$2+Q$2*(Table3[[#This Row],[Effect 2 Y]]-1)+R$2</f>
        <v>2.67</v>
      </c>
      <c r="AA34" s="11">
        <f>Table3[[#This Row],[E3Y]]+T$2</f>
        <v>2.2699999999999996</v>
      </c>
      <c r="AB34" s="11">
        <f>Table3[[#This Row],[E3TY]]+S$2</f>
        <v>2.1499999999999995</v>
      </c>
      <c r="AC34" s="20">
        <f>P$2+Q$2*(Table3[[#This Row],[Effect 3 Y]]-1)+2*R$2</f>
        <v>2.8699999999999997</v>
      </c>
    </row>
    <row r="35" spans="1:29" ht="45" x14ac:dyDescent="0.25">
      <c r="A35" s="7" t="s">
        <v>229</v>
      </c>
      <c r="B35" s="7" t="s">
        <v>53</v>
      </c>
      <c r="C35" s="7"/>
      <c r="D35" s="7">
        <v>1</v>
      </c>
      <c r="E35" s="17"/>
      <c r="F35" s="17"/>
      <c r="G35" s="17" t="s">
        <v>230</v>
      </c>
      <c r="H35" s="7"/>
      <c r="I35" s="17"/>
      <c r="J35" s="17"/>
      <c r="K35" s="7"/>
      <c r="L35" s="7"/>
      <c r="M35" s="17"/>
      <c r="N35" s="17"/>
      <c r="O35" s="7"/>
      <c r="P35" s="7"/>
      <c r="Q35" s="7"/>
      <c r="R35" s="7"/>
      <c r="S35" s="7"/>
      <c r="T35" s="7"/>
      <c r="U35" s="11">
        <f>Table3[[#This Row],[E1Y]]+T$2</f>
        <v>2.36</v>
      </c>
      <c r="V35" s="11">
        <f>Table3[[#This Row],[E1TY]]+S$2</f>
        <v>2.2399999999999998</v>
      </c>
      <c r="W35" s="11">
        <f>P$2+Q$2*(Table3[[#This Row],[Effect 1 Y]]-1)</f>
        <v>2.96</v>
      </c>
      <c r="X35" s="11">
        <f>Table3[[#This Row],[E2Y]]+T$2</f>
        <v>2.0699999999999998</v>
      </c>
      <c r="Y35" s="11">
        <f>Table3[[#This Row],[E2TY]]+S$2</f>
        <v>1.9499999999999997</v>
      </c>
      <c r="Z35" s="11">
        <f>P$2+Q$2*(Table3[[#This Row],[Effect 2 Y]]-1)+R$2</f>
        <v>2.67</v>
      </c>
      <c r="AA35" s="11">
        <f>Table3[[#This Row],[E3Y]]+T$2</f>
        <v>2.2699999999999996</v>
      </c>
      <c r="AB35" s="11">
        <f>Table3[[#This Row],[E3TY]]+S$2</f>
        <v>2.1499999999999995</v>
      </c>
      <c r="AC35" s="20">
        <f>P$2+Q$2*(Table3[[#This Row],[Effect 3 Y]]-1)+2*R$2</f>
        <v>2.8699999999999997</v>
      </c>
    </row>
    <row r="36" spans="1:29" ht="75" x14ac:dyDescent="0.25">
      <c r="A36" s="7" t="s">
        <v>231</v>
      </c>
      <c r="B36" s="7" t="s">
        <v>53</v>
      </c>
      <c r="C36" s="7"/>
      <c r="D36" s="7">
        <v>1</v>
      </c>
      <c r="E36" s="17" t="s">
        <v>36</v>
      </c>
      <c r="F36" s="17"/>
      <c r="G36" s="17" t="s">
        <v>423</v>
      </c>
      <c r="H36" s="7"/>
      <c r="I36" s="17"/>
      <c r="J36" s="17"/>
      <c r="K36" s="7"/>
      <c r="L36" s="7"/>
      <c r="M36" s="17"/>
      <c r="N36" s="17"/>
      <c r="O36" s="7"/>
      <c r="P36" s="7"/>
      <c r="Q36" s="7"/>
      <c r="R36" s="7"/>
      <c r="S36" s="7"/>
      <c r="T36" s="7"/>
      <c r="U36" s="11">
        <f>Table3[[#This Row],[E1Y]]+T$2</f>
        <v>2.36</v>
      </c>
      <c r="V36" s="11">
        <f>Table3[[#This Row],[E1TY]]+S$2</f>
        <v>2.2399999999999998</v>
      </c>
      <c r="W36" s="11">
        <f>P$2+Q$2*(Table3[[#This Row],[Effect 1 Y]]-1)</f>
        <v>2.96</v>
      </c>
      <c r="X36" s="11">
        <f>Table3[[#This Row],[E2Y]]+T$2</f>
        <v>2.0699999999999998</v>
      </c>
      <c r="Y36" s="11">
        <f>Table3[[#This Row],[E2TY]]+S$2</f>
        <v>1.9499999999999997</v>
      </c>
      <c r="Z36" s="11">
        <f>P$2+Q$2*(Table3[[#This Row],[Effect 2 Y]]-1)+R$2</f>
        <v>2.67</v>
      </c>
      <c r="AA36" s="11">
        <f>Table3[[#This Row],[E3Y]]+T$2</f>
        <v>2.2699999999999996</v>
      </c>
      <c r="AB36" s="11">
        <f>Table3[[#This Row],[E3TY]]+S$2</f>
        <v>2.1499999999999995</v>
      </c>
      <c r="AC36" s="20">
        <f>P$2+Q$2*(Table3[[#This Row],[Effect 3 Y]]-1)+2*R$2</f>
        <v>2.8699999999999997</v>
      </c>
    </row>
    <row r="37" spans="1:29" ht="75" x14ac:dyDescent="0.25">
      <c r="A37" s="7" t="s">
        <v>232</v>
      </c>
      <c r="B37" s="7" t="s">
        <v>53</v>
      </c>
      <c r="C37" s="7"/>
      <c r="D37" s="7">
        <v>1</v>
      </c>
      <c r="E37" s="17" t="s">
        <v>36</v>
      </c>
      <c r="F37" s="17" t="s">
        <v>410</v>
      </c>
      <c r="G37" s="17" t="s">
        <v>411</v>
      </c>
      <c r="H37" s="7"/>
      <c r="I37" s="17"/>
      <c r="J37" s="17"/>
      <c r="K37" s="7" t="s">
        <v>424</v>
      </c>
      <c r="L37" s="7"/>
      <c r="M37" s="17"/>
      <c r="N37" s="17"/>
      <c r="O37" s="7"/>
      <c r="P37" s="7"/>
      <c r="Q37" s="7"/>
      <c r="R37" s="7"/>
      <c r="S37" s="7"/>
      <c r="T37" s="7"/>
      <c r="U37" s="11">
        <f>Table3[[#This Row],[E1Y]]+T$2</f>
        <v>2.36</v>
      </c>
      <c r="V37" s="11">
        <f>Table3[[#This Row],[E1TY]]+S$2</f>
        <v>2.2399999999999998</v>
      </c>
      <c r="W37" s="11">
        <f>P$2+Q$2*(Table3[[#This Row],[Effect 1 Y]]-1)</f>
        <v>2.96</v>
      </c>
      <c r="X37" s="11">
        <f>Table3[[#This Row],[E2Y]]+T$2</f>
        <v>2.0699999999999998</v>
      </c>
      <c r="Y37" s="11">
        <f>Table3[[#This Row],[E2TY]]+S$2</f>
        <v>1.9499999999999997</v>
      </c>
      <c r="Z37" s="11">
        <f>P$2+Q$2*(Table3[[#This Row],[Effect 2 Y]]-1)+R$2</f>
        <v>2.67</v>
      </c>
      <c r="AA37" s="11">
        <f>Table3[[#This Row],[E3Y]]+T$2</f>
        <v>2.2699999999999996</v>
      </c>
      <c r="AB37" s="11">
        <f>Table3[[#This Row],[E3TY]]+S$2</f>
        <v>2.1499999999999995</v>
      </c>
      <c r="AC37" s="20">
        <f>P$2+Q$2*(Table3[[#This Row],[Effect 3 Y]]-1)+2*R$2</f>
        <v>2.8699999999999997</v>
      </c>
    </row>
    <row r="38" spans="1:29" ht="30" x14ac:dyDescent="0.25">
      <c r="A38" s="7" t="s">
        <v>233</v>
      </c>
      <c r="B38" s="7" t="s">
        <v>53</v>
      </c>
      <c r="C38" s="7"/>
      <c r="D38" s="7">
        <v>1</v>
      </c>
      <c r="E38" s="17" t="s">
        <v>36</v>
      </c>
      <c r="F38" s="17" t="s">
        <v>413</v>
      </c>
      <c r="G38" s="17" t="s">
        <v>412</v>
      </c>
      <c r="H38" s="7"/>
      <c r="I38" s="17"/>
      <c r="J38" s="17"/>
      <c r="K38" s="7"/>
      <c r="L38" s="7"/>
      <c r="M38" s="17"/>
      <c r="N38" s="17"/>
      <c r="O38" s="7"/>
      <c r="P38" s="7"/>
      <c r="Q38" s="7"/>
      <c r="R38" s="7"/>
      <c r="S38" s="7"/>
      <c r="T38" s="7"/>
      <c r="U38" s="11">
        <f>Table3[[#This Row],[E1Y]]+T$2</f>
        <v>2.36</v>
      </c>
      <c r="V38" s="11">
        <f>Table3[[#This Row],[E1TY]]+S$2</f>
        <v>2.2399999999999998</v>
      </c>
      <c r="W38" s="11">
        <f>P$2+Q$2*(Table3[[#This Row],[Effect 1 Y]]-1)</f>
        <v>2.96</v>
      </c>
      <c r="X38" s="11">
        <f>Table3[[#This Row],[E2Y]]+T$2</f>
        <v>2.0699999999999998</v>
      </c>
      <c r="Y38" s="11">
        <f>Table3[[#This Row],[E2TY]]+S$2</f>
        <v>1.9499999999999997</v>
      </c>
      <c r="Z38" s="11">
        <f>P$2+Q$2*(Table3[[#This Row],[Effect 2 Y]]-1)+R$2</f>
        <v>2.67</v>
      </c>
      <c r="AA38" s="11">
        <f>Table3[[#This Row],[E3Y]]+T$2</f>
        <v>2.2699999999999996</v>
      </c>
      <c r="AB38" s="11">
        <f>Table3[[#This Row],[E3TY]]+S$2</f>
        <v>2.1499999999999995</v>
      </c>
      <c r="AC38" s="20">
        <f>P$2+Q$2*(Table3[[#This Row],[Effect 3 Y]]-1)+2*R$2</f>
        <v>2.8699999999999997</v>
      </c>
    </row>
    <row r="39" spans="1:29" ht="45" x14ac:dyDescent="0.25">
      <c r="A39" s="7" t="s">
        <v>234</v>
      </c>
      <c r="B39" s="7" t="s">
        <v>53</v>
      </c>
      <c r="C39" s="7"/>
      <c r="D39" s="7">
        <v>1</v>
      </c>
      <c r="E39" s="17" t="s">
        <v>36</v>
      </c>
      <c r="F39" s="17" t="s">
        <v>415</v>
      </c>
      <c r="G39" s="17" t="s">
        <v>414</v>
      </c>
      <c r="H39" s="7"/>
      <c r="I39" s="17"/>
      <c r="J39" s="17"/>
      <c r="K39" s="7"/>
      <c r="L39" s="7"/>
      <c r="M39" s="17"/>
      <c r="N39" s="17"/>
      <c r="O39" s="7"/>
      <c r="P39" s="7"/>
      <c r="Q39" s="7"/>
      <c r="R39" s="7"/>
      <c r="S39" s="7"/>
      <c r="T39" s="7"/>
      <c r="U39" s="11">
        <f>Table3[[#This Row],[E1Y]]+T$2</f>
        <v>2.36</v>
      </c>
      <c r="V39" s="11">
        <f>Table3[[#This Row],[E1TY]]+S$2</f>
        <v>2.2399999999999998</v>
      </c>
      <c r="W39" s="11">
        <f>P$2+Q$2*(Table3[[#This Row],[Effect 1 Y]]-1)</f>
        <v>2.96</v>
      </c>
      <c r="X39" s="11">
        <f>Table3[[#This Row],[E2Y]]+T$2</f>
        <v>2.0699999999999998</v>
      </c>
      <c r="Y39" s="11">
        <f>Table3[[#This Row],[E2TY]]+S$2</f>
        <v>1.9499999999999997</v>
      </c>
      <c r="Z39" s="11">
        <f>P$2+Q$2*(Table3[[#This Row],[Effect 2 Y]]-1)+R$2</f>
        <v>2.67</v>
      </c>
      <c r="AA39" s="11">
        <f>Table3[[#This Row],[E3Y]]+T$2</f>
        <v>2.2699999999999996</v>
      </c>
      <c r="AB39" s="11">
        <f>Table3[[#This Row],[E3TY]]+S$2</f>
        <v>2.1499999999999995</v>
      </c>
      <c r="AC39" s="20">
        <f>P$2+Q$2*(Table3[[#This Row],[Effect 3 Y]]-1)+2*R$2</f>
        <v>2.8699999999999997</v>
      </c>
    </row>
    <row r="40" spans="1:29" ht="120" x14ac:dyDescent="0.25">
      <c r="A40" s="7" t="s">
        <v>235</v>
      </c>
      <c r="B40" s="7" t="s">
        <v>53</v>
      </c>
      <c r="C40" s="7" t="s">
        <v>236</v>
      </c>
      <c r="D40" s="7">
        <v>1</v>
      </c>
      <c r="E40" s="7" t="s">
        <v>11</v>
      </c>
      <c r="F40" s="17"/>
      <c r="G40" s="17" t="s">
        <v>237</v>
      </c>
      <c r="H40" s="7"/>
      <c r="I40" s="17"/>
      <c r="J40" s="17"/>
      <c r="K40" s="7"/>
      <c r="L40" s="7"/>
      <c r="M40" s="17"/>
      <c r="N40" s="17"/>
      <c r="O40" s="7"/>
      <c r="P40" s="7"/>
      <c r="Q40" s="7"/>
      <c r="R40" s="7"/>
      <c r="S40" s="7"/>
      <c r="T40" s="7"/>
      <c r="U40" s="11">
        <f>Table3[[#This Row],[E1Y]]+T$2</f>
        <v>2.36</v>
      </c>
      <c r="V40" s="11">
        <f>Table3[[#This Row],[E1TY]]+S$2</f>
        <v>2.2399999999999998</v>
      </c>
      <c r="W40" s="11">
        <f>P$2+Q$2*(Table3[[#This Row],[Effect 1 Y]]-1)</f>
        <v>2.96</v>
      </c>
      <c r="X40" s="11">
        <f>Table3[[#This Row],[E2Y]]+T$2</f>
        <v>2.0699999999999998</v>
      </c>
      <c r="Y40" s="11">
        <f>Table3[[#This Row],[E2TY]]+S$2</f>
        <v>1.9499999999999997</v>
      </c>
      <c r="Z40" s="11">
        <f>P$2+Q$2*(Table3[[#This Row],[Effect 2 Y]]-1)+R$2</f>
        <v>2.67</v>
      </c>
      <c r="AA40" s="11">
        <f>Table3[[#This Row],[E3Y]]+T$2</f>
        <v>2.2699999999999996</v>
      </c>
      <c r="AB40" s="11">
        <f>Table3[[#This Row],[E3TY]]+S$2</f>
        <v>2.1499999999999995</v>
      </c>
      <c r="AC40" s="20">
        <f>P$2+Q$2*(Table3[[#This Row],[Effect 3 Y]]-1)+2*R$2</f>
        <v>2.8699999999999997</v>
      </c>
    </row>
    <row r="41" spans="1:29" ht="120" x14ac:dyDescent="0.25">
      <c r="A41" s="7" t="s">
        <v>238</v>
      </c>
      <c r="B41" s="7" t="s">
        <v>53</v>
      </c>
      <c r="C41" s="7"/>
      <c r="D41" s="7">
        <v>1</v>
      </c>
      <c r="E41" s="7" t="s">
        <v>11</v>
      </c>
      <c r="F41" s="17"/>
      <c r="G41" s="17" t="s">
        <v>365</v>
      </c>
      <c r="H41" s="7"/>
      <c r="I41" s="17"/>
      <c r="J41" s="17"/>
      <c r="K41" s="7" t="s">
        <v>239</v>
      </c>
      <c r="L41" s="7"/>
      <c r="M41" s="17"/>
      <c r="N41" s="17"/>
      <c r="O41" s="7" t="s">
        <v>386</v>
      </c>
      <c r="P41" s="7"/>
      <c r="Q41" s="7"/>
      <c r="R41" s="7"/>
      <c r="S41" s="7"/>
      <c r="T41" s="7"/>
      <c r="U41" s="11">
        <f>Table3[[#This Row],[E1Y]]+T$2</f>
        <v>2.36</v>
      </c>
      <c r="V41" s="11">
        <f>Table3[[#This Row],[E1TY]]+S$2</f>
        <v>2.2399999999999998</v>
      </c>
      <c r="W41" s="11">
        <f>P$2+Q$2*(Table3[[#This Row],[Effect 1 Y]]-1)</f>
        <v>2.96</v>
      </c>
      <c r="X41" s="11">
        <f>Table3[[#This Row],[E2Y]]+T$2</f>
        <v>2.0699999999999998</v>
      </c>
      <c r="Y41" s="11">
        <f>Table3[[#This Row],[E2TY]]+S$2</f>
        <v>1.9499999999999997</v>
      </c>
      <c r="Z41" s="11">
        <f>P$2+Q$2*(Table3[[#This Row],[Effect 2 Y]]-1)+R$2</f>
        <v>2.67</v>
      </c>
      <c r="AA41" s="11">
        <f>Table3[[#This Row],[E3Y]]+T$2</f>
        <v>2.2699999999999996</v>
      </c>
      <c r="AB41" s="11">
        <f>Table3[[#This Row],[E3TY]]+S$2</f>
        <v>2.1499999999999995</v>
      </c>
      <c r="AC41" s="20">
        <f>P$2+Q$2*(Table3[[#This Row],[Effect 3 Y]]-1)+2*R$2</f>
        <v>2.8699999999999997</v>
      </c>
    </row>
    <row r="42" spans="1:29" ht="30" x14ac:dyDescent="0.25">
      <c r="A42" s="7" t="s">
        <v>240</v>
      </c>
      <c r="B42" s="7" t="s">
        <v>53</v>
      </c>
      <c r="C42" s="7"/>
      <c r="D42" s="7">
        <v>1</v>
      </c>
      <c r="E42" s="17" t="s">
        <v>36</v>
      </c>
      <c r="F42" s="17"/>
      <c r="G42" s="17" t="s">
        <v>425</v>
      </c>
      <c r="H42" s="7"/>
      <c r="I42" s="17"/>
      <c r="J42" s="17"/>
      <c r="K42" s="7"/>
      <c r="L42" s="7"/>
      <c r="M42" s="17"/>
      <c r="N42" s="17"/>
      <c r="O42" s="7"/>
      <c r="P42" s="7"/>
      <c r="Q42" s="7"/>
      <c r="R42" s="7"/>
      <c r="S42" s="7"/>
      <c r="T42" s="7"/>
      <c r="U42" s="11">
        <f>Table3[[#This Row],[E1Y]]+T$2</f>
        <v>2.36</v>
      </c>
      <c r="V42" s="11">
        <f>Table3[[#This Row],[E1TY]]+S$2</f>
        <v>2.2399999999999998</v>
      </c>
      <c r="W42" s="11">
        <f>P$2+Q$2*(Table3[[#This Row],[Effect 1 Y]]-1)</f>
        <v>2.96</v>
      </c>
      <c r="X42" s="11">
        <f>Table3[[#This Row],[E2Y]]+T$2</f>
        <v>2.0699999999999998</v>
      </c>
      <c r="Y42" s="11">
        <f>Table3[[#This Row],[E2TY]]+S$2</f>
        <v>1.9499999999999997</v>
      </c>
      <c r="Z42" s="11">
        <f>P$2+Q$2*(Table3[[#This Row],[Effect 2 Y]]-1)+R$2</f>
        <v>2.67</v>
      </c>
      <c r="AA42" s="11">
        <f>Table3[[#This Row],[E3Y]]+T$2</f>
        <v>2.2699999999999996</v>
      </c>
      <c r="AB42" s="11">
        <f>Table3[[#This Row],[E3TY]]+S$2</f>
        <v>2.1499999999999995</v>
      </c>
      <c r="AC42" s="20">
        <f>P$2+Q$2*(Table3[[#This Row],[Effect 3 Y]]-1)+2*R$2</f>
        <v>2.8699999999999997</v>
      </c>
    </row>
    <row r="43" spans="1:29" ht="45" x14ac:dyDescent="0.25">
      <c r="A43" s="9" t="s">
        <v>241</v>
      </c>
      <c r="B43" s="7" t="s">
        <v>53</v>
      </c>
      <c r="C43" s="7"/>
      <c r="D43" s="7">
        <v>1</v>
      </c>
      <c r="E43" s="17" t="s">
        <v>36</v>
      </c>
      <c r="F43" s="17"/>
      <c r="G43" s="21" t="s">
        <v>426</v>
      </c>
      <c r="H43" s="7"/>
      <c r="I43" s="17"/>
      <c r="J43" s="17"/>
      <c r="K43" s="7"/>
      <c r="L43" s="7"/>
      <c r="M43" s="17"/>
      <c r="N43" s="17"/>
      <c r="O43" s="7"/>
      <c r="P43" s="7"/>
      <c r="Q43" s="7"/>
      <c r="R43" s="7"/>
      <c r="S43" s="7"/>
      <c r="T43" s="7"/>
      <c r="U43" s="11">
        <f>Table3[[#This Row],[E1Y]]+T$2</f>
        <v>2.36</v>
      </c>
      <c r="V43" s="11">
        <f>Table3[[#This Row],[E1TY]]+S$2</f>
        <v>2.2399999999999998</v>
      </c>
      <c r="W43" s="11">
        <f>P$2+Q$2*(Table3[[#This Row],[Effect 1 Y]]-1)</f>
        <v>2.96</v>
      </c>
      <c r="X43" s="11">
        <f>Table3[[#This Row],[E2Y]]+T$2</f>
        <v>2.0699999999999998</v>
      </c>
      <c r="Y43" s="11">
        <f>Table3[[#This Row],[E2TY]]+S$2</f>
        <v>1.9499999999999997</v>
      </c>
      <c r="Z43" s="11">
        <f>P$2+Q$2*(Table3[[#This Row],[Effect 2 Y]]-1)+R$2</f>
        <v>2.67</v>
      </c>
      <c r="AA43" s="11">
        <f>Table3[[#This Row],[E3Y]]+T$2</f>
        <v>2.2699999999999996</v>
      </c>
      <c r="AB43" s="11">
        <f>Table3[[#This Row],[E3TY]]+S$2</f>
        <v>2.1499999999999995</v>
      </c>
      <c r="AC43" s="20">
        <f>P$2+Q$2*(Table3[[#This Row],[Effect 3 Y]]-1)+2*R$2</f>
        <v>2.8699999999999997</v>
      </c>
    </row>
    <row r="44" spans="1:29" ht="150" x14ac:dyDescent="0.25">
      <c r="A44" s="9" t="s">
        <v>242</v>
      </c>
      <c r="B44" s="7" t="s">
        <v>53</v>
      </c>
      <c r="C44" s="7"/>
      <c r="D44" s="7">
        <v>1</v>
      </c>
      <c r="E44" s="17" t="s">
        <v>36</v>
      </c>
      <c r="F44" s="17"/>
      <c r="G44" s="17" t="s">
        <v>387</v>
      </c>
      <c r="H44" s="7"/>
      <c r="I44" s="17"/>
      <c r="J44" s="17"/>
      <c r="K44" s="7" t="s">
        <v>243</v>
      </c>
      <c r="L44" s="7"/>
      <c r="M44" s="7" t="s">
        <v>11</v>
      </c>
      <c r="N44" s="17"/>
      <c r="O44" s="7" t="s">
        <v>244</v>
      </c>
      <c r="P44" s="7"/>
      <c r="Q44" s="7"/>
      <c r="R44" s="7"/>
      <c r="S44" s="7"/>
      <c r="T44" s="7"/>
      <c r="U44" s="11">
        <f>Table3[[#This Row],[E1Y]]+T$2</f>
        <v>2.36</v>
      </c>
      <c r="V44" s="11">
        <f>Table3[[#This Row],[E1TY]]+S$2</f>
        <v>2.2399999999999998</v>
      </c>
      <c r="W44" s="11">
        <f>P$2+Q$2*(Table3[[#This Row],[Effect 1 Y]]-1)</f>
        <v>2.96</v>
      </c>
      <c r="X44" s="11">
        <f>Table3[[#This Row],[E2Y]]+T$2</f>
        <v>2.0699999999999998</v>
      </c>
      <c r="Y44" s="11">
        <f>Table3[[#This Row],[E2TY]]+S$2</f>
        <v>1.9499999999999997</v>
      </c>
      <c r="Z44" s="11">
        <f>P$2+Q$2*(Table3[[#This Row],[Effect 2 Y]]-1)+R$2</f>
        <v>2.67</v>
      </c>
      <c r="AA44" s="11">
        <f>Table3[[#This Row],[E3Y]]+T$2</f>
        <v>2.2699999999999996</v>
      </c>
      <c r="AB44" s="11">
        <f>Table3[[#This Row],[E3TY]]+S$2</f>
        <v>2.1499999999999995</v>
      </c>
      <c r="AC44" s="20">
        <f>P$2+Q$2*(Table3[[#This Row],[Effect 3 Y]]-1)+2*R$2</f>
        <v>2.8699999999999997</v>
      </c>
    </row>
    <row r="45" spans="1:29" ht="60" x14ac:dyDescent="0.25">
      <c r="A45" s="9" t="s">
        <v>245</v>
      </c>
      <c r="B45" s="7" t="s">
        <v>53</v>
      </c>
      <c r="C45" s="7"/>
      <c r="D45" s="7">
        <v>1</v>
      </c>
      <c r="E45" s="7" t="s">
        <v>11</v>
      </c>
      <c r="F45" s="17"/>
      <c r="G45" s="17" t="s">
        <v>246</v>
      </c>
      <c r="H45" s="7"/>
      <c r="I45" s="17"/>
      <c r="J45" s="17"/>
      <c r="K45" s="7" t="s">
        <v>247</v>
      </c>
      <c r="L45" s="7"/>
      <c r="M45" s="17"/>
      <c r="N45" s="17"/>
      <c r="O45" s="7"/>
      <c r="P45" s="7"/>
      <c r="Q45" s="7"/>
      <c r="R45" s="7"/>
      <c r="S45" s="7"/>
      <c r="T45" s="7"/>
      <c r="U45" s="11">
        <f>Table3[[#This Row],[E1Y]]+T$2</f>
        <v>2.36</v>
      </c>
      <c r="V45" s="11">
        <f>Table3[[#This Row],[E1TY]]+S$2</f>
        <v>2.2399999999999998</v>
      </c>
      <c r="W45" s="11">
        <f>P$2+Q$2*(Table3[[#This Row],[Effect 1 Y]]-1)</f>
        <v>2.96</v>
      </c>
      <c r="X45" s="11">
        <f>Table3[[#This Row],[E2Y]]+T$2</f>
        <v>2.0699999999999998</v>
      </c>
      <c r="Y45" s="11">
        <f>Table3[[#This Row],[E2TY]]+S$2</f>
        <v>1.9499999999999997</v>
      </c>
      <c r="Z45" s="11">
        <f>P$2+Q$2*(Table3[[#This Row],[Effect 2 Y]]-1)+R$2</f>
        <v>2.67</v>
      </c>
      <c r="AA45" s="11">
        <f>Table3[[#This Row],[E3Y]]+T$2</f>
        <v>2.2699999999999996</v>
      </c>
      <c r="AB45" s="11">
        <f>Table3[[#This Row],[E3TY]]+S$2</f>
        <v>2.1499999999999995</v>
      </c>
      <c r="AC45" s="20">
        <f>P$2+Q$2*(Table3[[#This Row],[Effect 3 Y]]-1)+2*R$2</f>
        <v>2.8699999999999997</v>
      </c>
    </row>
    <row r="46" spans="1:29" ht="75" x14ac:dyDescent="0.25">
      <c r="A46" s="9" t="s">
        <v>248</v>
      </c>
      <c r="B46" s="7" t="s">
        <v>53</v>
      </c>
      <c r="C46" s="7" t="s">
        <v>249</v>
      </c>
      <c r="D46" s="7">
        <v>1</v>
      </c>
      <c r="E46" s="17" t="s">
        <v>56</v>
      </c>
      <c r="F46" s="17"/>
      <c r="G46" s="17" t="s">
        <v>366</v>
      </c>
      <c r="H46" s="7"/>
      <c r="I46" s="17"/>
      <c r="J46" s="17"/>
      <c r="K46" s="7"/>
      <c r="L46" s="7"/>
      <c r="M46" s="17"/>
      <c r="N46" s="17"/>
      <c r="O46" s="7"/>
      <c r="P46" s="7"/>
      <c r="Q46" s="7"/>
      <c r="R46" s="7"/>
      <c r="S46" s="7"/>
      <c r="T46" s="7"/>
      <c r="U46" s="11">
        <f>Table3[[#This Row],[E1Y]]+T$2</f>
        <v>2.36</v>
      </c>
      <c r="V46" s="11">
        <f>Table3[[#This Row],[E1TY]]+S$2</f>
        <v>2.2399999999999998</v>
      </c>
      <c r="W46" s="11">
        <f>P$2+Q$2*(Table3[[#This Row],[Effect 1 Y]]-1)</f>
        <v>2.96</v>
      </c>
      <c r="X46" s="11">
        <f>Table3[[#This Row],[E2Y]]+T$2</f>
        <v>2.0699999999999998</v>
      </c>
      <c r="Y46" s="11">
        <f>Table3[[#This Row],[E2TY]]+S$2</f>
        <v>1.9499999999999997</v>
      </c>
      <c r="Z46" s="11">
        <f>P$2+Q$2*(Table3[[#This Row],[Effect 2 Y]]-1)+R$2</f>
        <v>2.67</v>
      </c>
      <c r="AA46" s="11">
        <f>Table3[[#This Row],[E3Y]]+T$2</f>
        <v>2.2699999999999996</v>
      </c>
      <c r="AB46" s="11">
        <f>Table3[[#This Row],[E3TY]]+S$2</f>
        <v>2.1499999999999995</v>
      </c>
      <c r="AC46" s="20">
        <f>P$2+Q$2*(Table3[[#This Row],[Effect 3 Y]]-1)+2*R$2</f>
        <v>2.8699999999999997</v>
      </c>
    </row>
    <row r="47" spans="1:29" ht="105" x14ac:dyDescent="0.25">
      <c r="A47" s="9" t="s">
        <v>250</v>
      </c>
      <c r="B47" s="7" t="s">
        <v>53</v>
      </c>
      <c r="C47" s="7"/>
      <c r="D47" s="7">
        <v>1</v>
      </c>
      <c r="E47" s="17" t="s">
        <v>36</v>
      </c>
      <c r="F47" s="17"/>
      <c r="G47" s="21" t="s">
        <v>381</v>
      </c>
      <c r="H47" s="7"/>
      <c r="I47" s="17" t="s">
        <v>36</v>
      </c>
      <c r="J47" s="17"/>
      <c r="K47" s="9" t="s">
        <v>427</v>
      </c>
      <c r="L47" s="7"/>
      <c r="M47" s="17"/>
      <c r="N47" s="17"/>
      <c r="O47" s="7"/>
      <c r="P47" s="7"/>
      <c r="Q47" s="7"/>
      <c r="R47" s="7"/>
      <c r="S47" s="7"/>
      <c r="T47" s="7"/>
      <c r="U47" s="11">
        <f>Table3[[#This Row],[E1Y]]+T$2</f>
        <v>2.36</v>
      </c>
      <c r="V47" s="11">
        <f>Table3[[#This Row],[E1TY]]+S$2</f>
        <v>2.2399999999999998</v>
      </c>
      <c r="W47" s="11">
        <f>P$2+Q$2*(Table3[[#This Row],[Effect 1 Y]]-1)</f>
        <v>2.96</v>
      </c>
      <c r="X47" s="11">
        <f>Table3[[#This Row],[E2Y]]+T$2</f>
        <v>2.0699999999999998</v>
      </c>
      <c r="Y47" s="11">
        <f>Table3[[#This Row],[E2TY]]+S$2</f>
        <v>1.9499999999999997</v>
      </c>
      <c r="Z47" s="11">
        <f>P$2+Q$2*(Table3[[#This Row],[Effect 2 Y]]-1)+R$2</f>
        <v>2.67</v>
      </c>
      <c r="AA47" s="11">
        <f>Table3[[#This Row],[E3Y]]+T$2</f>
        <v>2.2699999999999996</v>
      </c>
      <c r="AB47" s="11">
        <f>Table3[[#This Row],[E3TY]]+S$2</f>
        <v>2.1499999999999995</v>
      </c>
      <c r="AC47" s="20">
        <f>P$2+Q$2*(Table3[[#This Row],[Effect 3 Y]]-1)+2*R$2</f>
        <v>2.8699999999999997</v>
      </c>
    </row>
    <row r="48" spans="1:29" ht="45" x14ac:dyDescent="0.25">
      <c r="A48" s="9" t="s">
        <v>251</v>
      </c>
      <c r="B48" s="7" t="s">
        <v>53</v>
      </c>
      <c r="C48" s="7"/>
      <c r="D48" s="7">
        <v>1</v>
      </c>
      <c r="E48" s="17" t="s">
        <v>36</v>
      </c>
      <c r="F48" s="17"/>
      <c r="G48" s="17" t="s">
        <v>428</v>
      </c>
      <c r="H48" s="7"/>
      <c r="I48" s="17"/>
      <c r="J48" s="17"/>
      <c r="K48" s="7"/>
      <c r="L48" s="7"/>
      <c r="M48" s="17"/>
      <c r="N48" s="17"/>
      <c r="O48" s="7"/>
      <c r="P48" s="7"/>
      <c r="Q48" s="7"/>
      <c r="R48" s="7"/>
      <c r="S48" s="7"/>
      <c r="T48" s="7"/>
      <c r="U48" s="11">
        <f>Table3[[#This Row],[E1Y]]+T$2</f>
        <v>2.36</v>
      </c>
      <c r="V48" s="11">
        <f>Table3[[#This Row],[E1TY]]+S$2</f>
        <v>2.2399999999999998</v>
      </c>
      <c r="W48" s="11">
        <f>P$2+Q$2*(Table3[[#This Row],[Effect 1 Y]]-1)</f>
        <v>2.96</v>
      </c>
      <c r="X48" s="11">
        <f>Table3[[#This Row],[E2Y]]+T$2</f>
        <v>2.0699999999999998</v>
      </c>
      <c r="Y48" s="11">
        <f>Table3[[#This Row],[E2TY]]+S$2</f>
        <v>1.9499999999999997</v>
      </c>
      <c r="Z48" s="11">
        <f>P$2+Q$2*(Table3[[#This Row],[Effect 2 Y]]-1)+R$2</f>
        <v>2.67</v>
      </c>
      <c r="AA48" s="11">
        <f>Table3[[#This Row],[E3Y]]+T$2</f>
        <v>2.2699999999999996</v>
      </c>
      <c r="AB48" s="11">
        <f>Table3[[#This Row],[E3TY]]+S$2</f>
        <v>2.1499999999999995</v>
      </c>
      <c r="AC48" s="20">
        <f>P$2+Q$2*(Table3[[#This Row],[Effect 3 Y]]-1)+2*R$2</f>
        <v>2.8699999999999997</v>
      </c>
    </row>
    <row r="49" spans="1:29" ht="60" x14ac:dyDescent="0.25">
      <c r="A49" s="9" t="s">
        <v>252</v>
      </c>
      <c r="B49" s="7" t="s">
        <v>53</v>
      </c>
      <c r="C49" s="7"/>
      <c r="D49" s="7">
        <v>1</v>
      </c>
      <c r="E49" s="17" t="s">
        <v>36</v>
      </c>
      <c r="F49" s="17"/>
      <c r="G49" s="17" t="s">
        <v>429</v>
      </c>
      <c r="H49" s="7"/>
      <c r="I49" s="7" t="s">
        <v>11</v>
      </c>
      <c r="J49" s="17"/>
      <c r="K49" s="7" t="s">
        <v>253</v>
      </c>
      <c r="L49" s="7"/>
      <c r="M49" s="17"/>
      <c r="N49" s="17"/>
      <c r="O49" s="7"/>
      <c r="P49" s="7"/>
      <c r="Q49" s="7"/>
      <c r="R49" s="7"/>
      <c r="S49" s="7"/>
      <c r="T49" s="7"/>
      <c r="U49" s="11">
        <f>Table3[[#This Row],[E1Y]]+T$2</f>
        <v>2.36</v>
      </c>
      <c r="V49" s="11">
        <f>Table3[[#This Row],[E1TY]]+S$2</f>
        <v>2.2399999999999998</v>
      </c>
      <c r="W49" s="11">
        <f>P$2+Q$2*(Table3[[#This Row],[Effect 1 Y]]-1)</f>
        <v>2.96</v>
      </c>
      <c r="X49" s="11">
        <f>Table3[[#This Row],[E2Y]]+T$2</f>
        <v>2.0699999999999998</v>
      </c>
      <c r="Y49" s="11">
        <f>Table3[[#This Row],[E2TY]]+S$2</f>
        <v>1.9499999999999997</v>
      </c>
      <c r="Z49" s="11">
        <f>P$2+Q$2*(Table3[[#This Row],[Effect 2 Y]]-1)+R$2</f>
        <v>2.67</v>
      </c>
      <c r="AA49" s="11">
        <f>Table3[[#This Row],[E3Y]]+T$2</f>
        <v>2.2699999999999996</v>
      </c>
      <c r="AB49" s="11">
        <f>Table3[[#This Row],[E3TY]]+S$2</f>
        <v>2.1499999999999995</v>
      </c>
      <c r="AC49" s="20">
        <f>P$2+Q$2*(Table3[[#This Row],[Effect 3 Y]]-1)+2*R$2</f>
        <v>2.8699999999999997</v>
      </c>
    </row>
    <row r="50" spans="1:29" ht="60" x14ac:dyDescent="0.25">
      <c r="A50" s="9" t="s">
        <v>254</v>
      </c>
      <c r="B50" s="7" t="s">
        <v>53</v>
      </c>
      <c r="C50" s="7"/>
      <c r="D50" s="7">
        <v>1</v>
      </c>
      <c r="E50" s="7" t="s">
        <v>11</v>
      </c>
      <c r="F50" s="17"/>
      <c r="G50" s="21" t="s">
        <v>255</v>
      </c>
      <c r="H50" s="7"/>
      <c r="I50" s="17"/>
      <c r="J50" s="17"/>
      <c r="K50" s="9"/>
      <c r="L50" s="7"/>
      <c r="M50" s="17"/>
      <c r="N50" s="17"/>
      <c r="O50" s="7"/>
      <c r="P50" s="7"/>
      <c r="Q50" s="7"/>
      <c r="R50" s="7"/>
      <c r="S50" s="7"/>
      <c r="T50" s="7"/>
      <c r="U50" s="11">
        <f>Table3[[#This Row],[E1Y]]+T$2</f>
        <v>2.36</v>
      </c>
      <c r="V50" s="11">
        <f>Table3[[#This Row],[E1TY]]+S$2</f>
        <v>2.2399999999999998</v>
      </c>
      <c r="W50" s="11">
        <f>P$2+Q$2*(Table3[[#This Row],[Effect 1 Y]]-1)</f>
        <v>2.96</v>
      </c>
      <c r="X50" s="11">
        <f>Table3[[#This Row],[E2Y]]+T$2</f>
        <v>2.0699999999999998</v>
      </c>
      <c r="Y50" s="11">
        <f>Table3[[#This Row],[E2TY]]+S$2</f>
        <v>1.9499999999999997</v>
      </c>
      <c r="Z50" s="11">
        <f>P$2+Q$2*(Table3[[#This Row],[Effect 2 Y]]-1)+R$2</f>
        <v>2.67</v>
      </c>
      <c r="AA50" s="11">
        <f>Table3[[#This Row],[E3Y]]+T$2</f>
        <v>2.2699999999999996</v>
      </c>
      <c r="AB50" s="11">
        <f>Table3[[#This Row],[E3TY]]+S$2</f>
        <v>2.1499999999999995</v>
      </c>
      <c r="AC50" s="20">
        <f>P$2+Q$2*(Table3[[#This Row],[Effect 3 Y]]-1)+2*R$2</f>
        <v>2.8699999999999997</v>
      </c>
    </row>
    <row r="51" spans="1:29" ht="105" x14ac:dyDescent="0.25">
      <c r="A51" s="9" t="s">
        <v>256</v>
      </c>
      <c r="B51" s="7" t="s">
        <v>53</v>
      </c>
      <c r="C51" s="9"/>
      <c r="D51" s="7">
        <v>1</v>
      </c>
      <c r="E51" s="17" t="s">
        <v>36</v>
      </c>
      <c r="F51" s="17"/>
      <c r="G51" s="21" t="s">
        <v>430</v>
      </c>
      <c r="H51" s="7"/>
      <c r="I51" s="17" t="s">
        <v>36</v>
      </c>
      <c r="J51" s="17"/>
      <c r="K51" s="9" t="s">
        <v>378</v>
      </c>
      <c r="L51" s="7"/>
      <c r="M51" s="17"/>
      <c r="N51" s="17"/>
      <c r="O51" s="9"/>
      <c r="P51" s="7"/>
      <c r="Q51" s="7"/>
      <c r="R51" s="7"/>
      <c r="S51" s="7"/>
      <c r="T51" s="7"/>
      <c r="U51" s="11">
        <f>Table3[[#This Row],[E1Y]]+T$2</f>
        <v>2.36</v>
      </c>
      <c r="V51" s="11">
        <f>Table3[[#This Row],[E1TY]]+S$2</f>
        <v>2.2399999999999998</v>
      </c>
      <c r="W51" s="11">
        <f>P$2+Q$2*(Table3[[#This Row],[Effect 1 Y]]-1)</f>
        <v>2.96</v>
      </c>
      <c r="X51" s="11">
        <f>Table3[[#This Row],[E2Y]]+T$2</f>
        <v>2.0699999999999998</v>
      </c>
      <c r="Y51" s="11">
        <f>Table3[[#This Row],[E2TY]]+S$2</f>
        <v>1.9499999999999997</v>
      </c>
      <c r="Z51" s="11">
        <f>P$2+Q$2*(Table3[[#This Row],[Effect 2 Y]]-1)+R$2</f>
        <v>2.67</v>
      </c>
      <c r="AA51" s="11">
        <f>Table3[[#This Row],[E3Y]]+T$2</f>
        <v>2.2699999999999996</v>
      </c>
      <c r="AB51" s="11">
        <f>Table3[[#This Row],[E3TY]]+S$2</f>
        <v>2.1499999999999995</v>
      </c>
      <c r="AC51" s="20">
        <f>P$2+Q$2*(Table3[[#This Row],[Effect 3 Y]]-1)+2*R$2</f>
        <v>2.8699999999999997</v>
      </c>
    </row>
    <row r="52" spans="1:29" ht="45" x14ac:dyDescent="0.25">
      <c r="A52" s="9" t="s">
        <v>257</v>
      </c>
      <c r="B52" s="7" t="s">
        <v>53</v>
      </c>
      <c r="C52" s="9"/>
      <c r="D52" s="7">
        <v>1</v>
      </c>
      <c r="E52" s="7" t="s">
        <v>11</v>
      </c>
      <c r="F52" s="17"/>
      <c r="G52" s="21" t="s">
        <v>258</v>
      </c>
      <c r="H52" s="7"/>
      <c r="I52" s="17"/>
      <c r="J52" s="17"/>
      <c r="K52" s="9"/>
      <c r="L52" s="7"/>
      <c r="M52" s="17"/>
      <c r="N52" s="17"/>
      <c r="O52" s="9"/>
      <c r="P52" s="7"/>
      <c r="Q52" s="7"/>
      <c r="R52" s="7"/>
      <c r="S52" s="7"/>
      <c r="T52" s="7"/>
      <c r="U52" s="11">
        <f>Table3[[#This Row],[E1Y]]+T$2</f>
        <v>2.36</v>
      </c>
      <c r="V52" s="11">
        <f>Table3[[#This Row],[E1TY]]+S$2</f>
        <v>2.2399999999999998</v>
      </c>
      <c r="W52" s="11">
        <f>P$2+Q$2*(Table3[[#This Row],[Effect 1 Y]]-1)</f>
        <v>2.96</v>
      </c>
      <c r="X52" s="11">
        <f>Table3[[#This Row],[E2Y]]+T$2</f>
        <v>2.0699999999999998</v>
      </c>
      <c r="Y52" s="11">
        <f>Table3[[#This Row],[E2TY]]+S$2</f>
        <v>1.9499999999999997</v>
      </c>
      <c r="Z52" s="11">
        <f>P$2+Q$2*(Table3[[#This Row],[Effect 2 Y]]-1)+R$2</f>
        <v>2.67</v>
      </c>
      <c r="AA52" s="11">
        <f>Table3[[#This Row],[E3Y]]+T$2</f>
        <v>2.2699999999999996</v>
      </c>
      <c r="AB52" s="11">
        <f>Table3[[#This Row],[E3TY]]+S$2</f>
        <v>2.1499999999999995</v>
      </c>
      <c r="AC52" s="20">
        <f>P$2+Q$2*(Table3[[#This Row],[Effect 3 Y]]-1)+2*R$2</f>
        <v>2.8699999999999997</v>
      </c>
    </row>
    <row r="53" spans="1:29" ht="90" x14ac:dyDescent="0.25">
      <c r="A53" s="9" t="s">
        <v>259</v>
      </c>
      <c r="B53" s="7" t="s">
        <v>53</v>
      </c>
      <c r="C53" s="9"/>
      <c r="D53" s="7">
        <v>1</v>
      </c>
      <c r="E53" s="7" t="s">
        <v>11</v>
      </c>
      <c r="F53" s="17"/>
      <c r="G53" s="21" t="s">
        <v>260</v>
      </c>
      <c r="H53" s="7"/>
      <c r="I53" s="17"/>
      <c r="J53" s="17"/>
      <c r="K53" s="9"/>
      <c r="L53" s="7"/>
      <c r="M53" s="17"/>
      <c r="N53" s="17"/>
      <c r="O53" s="9"/>
      <c r="P53" s="7"/>
      <c r="Q53" s="7"/>
      <c r="R53" s="7"/>
      <c r="S53" s="7"/>
      <c r="T53" s="7"/>
      <c r="U53" s="11">
        <f>Table3[[#This Row],[E1Y]]+T$2</f>
        <v>2.36</v>
      </c>
      <c r="V53" s="11">
        <f>Table3[[#This Row],[E1TY]]+S$2</f>
        <v>2.2399999999999998</v>
      </c>
      <c r="W53" s="11">
        <f>P$2+Q$2*(Table3[[#This Row],[Effect 1 Y]]-1)</f>
        <v>2.96</v>
      </c>
      <c r="X53" s="11">
        <f>Table3[[#This Row],[E2Y]]+T$2</f>
        <v>2.0699999999999998</v>
      </c>
      <c r="Y53" s="11">
        <f>Table3[[#This Row],[E2TY]]+S$2</f>
        <v>1.9499999999999997</v>
      </c>
      <c r="Z53" s="11">
        <f>P$2+Q$2*(Table3[[#This Row],[Effect 2 Y]]-1)+R$2</f>
        <v>2.67</v>
      </c>
      <c r="AA53" s="11">
        <f>Table3[[#This Row],[E3Y]]+T$2</f>
        <v>2.2699999999999996</v>
      </c>
      <c r="AB53" s="11">
        <f>Table3[[#This Row],[E3TY]]+S$2</f>
        <v>2.1499999999999995</v>
      </c>
      <c r="AC53" s="20">
        <f>P$2+Q$2*(Table3[[#This Row],[Effect 3 Y]]-1)+2*R$2</f>
        <v>2.8699999999999997</v>
      </c>
    </row>
    <row r="54" spans="1:29" ht="30" x14ac:dyDescent="0.25">
      <c r="A54" s="9" t="s">
        <v>261</v>
      </c>
      <c r="B54" s="7" t="s">
        <v>53</v>
      </c>
      <c r="C54" s="9"/>
      <c r="D54" s="7">
        <v>1</v>
      </c>
      <c r="E54" s="7" t="s">
        <v>11</v>
      </c>
      <c r="F54" s="17"/>
      <c r="G54" s="21" t="s">
        <v>262</v>
      </c>
      <c r="H54" s="7"/>
      <c r="I54" s="17"/>
      <c r="J54" s="17"/>
      <c r="K54" s="9"/>
      <c r="L54" s="7"/>
      <c r="M54" s="17"/>
      <c r="N54" s="17"/>
      <c r="O54" s="9"/>
      <c r="P54" s="7"/>
      <c r="Q54" s="7"/>
      <c r="R54" s="7"/>
      <c r="S54" s="7"/>
      <c r="T54" s="7"/>
      <c r="U54" s="11">
        <f>Table3[[#This Row],[E1Y]]+T$2</f>
        <v>2.36</v>
      </c>
      <c r="V54" s="11">
        <f>Table3[[#This Row],[E1TY]]+S$2</f>
        <v>2.2399999999999998</v>
      </c>
      <c r="W54" s="11">
        <f>P$2+Q$2*(Table3[[#This Row],[Effect 1 Y]]-1)</f>
        <v>2.96</v>
      </c>
      <c r="X54" s="11">
        <f>Table3[[#This Row],[E2Y]]+T$2</f>
        <v>2.0699999999999998</v>
      </c>
      <c r="Y54" s="11">
        <f>Table3[[#This Row],[E2TY]]+S$2</f>
        <v>1.9499999999999997</v>
      </c>
      <c r="Z54" s="11">
        <f>P$2+Q$2*(Table3[[#This Row],[Effect 2 Y]]-1)+R$2</f>
        <v>2.67</v>
      </c>
      <c r="AA54" s="11">
        <f>Table3[[#This Row],[E3Y]]+T$2</f>
        <v>2.2699999999999996</v>
      </c>
      <c r="AB54" s="11">
        <f>Table3[[#This Row],[E3TY]]+S$2</f>
        <v>2.1499999999999995</v>
      </c>
      <c r="AC54" s="20">
        <f>P$2+Q$2*(Table3[[#This Row],[Effect 3 Y]]-1)+2*R$2</f>
        <v>2.8699999999999997</v>
      </c>
    </row>
    <row r="55" spans="1:29" ht="75" x14ac:dyDescent="0.25">
      <c r="A55" s="9" t="s">
        <v>263</v>
      </c>
      <c r="B55" s="7" t="s">
        <v>53</v>
      </c>
      <c r="C55" s="9"/>
      <c r="D55" s="7">
        <v>1</v>
      </c>
      <c r="E55" s="7" t="s">
        <v>11</v>
      </c>
      <c r="F55" s="17"/>
      <c r="G55" s="21" t="s">
        <v>264</v>
      </c>
      <c r="H55" s="7"/>
      <c r="I55" s="17" t="s">
        <v>36</v>
      </c>
      <c r="J55" s="17"/>
      <c r="K55" s="9" t="s">
        <v>388</v>
      </c>
      <c r="L55" s="7"/>
      <c r="M55" s="17"/>
      <c r="N55" s="17"/>
      <c r="O55" s="9"/>
      <c r="P55" s="7"/>
      <c r="Q55" s="7"/>
      <c r="R55" s="7"/>
      <c r="S55" s="7"/>
      <c r="T55" s="7"/>
      <c r="U55" s="11">
        <f>Table3[[#This Row],[E1Y]]+T$2</f>
        <v>2.36</v>
      </c>
      <c r="V55" s="11">
        <f>Table3[[#This Row],[E1TY]]+S$2</f>
        <v>2.2399999999999998</v>
      </c>
      <c r="W55" s="11">
        <f>P$2+Q$2*(Table3[[#This Row],[Effect 1 Y]]-1)</f>
        <v>2.96</v>
      </c>
      <c r="X55" s="11">
        <f>Table3[[#This Row],[E2Y]]+T$2</f>
        <v>2.0699999999999998</v>
      </c>
      <c r="Y55" s="11">
        <f>Table3[[#This Row],[E2TY]]+S$2</f>
        <v>1.9499999999999997</v>
      </c>
      <c r="Z55" s="11">
        <f>P$2+Q$2*(Table3[[#This Row],[Effect 2 Y]]-1)+R$2</f>
        <v>2.67</v>
      </c>
      <c r="AA55" s="11">
        <f>Table3[[#This Row],[E3Y]]+T$2</f>
        <v>2.2699999999999996</v>
      </c>
      <c r="AB55" s="11">
        <f>Table3[[#This Row],[E3TY]]+S$2</f>
        <v>2.1499999999999995</v>
      </c>
      <c r="AC55" s="20">
        <f>P$2+Q$2*(Table3[[#This Row],[Effect 3 Y]]-1)+2*R$2</f>
        <v>2.8699999999999997</v>
      </c>
    </row>
    <row r="56" spans="1:29" ht="45" x14ac:dyDescent="0.25">
      <c r="A56" s="9" t="s">
        <v>265</v>
      </c>
      <c r="B56" s="7" t="s">
        <v>53</v>
      </c>
      <c r="C56" s="9"/>
      <c r="D56" s="7">
        <v>1</v>
      </c>
      <c r="E56" s="17" t="s">
        <v>36</v>
      </c>
      <c r="F56" s="17"/>
      <c r="G56" s="21" t="s">
        <v>431</v>
      </c>
      <c r="H56" s="7"/>
      <c r="I56" s="17"/>
      <c r="J56" s="17"/>
      <c r="K56" s="9"/>
      <c r="L56" s="7"/>
      <c r="M56" s="17"/>
      <c r="N56" s="17"/>
      <c r="O56" s="9"/>
      <c r="P56" s="15"/>
      <c r="Q56" s="15"/>
      <c r="R56" s="15"/>
      <c r="S56" s="15"/>
      <c r="T56" s="15"/>
      <c r="U56" s="11">
        <f>Table3[[#This Row],[E1Y]]+T$2</f>
        <v>2.36</v>
      </c>
      <c r="V56" s="11">
        <f>Table3[[#This Row],[E1TY]]+S$2</f>
        <v>2.2399999999999998</v>
      </c>
      <c r="W56" s="11">
        <f>P$2+Q$2*(Table3[[#This Row],[Effect 1 Y]]-1)</f>
        <v>2.96</v>
      </c>
      <c r="X56" s="11">
        <f>Table3[[#This Row],[E2Y]]+T$2</f>
        <v>2.0699999999999998</v>
      </c>
      <c r="Y56" s="11">
        <f>Table3[[#This Row],[E2TY]]+S$2</f>
        <v>1.9499999999999997</v>
      </c>
      <c r="Z56" s="11">
        <f>P$2+Q$2*(Table3[[#This Row],[Effect 2 Y]]-1)+R$2</f>
        <v>2.67</v>
      </c>
      <c r="AA56" s="11">
        <f>Table3[[#This Row],[E3Y]]+T$2</f>
        <v>2.2699999999999996</v>
      </c>
      <c r="AB56" s="11">
        <f>Table3[[#This Row],[E3TY]]+S$2</f>
        <v>2.1499999999999995</v>
      </c>
      <c r="AC56" s="20">
        <f>P$2+Q$2*(Table3[[#This Row],[Effect 3 Y]]-1)+2*R$2</f>
        <v>2.8699999999999997</v>
      </c>
    </row>
    <row r="57" spans="1:29" ht="60" x14ac:dyDescent="0.25">
      <c r="A57" s="9" t="s">
        <v>266</v>
      </c>
      <c r="B57" s="7" t="s">
        <v>53</v>
      </c>
      <c r="C57" s="9"/>
      <c r="D57" s="7">
        <v>1</v>
      </c>
      <c r="E57" s="17" t="s">
        <v>36</v>
      </c>
      <c r="F57" s="17"/>
      <c r="G57" s="21" t="s">
        <v>348</v>
      </c>
      <c r="H57" s="7"/>
      <c r="I57" s="7" t="s">
        <v>11</v>
      </c>
      <c r="J57" s="16"/>
      <c r="K57" s="9" t="s">
        <v>267</v>
      </c>
      <c r="L57" s="7"/>
      <c r="M57" s="17"/>
      <c r="N57" s="17"/>
      <c r="O57" s="9"/>
      <c r="P57" s="7"/>
      <c r="Q57" s="7"/>
      <c r="R57" s="7"/>
      <c r="S57" s="7"/>
      <c r="T57" s="7"/>
      <c r="U57" s="7">
        <f>Table3[[#This Row],[E1Y]]+T$2</f>
        <v>2.36</v>
      </c>
      <c r="V57" s="7">
        <f>Table3[[#This Row],[E1TY]]+S$2</f>
        <v>2.2399999999999998</v>
      </c>
      <c r="W57" s="7">
        <f>P$2+Q$2*(Table3[[#This Row],[Effect 1 Y]]-1)</f>
        <v>2.96</v>
      </c>
      <c r="X57" s="7">
        <f>Table3[[#This Row],[E2Y]]+T$2</f>
        <v>2.0699999999999998</v>
      </c>
      <c r="Y57" s="7">
        <f>Table3[[#This Row],[E2TY]]+S$2</f>
        <v>1.9499999999999997</v>
      </c>
      <c r="Z57" s="7">
        <f>P$2+Q$2*(Table3[[#This Row],[Effect 2 Y]]-1)+R$2</f>
        <v>2.67</v>
      </c>
      <c r="AA57" s="7">
        <f>Table3[[#This Row],[E3Y]]+T$2</f>
        <v>2.2699999999999996</v>
      </c>
      <c r="AB57" s="7">
        <f>Table3[[#This Row],[E3TY]]+S$2</f>
        <v>2.1499999999999995</v>
      </c>
      <c r="AC57" s="17">
        <f>P$2+Q$2*(Table3[[#This Row],[Effect 3 Y]]-1)+2*R$2</f>
        <v>2.8699999999999997</v>
      </c>
    </row>
    <row r="58" spans="1:29" ht="75" x14ac:dyDescent="0.25">
      <c r="A58" s="9" t="s">
        <v>268</v>
      </c>
      <c r="B58" s="7" t="s">
        <v>53</v>
      </c>
      <c r="C58" s="9"/>
      <c r="D58" s="7">
        <v>1</v>
      </c>
      <c r="E58" s="7" t="s">
        <v>11</v>
      </c>
      <c r="F58" s="17"/>
      <c r="G58" s="21" t="s">
        <v>269</v>
      </c>
      <c r="H58" s="7"/>
      <c r="I58" s="17" t="s">
        <v>36</v>
      </c>
      <c r="J58" s="16"/>
      <c r="K58" s="9" t="s">
        <v>382</v>
      </c>
      <c r="L58" s="7"/>
      <c r="M58" s="17"/>
      <c r="N58" s="17"/>
      <c r="O58" s="9"/>
      <c r="P58" s="7"/>
      <c r="Q58" s="7"/>
      <c r="R58" s="7"/>
      <c r="S58" s="7"/>
      <c r="T58" s="7"/>
      <c r="U58" s="7">
        <f>Table3[[#This Row],[E1Y]]+T$2</f>
        <v>2.36</v>
      </c>
      <c r="V58" s="7">
        <f>Table3[[#This Row],[E1TY]]+S$2</f>
        <v>2.2399999999999998</v>
      </c>
      <c r="W58" s="7">
        <f>P$2+Q$2*(Table3[[#This Row],[Effect 1 Y]]-1)</f>
        <v>2.96</v>
      </c>
      <c r="X58" s="7">
        <f>Table3[[#This Row],[E2Y]]+T$2</f>
        <v>2.0699999999999998</v>
      </c>
      <c r="Y58" s="7">
        <f>Table3[[#This Row],[E2TY]]+S$2</f>
        <v>1.9499999999999997</v>
      </c>
      <c r="Z58" s="7">
        <f>P$2+Q$2*(Table3[[#This Row],[Effect 2 Y]]-1)+R$2</f>
        <v>2.67</v>
      </c>
      <c r="AA58" s="7">
        <f>Table3[[#This Row],[E3Y]]+T$2</f>
        <v>2.2699999999999996</v>
      </c>
      <c r="AB58" s="7">
        <f>Table3[[#This Row],[E3TY]]+S$2</f>
        <v>2.1499999999999995</v>
      </c>
      <c r="AC58" s="17">
        <f>P$2+Q$2*(Table3[[#This Row],[Effect 3 Y]]-1)+2*R$2</f>
        <v>2.8699999999999997</v>
      </c>
    </row>
    <row r="59" spans="1:29" ht="60" x14ac:dyDescent="0.25">
      <c r="A59" s="9" t="s">
        <v>270</v>
      </c>
      <c r="B59" s="7" t="s">
        <v>53</v>
      </c>
      <c r="C59" s="9"/>
      <c r="D59" s="7">
        <v>1</v>
      </c>
      <c r="E59" s="17" t="s">
        <v>36</v>
      </c>
      <c r="F59" s="17"/>
      <c r="G59" s="21" t="s">
        <v>349</v>
      </c>
      <c r="H59" s="7"/>
      <c r="I59" s="16" t="s">
        <v>56</v>
      </c>
      <c r="J59" s="16"/>
      <c r="K59" s="9" t="s">
        <v>271</v>
      </c>
      <c r="L59" s="7"/>
      <c r="M59" s="17"/>
      <c r="N59" s="17"/>
      <c r="O59" s="9"/>
      <c r="P59" s="7"/>
      <c r="Q59" s="7"/>
      <c r="R59" s="7"/>
      <c r="S59" s="7"/>
      <c r="T59" s="7"/>
      <c r="U59" s="7">
        <f>Table3[[#This Row],[E1Y]]+T$2</f>
        <v>2.36</v>
      </c>
      <c r="V59" s="7">
        <f>Table3[[#This Row],[E1TY]]+S$2</f>
        <v>2.2399999999999998</v>
      </c>
      <c r="W59" s="7">
        <f>P$2+Q$2*(Table3[[#This Row],[Effect 1 Y]]-1)</f>
        <v>2.96</v>
      </c>
      <c r="X59" s="7">
        <f>Table3[[#This Row],[E2Y]]+T$2</f>
        <v>2.0699999999999998</v>
      </c>
      <c r="Y59" s="7">
        <f>Table3[[#This Row],[E2TY]]+S$2</f>
        <v>1.9499999999999997</v>
      </c>
      <c r="Z59" s="7">
        <f>P$2+Q$2*(Table3[[#This Row],[Effect 2 Y]]-1)+R$2</f>
        <v>2.67</v>
      </c>
      <c r="AA59" s="7">
        <f>Table3[[#This Row],[E3Y]]+T$2</f>
        <v>2.2699999999999996</v>
      </c>
      <c r="AB59" s="7">
        <f>Table3[[#This Row],[E3TY]]+S$2</f>
        <v>2.1499999999999995</v>
      </c>
      <c r="AC59" s="17">
        <f>P$2+Q$2*(Table3[[#This Row],[Effect 3 Y]]-1)+2*R$2</f>
        <v>2.8699999999999997</v>
      </c>
    </row>
    <row r="60" spans="1:29" ht="45" x14ac:dyDescent="0.25">
      <c r="A60" s="9" t="s">
        <v>272</v>
      </c>
      <c r="B60" s="7" t="s">
        <v>53</v>
      </c>
      <c r="C60" s="9"/>
      <c r="D60" s="7">
        <v>1</v>
      </c>
      <c r="E60" s="17" t="s">
        <v>36</v>
      </c>
      <c r="F60" s="17"/>
      <c r="G60" s="21" t="s">
        <v>432</v>
      </c>
      <c r="H60" s="7"/>
      <c r="I60" s="16"/>
      <c r="J60" s="16"/>
      <c r="K60" s="9"/>
      <c r="L60" s="7"/>
      <c r="M60" s="17"/>
      <c r="N60" s="17"/>
      <c r="O60" s="9"/>
      <c r="P60" s="7"/>
      <c r="Q60" s="7"/>
      <c r="R60" s="7"/>
      <c r="S60" s="7"/>
      <c r="T60" s="7"/>
      <c r="U60" s="7">
        <f>Table3[[#This Row],[E1Y]]+T$2</f>
        <v>2.36</v>
      </c>
      <c r="V60" s="7">
        <f>Table3[[#This Row],[E1TY]]+S$2</f>
        <v>2.2399999999999998</v>
      </c>
      <c r="W60" s="7">
        <f>P$2+Q$2*(Table3[[#This Row],[Effect 1 Y]]-1)</f>
        <v>2.96</v>
      </c>
      <c r="X60" s="7">
        <f>Table3[[#This Row],[E2Y]]+T$2</f>
        <v>2.0699999999999998</v>
      </c>
      <c r="Y60" s="7">
        <f>Table3[[#This Row],[E2TY]]+S$2</f>
        <v>1.9499999999999997</v>
      </c>
      <c r="Z60" s="7">
        <f>P$2+Q$2*(Table3[[#This Row],[Effect 2 Y]]-1)+R$2</f>
        <v>2.67</v>
      </c>
      <c r="AA60" s="7">
        <f>Table3[[#This Row],[E3Y]]+T$2</f>
        <v>2.2699999999999996</v>
      </c>
      <c r="AB60" s="7">
        <f>Table3[[#This Row],[E3TY]]+S$2</f>
        <v>2.1499999999999995</v>
      </c>
      <c r="AC60" s="17">
        <f>P$2+Q$2*(Table3[[#This Row],[Effect 3 Y]]-1)+2*R$2</f>
        <v>2.8699999999999997</v>
      </c>
    </row>
    <row r="61" spans="1:29" ht="90" x14ac:dyDescent="0.25">
      <c r="A61" s="9" t="s">
        <v>273</v>
      </c>
      <c r="B61" s="7" t="s">
        <v>53</v>
      </c>
      <c r="C61" s="9"/>
      <c r="D61" s="7">
        <v>1</v>
      </c>
      <c r="E61" s="7" t="s">
        <v>11</v>
      </c>
      <c r="F61" s="17"/>
      <c r="G61" s="21" t="s">
        <v>449</v>
      </c>
      <c r="H61" s="7"/>
      <c r="I61" s="16" t="s">
        <v>36</v>
      </c>
      <c r="J61" s="16"/>
      <c r="K61" s="9" t="s">
        <v>383</v>
      </c>
      <c r="L61" s="7"/>
      <c r="M61" s="17"/>
      <c r="N61" s="17"/>
      <c r="O61" s="9"/>
      <c r="P61" s="7"/>
      <c r="Q61" s="7"/>
      <c r="R61" s="7"/>
      <c r="S61" s="7"/>
      <c r="T61" s="7"/>
      <c r="U61" s="7">
        <f>Table3[[#This Row],[E1Y]]+T$2</f>
        <v>2.36</v>
      </c>
      <c r="V61" s="7">
        <f>Table3[[#This Row],[E1TY]]+S$2</f>
        <v>2.2399999999999998</v>
      </c>
      <c r="W61" s="7">
        <f>P$2+Q$2*(Table3[[#This Row],[Effect 1 Y]]-1)</f>
        <v>2.96</v>
      </c>
      <c r="X61" s="7">
        <f>Table3[[#This Row],[E2Y]]+T$2</f>
        <v>2.0699999999999998</v>
      </c>
      <c r="Y61" s="7">
        <f>Table3[[#This Row],[E2TY]]+S$2</f>
        <v>1.9499999999999997</v>
      </c>
      <c r="Z61" s="7">
        <f>P$2+Q$2*(Table3[[#This Row],[Effect 2 Y]]-1)+R$2</f>
        <v>2.67</v>
      </c>
      <c r="AA61" s="7">
        <f>Table3[[#This Row],[E3Y]]+T$2</f>
        <v>2.2699999999999996</v>
      </c>
      <c r="AB61" s="7">
        <f>Table3[[#This Row],[E3TY]]+S$2</f>
        <v>2.1499999999999995</v>
      </c>
      <c r="AC61" s="17">
        <f>P$2+Q$2*(Table3[[#This Row],[Effect 3 Y]]-1)+2*R$2</f>
        <v>2.8699999999999997</v>
      </c>
    </row>
    <row r="62" spans="1:29" ht="60" x14ac:dyDescent="0.25">
      <c r="A62" s="9" t="s">
        <v>274</v>
      </c>
      <c r="B62" s="7" t="s">
        <v>53</v>
      </c>
      <c r="C62" s="9"/>
      <c r="D62" s="7">
        <v>1</v>
      </c>
      <c r="E62" s="17" t="s">
        <v>36</v>
      </c>
      <c r="F62" s="17"/>
      <c r="G62" s="21" t="s">
        <v>433</v>
      </c>
      <c r="H62" s="7"/>
      <c r="I62" s="16"/>
      <c r="J62" s="16"/>
      <c r="K62" s="9"/>
      <c r="L62" s="7"/>
      <c r="M62" s="17"/>
      <c r="N62" s="17"/>
      <c r="O62" s="9"/>
      <c r="P62" s="7"/>
      <c r="Q62" s="7"/>
      <c r="R62" s="7"/>
      <c r="S62" s="7"/>
      <c r="T62" s="7"/>
      <c r="U62" s="7">
        <f>Table3[[#This Row],[E1Y]]+T$2</f>
        <v>2.36</v>
      </c>
      <c r="V62" s="7">
        <f>Table3[[#This Row],[E1TY]]+S$2</f>
        <v>2.2399999999999998</v>
      </c>
      <c r="W62" s="7">
        <f>P$2+Q$2*(Table3[[#This Row],[Effect 1 Y]]-1)</f>
        <v>2.96</v>
      </c>
      <c r="X62" s="7">
        <f>Table3[[#This Row],[E2Y]]+T$2</f>
        <v>2.0699999999999998</v>
      </c>
      <c r="Y62" s="7">
        <f>Table3[[#This Row],[E2TY]]+S$2</f>
        <v>1.9499999999999997</v>
      </c>
      <c r="Z62" s="7">
        <f>P$2+Q$2*(Table3[[#This Row],[Effect 2 Y]]-1)+R$2</f>
        <v>2.67</v>
      </c>
      <c r="AA62" s="7">
        <f>Table3[[#This Row],[E3Y]]+T$2</f>
        <v>2.2699999999999996</v>
      </c>
      <c r="AB62" s="7">
        <f>Table3[[#This Row],[E3TY]]+S$2</f>
        <v>2.1499999999999995</v>
      </c>
      <c r="AC62" s="17">
        <f>P$2+Q$2*(Table3[[#This Row],[Effect 3 Y]]-1)+2*R$2</f>
        <v>2.8699999999999997</v>
      </c>
    </row>
    <row r="63" spans="1:29" ht="75" x14ac:dyDescent="0.25">
      <c r="A63" s="9" t="s">
        <v>275</v>
      </c>
      <c r="B63" s="7" t="s">
        <v>53</v>
      </c>
      <c r="C63" s="9"/>
      <c r="D63" s="7">
        <v>1</v>
      </c>
      <c r="E63" s="17" t="s">
        <v>56</v>
      </c>
      <c r="F63" s="17"/>
      <c r="G63" s="21" t="s">
        <v>276</v>
      </c>
      <c r="H63" s="7"/>
      <c r="I63" s="16"/>
      <c r="J63" s="16"/>
      <c r="K63" s="9"/>
      <c r="L63" s="7"/>
      <c r="M63" s="17"/>
      <c r="N63" s="17"/>
      <c r="O63" s="9"/>
      <c r="P63" s="7"/>
      <c r="Q63" s="7"/>
      <c r="R63" s="7"/>
      <c r="S63" s="7"/>
      <c r="T63" s="7"/>
      <c r="U63" s="7">
        <f>Table3[[#This Row],[E1Y]]+T$2</f>
        <v>2.36</v>
      </c>
      <c r="V63" s="7">
        <f>Table3[[#This Row],[E1TY]]+S$2</f>
        <v>2.2399999999999998</v>
      </c>
      <c r="W63" s="7">
        <f>P$2+Q$2*(Table3[[#This Row],[Effect 1 Y]]-1)</f>
        <v>2.96</v>
      </c>
      <c r="X63" s="7">
        <f>Table3[[#This Row],[E2Y]]+T$2</f>
        <v>2.0699999999999998</v>
      </c>
      <c r="Y63" s="7">
        <f>Table3[[#This Row],[E2TY]]+S$2</f>
        <v>1.9499999999999997</v>
      </c>
      <c r="Z63" s="7">
        <f>P$2+Q$2*(Table3[[#This Row],[Effect 2 Y]]-1)+R$2</f>
        <v>2.67</v>
      </c>
      <c r="AA63" s="7">
        <f>Table3[[#This Row],[E3Y]]+T$2</f>
        <v>2.2699999999999996</v>
      </c>
      <c r="AB63" s="7">
        <f>Table3[[#This Row],[E3TY]]+S$2</f>
        <v>2.1499999999999995</v>
      </c>
      <c r="AC63" s="17">
        <f>P$2+Q$2*(Table3[[#This Row],[Effect 3 Y]]-1)+2*R$2</f>
        <v>2.8699999999999997</v>
      </c>
    </row>
    <row r="64" spans="1:29" ht="45" x14ac:dyDescent="0.25">
      <c r="A64" s="9" t="s">
        <v>277</v>
      </c>
      <c r="B64" s="7" t="s">
        <v>53</v>
      </c>
      <c r="C64" s="9"/>
      <c r="D64" s="7">
        <v>1</v>
      </c>
      <c r="E64" s="17" t="s">
        <v>56</v>
      </c>
      <c r="F64" s="17"/>
      <c r="G64" s="21" t="s">
        <v>278</v>
      </c>
      <c r="H64" s="7"/>
      <c r="I64" s="16"/>
      <c r="J64" s="16"/>
      <c r="K64" s="9"/>
      <c r="L64" s="7"/>
      <c r="M64" s="17"/>
      <c r="N64" s="17"/>
      <c r="O64" s="9"/>
      <c r="P64" s="7"/>
      <c r="Q64" s="7"/>
      <c r="R64" s="7"/>
      <c r="S64" s="7"/>
      <c r="T64" s="7"/>
      <c r="U64" s="7">
        <f>Table3[[#This Row],[E1Y]]+T$2</f>
        <v>2.36</v>
      </c>
      <c r="V64" s="7">
        <f>Table3[[#This Row],[E1TY]]+S$2</f>
        <v>2.2399999999999998</v>
      </c>
      <c r="W64" s="7">
        <f>P$2+Q$2*(Table3[[#This Row],[Effect 1 Y]]-1)</f>
        <v>2.96</v>
      </c>
      <c r="X64" s="7">
        <f>Table3[[#This Row],[E2Y]]+T$2</f>
        <v>2.0699999999999998</v>
      </c>
      <c r="Y64" s="7">
        <f>Table3[[#This Row],[E2TY]]+S$2</f>
        <v>1.9499999999999997</v>
      </c>
      <c r="Z64" s="7">
        <f>P$2+Q$2*(Table3[[#This Row],[Effect 2 Y]]-1)+R$2</f>
        <v>2.67</v>
      </c>
      <c r="AA64" s="7">
        <f>Table3[[#This Row],[E3Y]]+T$2</f>
        <v>2.2699999999999996</v>
      </c>
      <c r="AB64" s="7">
        <f>Table3[[#This Row],[E3TY]]+S$2</f>
        <v>2.1499999999999995</v>
      </c>
      <c r="AC64" s="17">
        <f>P$2+Q$2*(Table3[[#This Row],[Effect 3 Y]]-1)+2*R$2</f>
        <v>2.8699999999999997</v>
      </c>
    </row>
    <row r="65" spans="1:29" ht="90" x14ac:dyDescent="0.25">
      <c r="A65" s="9" t="s">
        <v>279</v>
      </c>
      <c r="B65" s="7" t="s">
        <v>53</v>
      </c>
      <c r="C65" s="9"/>
      <c r="D65" s="7">
        <v>1</v>
      </c>
      <c r="E65" s="7" t="s">
        <v>11</v>
      </c>
      <c r="F65" s="17"/>
      <c r="G65" s="21" t="s">
        <v>280</v>
      </c>
      <c r="H65" s="7"/>
      <c r="I65" s="16" t="s">
        <v>36</v>
      </c>
      <c r="J65" s="16"/>
      <c r="K65" s="9" t="s">
        <v>434</v>
      </c>
      <c r="L65" s="7"/>
      <c r="M65" s="17"/>
      <c r="N65" s="17"/>
      <c r="O65" s="9"/>
      <c r="P65" s="7"/>
      <c r="Q65" s="7"/>
      <c r="R65" s="7"/>
      <c r="S65" s="7"/>
      <c r="T65" s="7"/>
      <c r="U65" s="7">
        <f>Table3[[#This Row],[E1Y]]+T$2</f>
        <v>2.36</v>
      </c>
      <c r="V65" s="7">
        <f>Table3[[#This Row],[E1TY]]+S$2</f>
        <v>2.2399999999999998</v>
      </c>
      <c r="W65" s="7">
        <f>P$2+Q$2*(Table3[[#This Row],[Effect 1 Y]]-1)</f>
        <v>2.96</v>
      </c>
      <c r="X65" s="7">
        <f>Table3[[#This Row],[E2Y]]+T$2</f>
        <v>2.0699999999999998</v>
      </c>
      <c r="Y65" s="7">
        <f>Table3[[#This Row],[E2TY]]+S$2</f>
        <v>1.9499999999999997</v>
      </c>
      <c r="Z65" s="7">
        <f>P$2+Q$2*(Table3[[#This Row],[Effect 2 Y]]-1)+R$2</f>
        <v>2.67</v>
      </c>
      <c r="AA65" s="7">
        <f>Table3[[#This Row],[E3Y]]+T$2</f>
        <v>2.2699999999999996</v>
      </c>
      <c r="AB65" s="7">
        <f>Table3[[#This Row],[E3TY]]+S$2</f>
        <v>2.1499999999999995</v>
      </c>
      <c r="AC65" s="17">
        <f>P$2+Q$2*(Table3[[#This Row],[Effect 3 Y]]-1)+2*R$2</f>
        <v>2.8699999999999997</v>
      </c>
    </row>
    <row r="66" spans="1:29" ht="45" x14ac:dyDescent="0.25">
      <c r="A66" s="9" t="s">
        <v>281</v>
      </c>
      <c r="B66" s="7" t="s">
        <v>53</v>
      </c>
      <c r="C66" s="9"/>
      <c r="D66" s="7">
        <v>1</v>
      </c>
      <c r="E66" s="17" t="s">
        <v>36</v>
      </c>
      <c r="F66" s="17"/>
      <c r="G66" s="21" t="s">
        <v>435</v>
      </c>
      <c r="H66" s="7"/>
      <c r="I66" s="16"/>
      <c r="J66" s="16"/>
      <c r="K66" s="9"/>
      <c r="L66" s="7"/>
      <c r="M66" s="17"/>
      <c r="N66" s="17"/>
      <c r="O66" s="9"/>
      <c r="P66" s="7"/>
      <c r="Q66" s="7"/>
      <c r="R66" s="7"/>
      <c r="S66" s="7"/>
      <c r="T66" s="7"/>
      <c r="U66" s="7">
        <f>Table3[[#This Row],[E1Y]]+T$2</f>
        <v>2.36</v>
      </c>
      <c r="V66" s="7">
        <f>Table3[[#This Row],[E1TY]]+S$2</f>
        <v>2.2399999999999998</v>
      </c>
      <c r="W66" s="7">
        <f>P$2+Q$2*(Table3[[#This Row],[Effect 1 Y]]-1)</f>
        <v>2.96</v>
      </c>
      <c r="X66" s="7">
        <f>Table3[[#This Row],[E2Y]]+T$2</f>
        <v>2.0699999999999998</v>
      </c>
      <c r="Y66" s="7">
        <f>Table3[[#This Row],[E2TY]]+S$2</f>
        <v>1.9499999999999997</v>
      </c>
      <c r="Z66" s="7">
        <f>P$2+Q$2*(Table3[[#This Row],[Effect 2 Y]]-1)+R$2</f>
        <v>2.67</v>
      </c>
      <c r="AA66" s="7">
        <f>Table3[[#This Row],[E3Y]]+T$2</f>
        <v>2.2699999999999996</v>
      </c>
      <c r="AB66" s="7">
        <f>Table3[[#This Row],[E3TY]]+S$2</f>
        <v>2.1499999999999995</v>
      </c>
      <c r="AC66" s="17">
        <f>P$2+Q$2*(Table3[[#This Row],[Effect 3 Y]]-1)+2*R$2</f>
        <v>2.8699999999999997</v>
      </c>
    </row>
    <row r="67" spans="1:29" ht="45" x14ac:dyDescent="0.25">
      <c r="A67" s="9" t="s">
        <v>52</v>
      </c>
      <c r="B67" s="7" t="s">
        <v>53</v>
      </c>
      <c r="C67" s="9"/>
      <c r="D67" s="7">
        <v>1</v>
      </c>
      <c r="E67" s="7" t="s">
        <v>56</v>
      </c>
      <c r="F67" s="17" t="s">
        <v>54</v>
      </c>
      <c r="G67" s="21" t="s">
        <v>55</v>
      </c>
      <c r="H67" s="7">
        <v>6</v>
      </c>
      <c r="I67" s="9" t="s">
        <v>36</v>
      </c>
      <c r="J67" s="9" t="s">
        <v>215</v>
      </c>
      <c r="K67" s="9" t="s">
        <v>180</v>
      </c>
      <c r="L67" s="7"/>
      <c r="M67" s="7"/>
      <c r="N67" s="7"/>
      <c r="O67" s="9"/>
      <c r="P67" s="7"/>
      <c r="Q67" s="7"/>
      <c r="R67" s="7"/>
      <c r="S67" s="7"/>
      <c r="T67" s="7"/>
      <c r="U67" s="7">
        <f>Table3[[#This Row],[E1Y]]+T$2</f>
        <v>2.36</v>
      </c>
      <c r="V67" s="7">
        <f>Table3[[#This Row],[E1TY]]+S$2</f>
        <v>2.2399999999999998</v>
      </c>
      <c r="W67" s="7">
        <f>P$2+Q$2*(Table3[[#This Row],[Effect 1 Y]]-1)</f>
        <v>2.96</v>
      </c>
      <c r="X67" s="7">
        <f>Table3[[#This Row],[E2Y]]+T$2</f>
        <v>5.0100000000000007</v>
      </c>
      <c r="Y67" s="7">
        <f>Table3[[#This Row],[E2TY]]+S$2</f>
        <v>4.8900000000000006</v>
      </c>
      <c r="Z67" s="7">
        <f>P$2+Q$2*(Table3[[#This Row],[Effect 2 Y]]-1)+R$2</f>
        <v>5.61</v>
      </c>
      <c r="AA67" s="7">
        <f>Table3[[#This Row],[E3Y]]+T$2</f>
        <v>2.2699999999999996</v>
      </c>
      <c r="AB67" s="7">
        <f>Table3[[#This Row],[E3TY]]+S$2</f>
        <v>2.1499999999999995</v>
      </c>
      <c r="AC67" s="17">
        <f>P$2+Q$2*(Table3[[#This Row],[Effect 3 Y]]-1)+2*R$2</f>
        <v>2.8699999999999997</v>
      </c>
    </row>
    <row r="68" spans="1:29" ht="75" x14ac:dyDescent="0.25">
      <c r="A68" s="9" t="s">
        <v>52</v>
      </c>
      <c r="B68" s="7" t="s">
        <v>53</v>
      </c>
      <c r="C68" s="9"/>
      <c r="D68" s="7">
        <v>1</v>
      </c>
      <c r="E68" s="17" t="s">
        <v>56</v>
      </c>
      <c r="F68" s="17"/>
      <c r="G68" s="21" t="s">
        <v>282</v>
      </c>
      <c r="H68" s="7"/>
      <c r="I68" s="16" t="s">
        <v>36</v>
      </c>
      <c r="J68" s="16"/>
      <c r="K68" s="9" t="s">
        <v>436</v>
      </c>
      <c r="L68" s="7"/>
      <c r="M68" s="17"/>
      <c r="N68" s="17"/>
      <c r="O68" s="9"/>
      <c r="P68" s="7"/>
      <c r="Q68" s="7"/>
      <c r="R68" s="7"/>
      <c r="S68" s="7"/>
      <c r="T68" s="7"/>
      <c r="U68" s="7">
        <f>Table3[[#This Row],[E1Y]]+T$2</f>
        <v>2.36</v>
      </c>
      <c r="V68" s="7">
        <f>Table3[[#This Row],[E1TY]]+S$2</f>
        <v>2.2399999999999998</v>
      </c>
      <c r="W68" s="7">
        <f>P$2+Q$2*(Table3[[#This Row],[Effect 1 Y]]-1)</f>
        <v>2.96</v>
      </c>
      <c r="X68" s="7">
        <f>Table3[[#This Row],[E2Y]]+T$2</f>
        <v>2.0699999999999998</v>
      </c>
      <c r="Y68" s="7">
        <f>Table3[[#This Row],[E2TY]]+S$2</f>
        <v>1.9499999999999997</v>
      </c>
      <c r="Z68" s="7">
        <f>P$2+Q$2*(Table3[[#This Row],[Effect 2 Y]]-1)+R$2</f>
        <v>2.67</v>
      </c>
      <c r="AA68" s="7">
        <f>Table3[[#This Row],[E3Y]]+T$2</f>
        <v>2.2699999999999996</v>
      </c>
      <c r="AB68" s="7">
        <f>Table3[[#This Row],[E3TY]]+S$2</f>
        <v>2.1499999999999995</v>
      </c>
      <c r="AC68" s="17">
        <f>P$2+Q$2*(Table3[[#This Row],[Effect 3 Y]]-1)+2*R$2</f>
        <v>2.8699999999999997</v>
      </c>
    </row>
    <row r="69" spans="1:29" ht="45" x14ac:dyDescent="0.25">
      <c r="A69" s="9" t="s">
        <v>283</v>
      </c>
      <c r="B69" s="7" t="s">
        <v>53</v>
      </c>
      <c r="C69" s="9"/>
      <c r="D69" s="7">
        <v>1</v>
      </c>
      <c r="E69" s="17" t="s">
        <v>56</v>
      </c>
      <c r="F69" s="17"/>
      <c r="G69" s="21" t="s">
        <v>353</v>
      </c>
      <c r="H69" s="7"/>
      <c r="I69" s="16"/>
      <c r="J69" s="16"/>
      <c r="K69" s="9"/>
      <c r="L69" s="7"/>
      <c r="M69" s="17"/>
      <c r="N69" s="17"/>
      <c r="O69" s="9"/>
      <c r="P69" s="7"/>
      <c r="Q69" s="7"/>
      <c r="R69" s="7"/>
      <c r="S69" s="7"/>
      <c r="T69" s="7"/>
      <c r="U69" s="7">
        <f>Table3[[#This Row],[E1Y]]+T$2</f>
        <v>2.36</v>
      </c>
      <c r="V69" s="7">
        <f>Table3[[#This Row],[E1TY]]+S$2</f>
        <v>2.2399999999999998</v>
      </c>
      <c r="W69" s="7">
        <f>P$2+Q$2*(Table3[[#This Row],[Effect 1 Y]]-1)</f>
        <v>2.96</v>
      </c>
      <c r="X69" s="7">
        <f>Table3[[#This Row],[E2Y]]+T$2</f>
        <v>2.0699999999999998</v>
      </c>
      <c r="Y69" s="7">
        <f>Table3[[#This Row],[E2TY]]+S$2</f>
        <v>1.9499999999999997</v>
      </c>
      <c r="Z69" s="7">
        <f>P$2+Q$2*(Table3[[#This Row],[Effect 2 Y]]-1)+R$2</f>
        <v>2.67</v>
      </c>
      <c r="AA69" s="7">
        <f>Table3[[#This Row],[E3Y]]+T$2</f>
        <v>2.2699999999999996</v>
      </c>
      <c r="AB69" s="7">
        <f>Table3[[#This Row],[E3TY]]+S$2</f>
        <v>2.1499999999999995</v>
      </c>
      <c r="AC69" s="17">
        <f>P$2+Q$2*(Table3[[#This Row],[Effect 3 Y]]-1)+2*R$2</f>
        <v>2.8699999999999997</v>
      </c>
    </row>
    <row r="70" spans="1:29" ht="60" x14ac:dyDescent="0.25">
      <c r="A70" s="9" t="s">
        <v>284</v>
      </c>
      <c r="B70" s="7" t="s">
        <v>53</v>
      </c>
      <c r="C70" s="9"/>
      <c r="D70" s="7">
        <v>1</v>
      </c>
      <c r="E70" s="17" t="s">
        <v>56</v>
      </c>
      <c r="F70" s="17"/>
      <c r="G70" s="21" t="s">
        <v>285</v>
      </c>
      <c r="H70" s="7"/>
      <c r="I70" s="16" t="s">
        <v>36</v>
      </c>
      <c r="J70" s="16"/>
      <c r="K70" s="9" t="s">
        <v>379</v>
      </c>
      <c r="L70" s="7"/>
      <c r="M70" s="17"/>
      <c r="N70" s="17"/>
      <c r="O70" s="9"/>
      <c r="P70" s="7"/>
      <c r="Q70" s="7"/>
      <c r="R70" s="7"/>
      <c r="S70" s="7"/>
      <c r="T70" s="7"/>
      <c r="U70" s="7">
        <f>Table3[[#This Row],[E1Y]]+T$2</f>
        <v>2.36</v>
      </c>
      <c r="V70" s="7">
        <f>Table3[[#This Row],[E1TY]]+S$2</f>
        <v>2.2399999999999998</v>
      </c>
      <c r="W70" s="7">
        <f>P$2+Q$2*(Table3[[#This Row],[Effect 1 Y]]-1)</f>
        <v>2.96</v>
      </c>
      <c r="X70" s="7">
        <f>Table3[[#This Row],[E2Y]]+T$2</f>
        <v>2.0699999999999998</v>
      </c>
      <c r="Y70" s="7">
        <f>Table3[[#This Row],[E2TY]]+S$2</f>
        <v>1.9499999999999997</v>
      </c>
      <c r="Z70" s="7">
        <f>P$2+Q$2*(Table3[[#This Row],[Effect 2 Y]]-1)+R$2</f>
        <v>2.67</v>
      </c>
      <c r="AA70" s="7">
        <f>Table3[[#This Row],[E3Y]]+T$2</f>
        <v>2.2699999999999996</v>
      </c>
      <c r="AB70" s="7">
        <f>Table3[[#This Row],[E3TY]]+S$2</f>
        <v>2.1499999999999995</v>
      </c>
      <c r="AC70" s="17">
        <f>P$2+Q$2*(Table3[[#This Row],[Effect 3 Y]]-1)+2*R$2</f>
        <v>2.8699999999999997</v>
      </c>
    </row>
    <row r="71" spans="1:29" ht="45" x14ac:dyDescent="0.25">
      <c r="A71" s="9" t="s">
        <v>286</v>
      </c>
      <c r="B71" s="7" t="s">
        <v>53</v>
      </c>
      <c r="C71" s="9"/>
      <c r="D71" s="7">
        <v>1</v>
      </c>
      <c r="E71" s="7" t="s">
        <v>11</v>
      </c>
      <c r="F71" s="17"/>
      <c r="G71" s="21" t="s">
        <v>287</v>
      </c>
      <c r="H71" s="7"/>
      <c r="I71" s="16"/>
      <c r="J71" s="16"/>
      <c r="K71" s="9"/>
      <c r="L71" s="7"/>
      <c r="M71" s="17"/>
      <c r="N71" s="17"/>
      <c r="O71" s="9"/>
      <c r="P71" s="7"/>
      <c r="Q71" s="7"/>
      <c r="R71" s="7"/>
      <c r="S71" s="7"/>
      <c r="T71" s="7"/>
      <c r="U71" s="7">
        <f>Table3[[#This Row],[E1Y]]+T$2</f>
        <v>2.36</v>
      </c>
      <c r="V71" s="7">
        <f>Table3[[#This Row],[E1TY]]+S$2</f>
        <v>2.2399999999999998</v>
      </c>
      <c r="W71" s="7">
        <f>P$2+Q$2*(Table3[[#This Row],[Effect 1 Y]]-1)</f>
        <v>2.96</v>
      </c>
      <c r="X71" s="7">
        <f>Table3[[#This Row],[E2Y]]+T$2</f>
        <v>2.0699999999999998</v>
      </c>
      <c r="Y71" s="7">
        <f>Table3[[#This Row],[E2TY]]+S$2</f>
        <v>1.9499999999999997</v>
      </c>
      <c r="Z71" s="7">
        <f>P$2+Q$2*(Table3[[#This Row],[Effect 2 Y]]-1)+R$2</f>
        <v>2.67</v>
      </c>
      <c r="AA71" s="7">
        <f>Table3[[#This Row],[E3Y]]+T$2</f>
        <v>2.2699999999999996</v>
      </c>
      <c r="AB71" s="7">
        <f>Table3[[#This Row],[E3TY]]+S$2</f>
        <v>2.1499999999999995</v>
      </c>
      <c r="AC71" s="17">
        <f>P$2+Q$2*(Table3[[#This Row],[Effect 3 Y]]-1)+2*R$2</f>
        <v>2.8699999999999997</v>
      </c>
    </row>
    <row r="72" spans="1:29" ht="60" x14ac:dyDescent="0.25">
      <c r="A72" s="9" t="s">
        <v>5</v>
      </c>
      <c r="B72" s="7" t="s">
        <v>6</v>
      </c>
      <c r="C72" s="9"/>
      <c r="D72" s="7">
        <v>1</v>
      </c>
      <c r="E72" s="7" t="s">
        <v>11</v>
      </c>
      <c r="F72" s="7" t="s">
        <v>10</v>
      </c>
      <c r="G72" s="19" t="s">
        <v>9</v>
      </c>
      <c r="H72" s="7">
        <v>5</v>
      </c>
      <c r="I72" s="9" t="s">
        <v>34</v>
      </c>
      <c r="J72" s="9" t="s">
        <v>16</v>
      </c>
      <c r="K72" s="9" t="s">
        <v>367</v>
      </c>
      <c r="L72" s="7">
        <v>9.5</v>
      </c>
      <c r="M72" s="7" t="s">
        <v>168</v>
      </c>
      <c r="N72" s="7" t="s">
        <v>178</v>
      </c>
      <c r="O72" s="9" t="s">
        <v>169</v>
      </c>
      <c r="P72" s="7"/>
      <c r="Q72" s="7"/>
      <c r="R72" s="7"/>
      <c r="S72" s="7"/>
      <c r="T72" s="7"/>
      <c r="U72" s="7">
        <f>Table3[[#This Row],[E1Y]]+T$2</f>
        <v>2.36</v>
      </c>
      <c r="V72" s="7">
        <f>Table3[[#This Row],[E1TY]]+S$2</f>
        <v>2.2399999999999998</v>
      </c>
      <c r="W72" s="7">
        <f>P$2+Q$2*(Table3[[#This Row],[Effect 1 Y]]-1)</f>
        <v>2.96</v>
      </c>
      <c r="X72" s="7">
        <f>Table3[[#This Row],[E2Y]]+T$2</f>
        <v>4.5200000000000005</v>
      </c>
      <c r="Y72" s="7">
        <f>Table3[[#This Row],[E2TY]]+S$2</f>
        <v>4.4000000000000004</v>
      </c>
      <c r="Z72" s="7">
        <f>P$2+Q$2*(Table3[[#This Row],[Effect 2 Y]]-1)+R$2</f>
        <v>5.12</v>
      </c>
      <c r="AA72" s="7">
        <f>Table3[[#This Row],[E3Y]]+T$2</f>
        <v>6.9250000000000007</v>
      </c>
      <c r="AB72" s="7">
        <f>Table3[[#This Row],[E3TY]]+S$2</f>
        <v>6.8050000000000006</v>
      </c>
      <c r="AC72" s="17">
        <f>P$2+Q$2*(Table3[[#This Row],[Effect 3 Y]]-1)+2*R$2</f>
        <v>7.5250000000000004</v>
      </c>
    </row>
    <row r="73" spans="1:29" ht="60" x14ac:dyDescent="0.25">
      <c r="A73" s="9" t="s">
        <v>39</v>
      </c>
      <c r="B73" s="7" t="s">
        <v>6</v>
      </c>
      <c r="C73" s="9"/>
      <c r="D73" s="7">
        <v>1</v>
      </c>
      <c r="E73" s="7" t="s">
        <v>34</v>
      </c>
      <c r="F73" s="7" t="s">
        <v>41</v>
      </c>
      <c r="G73" s="19" t="s">
        <v>173</v>
      </c>
      <c r="H73" s="7">
        <v>9</v>
      </c>
      <c r="I73" s="9" t="s">
        <v>168</v>
      </c>
      <c r="J73" s="9" t="s">
        <v>178</v>
      </c>
      <c r="K73" s="9" t="s">
        <v>174</v>
      </c>
      <c r="L73" s="7">
        <v>5</v>
      </c>
      <c r="M73" s="7"/>
      <c r="N73" s="7"/>
      <c r="O73" s="9"/>
      <c r="P73" s="7"/>
      <c r="Q73" s="7"/>
      <c r="R73" s="7"/>
      <c r="S73" s="7"/>
      <c r="T73" s="7"/>
      <c r="U73" s="7">
        <f>Table3[[#This Row],[E1Y]]+T$2</f>
        <v>2.36</v>
      </c>
      <c r="V73" s="7">
        <f>Table3[[#This Row],[E1TY]]+S$2</f>
        <v>2.2399999999999998</v>
      </c>
      <c r="W73" s="7">
        <f>P$2+Q$2*(Table3[[#This Row],[Effect 1 Y]]-1)</f>
        <v>2.96</v>
      </c>
      <c r="X73" s="7">
        <f>Table3[[#This Row],[E2Y]]+T$2</f>
        <v>6.48</v>
      </c>
      <c r="Y73" s="7">
        <f>Table3[[#This Row],[E2TY]]+S$2</f>
        <v>6.36</v>
      </c>
      <c r="Z73" s="7">
        <f>P$2+Q$2*(Table3[[#This Row],[Effect 2 Y]]-1)+R$2</f>
        <v>7.08</v>
      </c>
      <c r="AA73" s="7">
        <f>Table3[[#This Row],[E3Y]]+T$2</f>
        <v>4.7200000000000006</v>
      </c>
      <c r="AB73" s="7">
        <f>Table3[[#This Row],[E3TY]]+S$2</f>
        <v>4.6000000000000005</v>
      </c>
      <c r="AC73" s="17">
        <f>P$2+Q$2*(Table3[[#This Row],[Effect 3 Y]]-1)+2*R$2</f>
        <v>5.32</v>
      </c>
    </row>
    <row r="74" spans="1:29" ht="75" x14ac:dyDescent="0.25">
      <c r="A74" s="9" t="s">
        <v>57</v>
      </c>
      <c r="B74" s="7" t="s">
        <v>6</v>
      </c>
      <c r="C74" s="9"/>
      <c r="D74" s="7">
        <v>1</v>
      </c>
      <c r="E74" s="17" t="s">
        <v>11</v>
      </c>
      <c r="F74" s="17" t="s">
        <v>125</v>
      </c>
      <c r="G74" s="21" t="s">
        <v>132</v>
      </c>
      <c r="H74" s="7">
        <v>6</v>
      </c>
      <c r="I74" s="9" t="s">
        <v>11</v>
      </c>
      <c r="J74" s="9" t="s">
        <v>126</v>
      </c>
      <c r="K74" s="9" t="s">
        <v>127</v>
      </c>
      <c r="L74" s="7"/>
      <c r="M74" s="7"/>
      <c r="N74" s="7"/>
      <c r="O74" s="9"/>
      <c r="P74" s="7"/>
      <c r="Q74" s="7"/>
      <c r="R74" s="7"/>
      <c r="S74" s="7"/>
      <c r="T74" s="7"/>
      <c r="U74" s="7">
        <f>Table3[[#This Row],[E1Y]]+T$2</f>
        <v>2.36</v>
      </c>
      <c r="V74" s="7">
        <f>Table3[[#This Row],[E1TY]]+S$2</f>
        <v>2.2399999999999998</v>
      </c>
      <c r="W74" s="7">
        <f>P$2+Q$2*(Table3[[#This Row],[Effect 1 Y]]-1)</f>
        <v>2.96</v>
      </c>
      <c r="X74" s="7">
        <f>Table3[[#This Row],[E2Y]]+T$2</f>
        <v>5.0100000000000007</v>
      </c>
      <c r="Y74" s="7">
        <f>Table3[[#This Row],[E2TY]]+S$2</f>
        <v>4.8900000000000006</v>
      </c>
      <c r="Z74" s="7">
        <f>P$2+Q$2*(Table3[[#This Row],[Effect 2 Y]]-1)+R$2</f>
        <v>5.61</v>
      </c>
      <c r="AA74" s="7">
        <f>Table3[[#This Row],[E3Y]]+T$2</f>
        <v>2.2699999999999996</v>
      </c>
      <c r="AB74" s="7">
        <f>Table3[[#This Row],[E3TY]]+S$2</f>
        <v>2.1499999999999995</v>
      </c>
      <c r="AC74" s="17">
        <f>P$2+Q$2*(Table3[[#This Row],[Effect 3 Y]]-1)+2*R$2</f>
        <v>2.8699999999999997</v>
      </c>
    </row>
    <row r="75" spans="1:29" ht="45" x14ac:dyDescent="0.25">
      <c r="A75" s="9" t="s">
        <v>40</v>
      </c>
      <c r="B75" s="7" t="s">
        <v>6</v>
      </c>
      <c r="C75" s="9"/>
      <c r="D75" s="7">
        <v>1</v>
      </c>
      <c r="E75" s="7" t="s">
        <v>11</v>
      </c>
      <c r="F75" s="7" t="s">
        <v>42</v>
      </c>
      <c r="G75" s="19" t="s">
        <v>43</v>
      </c>
      <c r="H75" s="7">
        <v>5</v>
      </c>
      <c r="I75" s="9" t="s">
        <v>11</v>
      </c>
      <c r="J75" s="9" t="s">
        <v>44</v>
      </c>
      <c r="K75" s="9" t="s">
        <v>45</v>
      </c>
      <c r="L75" s="7">
        <v>5</v>
      </c>
      <c r="M75" s="7"/>
      <c r="N75" s="7"/>
      <c r="O75" s="9"/>
      <c r="P75" s="7"/>
      <c r="Q75" s="7"/>
      <c r="R75" s="7"/>
      <c r="S75" s="7"/>
      <c r="T75" s="7"/>
      <c r="U75" s="7">
        <f>Table3[[#This Row],[E1Y]]+T$2</f>
        <v>2.36</v>
      </c>
      <c r="V75" s="7">
        <f>Table3[[#This Row],[E1TY]]+S$2</f>
        <v>2.2399999999999998</v>
      </c>
      <c r="W75" s="7">
        <f>P$2+Q$2*(Table3[[#This Row],[Effect 1 Y]]-1)</f>
        <v>2.96</v>
      </c>
      <c r="X75" s="7">
        <f>Table3[[#This Row],[E2Y]]+T$2</f>
        <v>4.5200000000000005</v>
      </c>
      <c r="Y75" s="7">
        <f>Table3[[#This Row],[E2TY]]+S$2</f>
        <v>4.4000000000000004</v>
      </c>
      <c r="Z75" s="7">
        <f>P$2+Q$2*(Table3[[#This Row],[Effect 2 Y]]-1)+R$2</f>
        <v>5.12</v>
      </c>
      <c r="AA75" s="7">
        <f>Table3[[#This Row],[E3Y]]+T$2</f>
        <v>4.7200000000000006</v>
      </c>
      <c r="AB75" s="7">
        <f>Table3[[#This Row],[E3TY]]+S$2</f>
        <v>4.6000000000000005</v>
      </c>
      <c r="AC75" s="17">
        <f>P$2+Q$2*(Table3[[#This Row],[Effect 3 Y]]-1)+2*R$2</f>
        <v>5.32</v>
      </c>
    </row>
    <row r="76" spans="1:29" ht="45" x14ac:dyDescent="0.25">
      <c r="A76" s="9" t="s">
        <v>58</v>
      </c>
      <c r="B76" s="7" t="s">
        <v>6</v>
      </c>
      <c r="C76" s="9"/>
      <c r="D76" s="7">
        <v>1</v>
      </c>
      <c r="E76" s="17" t="s">
        <v>11</v>
      </c>
      <c r="F76" s="17" t="s">
        <v>137</v>
      </c>
      <c r="G76" s="21" t="s">
        <v>128</v>
      </c>
      <c r="H76" s="7">
        <v>5</v>
      </c>
      <c r="I76" s="9" t="s">
        <v>36</v>
      </c>
      <c r="J76" s="9" t="s">
        <v>216</v>
      </c>
      <c r="K76" s="9" t="s">
        <v>129</v>
      </c>
      <c r="L76" s="7"/>
      <c r="M76" s="7"/>
      <c r="N76" s="7"/>
      <c r="O76" s="9"/>
      <c r="P76" s="7"/>
      <c r="Q76" s="7"/>
      <c r="R76" s="7"/>
      <c r="S76" s="7"/>
      <c r="T76" s="7"/>
      <c r="U76" s="7">
        <f>Table3[[#This Row],[E1Y]]+T$2</f>
        <v>2.36</v>
      </c>
      <c r="V76" s="7">
        <f>Table3[[#This Row],[E1TY]]+S$2</f>
        <v>2.2399999999999998</v>
      </c>
      <c r="W76" s="7">
        <f>P$2+Q$2*(Table3[[#This Row],[Effect 1 Y]]-1)</f>
        <v>2.96</v>
      </c>
      <c r="X76" s="7">
        <f>Table3[[#This Row],[E2Y]]+T$2</f>
        <v>4.5200000000000005</v>
      </c>
      <c r="Y76" s="7">
        <f>Table3[[#This Row],[E2TY]]+S$2</f>
        <v>4.4000000000000004</v>
      </c>
      <c r="Z76" s="7">
        <f>P$2+Q$2*(Table3[[#This Row],[Effect 2 Y]]-1)+R$2</f>
        <v>5.12</v>
      </c>
      <c r="AA76" s="7">
        <f>Table3[[#This Row],[E3Y]]+T$2</f>
        <v>2.2699999999999996</v>
      </c>
      <c r="AB76" s="7">
        <f>Table3[[#This Row],[E3TY]]+S$2</f>
        <v>2.1499999999999995</v>
      </c>
      <c r="AC76" s="17">
        <f>P$2+Q$2*(Table3[[#This Row],[Effect 3 Y]]-1)+2*R$2</f>
        <v>2.8699999999999997</v>
      </c>
    </row>
    <row r="77" spans="1:29" ht="60" x14ac:dyDescent="0.25">
      <c r="A77" s="9" t="s">
        <v>59</v>
      </c>
      <c r="B77" s="7" t="s">
        <v>6</v>
      </c>
      <c r="C77" s="9"/>
      <c r="D77" s="7">
        <v>1</v>
      </c>
      <c r="E77" s="17" t="s">
        <v>34</v>
      </c>
      <c r="F77" s="17" t="s">
        <v>130</v>
      </c>
      <c r="G77" s="21" t="s">
        <v>131</v>
      </c>
      <c r="H77" s="7">
        <v>3</v>
      </c>
      <c r="I77" s="16" t="s">
        <v>36</v>
      </c>
      <c r="J77" s="16" t="s">
        <v>217</v>
      </c>
      <c r="K77" s="9" t="s">
        <v>133</v>
      </c>
      <c r="L77" s="7"/>
      <c r="M77" s="7"/>
      <c r="N77" s="7"/>
      <c r="O77" s="9"/>
      <c r="P77" s="7"/>
      <c r="Q77" s="7"/>
      <c r="R77" s="7"/>
      <c r="S77" s="7"/>
      <c r="T77" s="7"/>
      <c r="U77" s="7">
        <f>Table3[[#This Row],[E1Y]]+T$2</f>
        <v>2.36</v>
      </c>
      <c r="V77" s="7">
        <f>Table3[[#This Row],[E1TY]]+S$2</f>
        <v>2.2399999999999998</v>
      </c>
      <c r="W77" s="7">
        <f>P$2+Q$2*(Table3[[#This Row],[Effect 1 Y]]-1)</f>
        <v>2.96</v>
      </c>
      <c r="X77" s="7">
        <f>Table3[[#This Row],[E2Y]]+T$2</f>
        <v>3.5399999999999996</v>
      </c>
      <c r="Y77" s="7">
        <f>Table3[[#This Row],[E2TY]]+S$2</f>
        <v>3.4199999999999995</v>
      </c>
      <c r="Z77" s="7">
        <f>P$2+Q$2*(Table3[[#This Row],[Effect 2 Y]]-1)+R$2</f>
        <v>4.1399999999999997</v>
      </c>
      <c r="AA77" s="7">
        <f>Table3[[#This Row],[E3Y]]+T$2</f>
        <v>2.2699999999999996</v>
      </c>
      <c r="AB77" s="7">
        <f>Table3[[#This Row],[E3TY]]+S$2</f>
        <v>2.1499999999999995</v>
      </c>
      <c r="AC77" s="17">
        <f>P$2+Q$2*(Table3[[#This Row],[Effect 3 Y]]-1)+2*R$2</f>
        <v>2.8699999999999997</v>
      </c>
    </row>
    <row r="78" spans="1:29" ht="60" x14ac:dyDescent="0.25">
      <c r="A78" s="9" t="s">
        <v>60</v>
      </c>
      <c r="B78" s="7" t="s">
        <v>6</v>
      </c>
      <c r="C78" s="9"/>
      <c r="D78" s="7">
        <v>1</v>
      </c>
      <c r="E78" s="17" t="s">
        <v>34</v>
      </c>
      <c r="F78" s="17" t="s">
        <v>136</v>
      </c>
      <c r="G78" s="21" t="s">
        <v>175</v>
      </c>
      <c r="H78" s="7">
        <v>9</v>
      </c>
      <c r="I78" s="9" t="s">
        <v>168</v>
      </c>
      <c r="J78" s="9" t="s">
        <v>177</v>
      </c>
      <c r="K78" s="9" t="s">
        <v>176</v>
      </c>
      <c r="L78" s="7"/>
      <c r="M78" s="7"/>
      <c r="N78" s="7"/>
      <c r="O78" s="9"/>
      <c r="P78" s="7"/>
      <c r="Q78" s="7"/>
      <c r="R78" s="7"/>
      <c r="S78" s="7"/>
      <c r="T78" s="7"/>
      <c r="U78" s="7">
        <f>Table3[[#This Row],[E1Y]]+T$2</f>
        <v>2.36</v>
      </c>
      <c r="V78" s="7">
        <f>Table3[[#This Row],[E1TY]]+S$2</f>
        <v>2.2399999999999998</v>
      </c>
      <c r="W78" s="7">
        <f>P$2+Q$2*(Table3[[#This Row],[Effect 1 Y]]-1)</f>
        <v>2.96</v>
      </c>
      <c r="X78" s="7">
        <f>Table3[[#This Row],[E2Y]]+T$2</f>
        <v>6.48</v>
      </c>
      <c r="Y78" s="7">
        <f>Table3[[#This Row],[E2TY]]+S$2</f>
        <v>6.36</v>
      </c>
      <c r="Z78" s="7">
        <f>P$2+Q$2*(Table3[[#This Row],[Effect 2 Y]]-1)+R$2</f>
        <v>7.08</v>
      </c>
      <c r="AA78" s="7">
        <f>Table3[[#This Row],[E3Y]]+T$2</f>
        <v>2.2699999999999996</v>
      </c>
      <c r="AB78" s="7">
        <f>Table3[[#This Row],[E3TY]]+S$2</f>
        <v>2.1499999999999995</v>
      </c>
      <c r="AC78" s="17">
        <f>P$2+Q$2*(Table3[[#This Row],[Effect 3 Y]]-1)+2*R$2</f>
        <v>2.8699999999999997</v>
      </c>
    </row>
    <row r="79" spans="1:29" ht="60" x14ac:dyDescent="0.25">
      <c r="A79" s="9" t="s">
        <v>61</v>
      </c>
      <c r="B79" s="7" t="s">
        <v>6</v>
      </c>
      <c r="C79" s="9"/>
      <c r="D79" s="7">
        <v>1</v>
      </c>
      <c r="E79" s="17" t="s">
        <v>34</v>
      </c>
      <c r="F79" s="17" t="s">
        <v>135</v>
      </c>
      <c r="G79" s="21" t="s">
        <v>368</v>
      </c>
      <c r="H79" s="7">
        <v>5</v>
      </c>
      <c r="I79" s="9" t="s">
        <v>36</v>
      </c>
      <c r="J79" s="9" t="s">
        <v>218</v>
      </c>
      <c r="K79" s="9" t="s">
        <v>134</v>
      </c>
      <c r="L79" s="7"/>
      <c r="M79" s="7"/>
      <c r="N79" s="7"/>
      <c r="O79" s="9"/>
      <c r="P79" s="7"/>
      <c r="Q79" s="7"/>
      <c r="R79" s="7"/>
      <c r="S79" s="7"/>
      <c r="T79" s="7"/>
      <c r="U79" s="7">
        <f>Table3[[#This Row],[E1Y]]+T$2</f>
        <v>2.36</v>
      </c>
      <c r="V79" s="7">
        <f>Table3[[#This Row],[E1TY]]+S$2</f>
        <v>2.2399999999999998</v>
      </c>
      <c r="W79" s="7">
        <f>P$2+Q$2*(Table3[[#This Row],[Effect 1 Y]]-1)</f>
        <v>2.96</v>
      </c>
      <c r="X79" s="7">
        <f>Table3[[#This Row],[E2Y]]+T$2</f>
        <v>4.5200000000000005</v>
      </c>
      <c r="Y79" s="7">
        <f>Table3[[#This Row],[E2TY]]+S$2</f>
        <v>4.4000000000000004</v>
      </c>
      <c r="Z79" s="7">
        <f>P$2+Q$2*(Table3[[#This Row],[Effect 2 Y]]-1)+R$2</f>
        <v>5.12</v>
      </c>
      <c r="AA79" s="7">
        <f>Table3[[#This Row],[E3Y]]+T$2</f>
        <v>2.2699999999999996</v>
      </c>
      <c r="AB79" s="7">
        <f>Table3[[#This Row],[E3TY]]+S$2</f>
        <v>2.1499999999999995</v>
      </c>
      <c r="AC79" s="17">
        <f>P$2+Q$2*(Table3[[#This Row],[Effect 3 Y]]-1)+2*R$2</f>
        <v>2.8699999999999997</v>
      </c>
    </row>
    <row r="80" spans="1:29" ht="90" x14ac:dyDescent="0.25">
      <c r="A80" s="9" t="s">
        <v>62</v>
      </c>
      <c r="B80" s="7" t="s">
        <v>6</v>
      </c>
      <c r="C80" s="9"/>
      <c r="D80" s="7">
        <v>1</v>
      </c>
      <c r="E80" s="17" t="s">
        <v>11</v>
      </c>
      <c r="F80" s="17" t="s">
        <v>138</v>
      </c>
      <c r="G80" s="21" t="s">
        <v>139</v>
      </c>
      <c r="H80" s="17">
        <v>5</v>
      </c>
      <c r="I80" s="9" t="s">
        <v>36</v>
      </c>
      <c r="J80" s="9" t="s">
        <v>219</v>
      </c>
      <c r="K80" s="9" t="s">
        <v>145</v>
      </c>
      <c r="L80" s="7"/>
      <c r="M80" s="7"/>
      <c r="N80" s="7"/>
      <c r="O80" s="9"/>
      <c r="P80" s="7"/>
      <c r="Q80" s="7"/>
      <c r="R80" s="7"/>
      <c r="S80" s="7"/>
      <c r="T80" s="7"/>
      <c r="U80" s="7">
        <f>Table3[[#This Row],[E1Y]]+T$2</f>
        <v>2.36</v>
      </c>
      <c r="V80" s="7">
        <f>Table3[[#This Row],[E1TY]]+S$2</f>
        <v>2.2399999999999998</v>
      </c>
      <c r="W80" s="7">
        <f>P$2+Q$2*(Table3[[#This Row],[Effect 1 Y]]-1)</f>
        <v>2.96</v>
      </c>
      <c r="X80" s="7">
        <f>Table3[[#This Row],[E2Y]]+T$2</f>
        <v>4.5200000000000005</v>
      </c>
      <c r="Y80" s="7">
        <f>Table3[[#This Row],[E2TY]]+S$2</f>
        <v>4.4000000000000004</v>
      </c>
      <c r="Z80" s="7">
        <f>P$2+Q$2*(Table3[[#This Row],[Effect 2 Y]]-1)+R$2</f>
        <v>5.12</v>
      </c>
      <c r="AA80" s="7">
        <f>Table3[[#This Row],[E3Y]]+T$2</f>
        <v>2.2699999999999996</v>
      </c>
      <c r="AB80" s="7">
        <f>Table3[[#This Row],[E3TY]]+S$2</f>
        <v>2.1499999999999995</v>
      </c>
      <c r="AC80" s="17">
        <f>P$2+Q$2*(Table3[[#This Row],[Effect 3 Y]]-1)+2*R$2</f>
        <v>2.8699999999999997</v>
      </c>
    </row>
    <row r="81" spans="1:29" ht="45" x14ac:dyDescent="0.25">
      <c r="A81" s="9" t="s">
        <v>63</v>
      </c>
      <c r="B81" s="7" t="s">
        <v>6</v>
      </c>
      <c r="C81" s="9"/>
      <c r="D81" s="7">
        <v>1</v>
      </c>
      <c r="E81" s="17" t="s">
        <v>34</v>
      </c>
      <c r="F81" s="17" t="s">
        <v>140</v>
      </c>
      <c r="G81" s="21" t="s">
        <v>157</v>
      </c>
      <c r="H81" s="7">
        <v>3</v>
      </c>
      <c r="I81" s="9" t="s">
        <v>11</v>
      </c>
      <c r="J81" s="9" t="s">
        <v>147</v>
      </c>
      <c r="K81" s="9" t="s">
        <v>146</v>
      </c>
      <c r="L81" s="7"/>
      <c r="M81" s="7"/>
      <c r="N81" s="7"/>
      <c r="O81" s="9"/>
      <c r="P81" s="7"/>
      <c r="Q81" s="7"/>
      <c r="R81" s="7"/>
      <c r="S81" s="7"/>
      <c r="T81" s="7"/>
      <c r="U81" s="7">
        <f>Table3[[#This Row],[E1Y]]+T$2</f>
        <v>2.36</v>
      </c>
      <c r="V81" s="7">
        <f>Table3[[#This Row],[E1TY]]+S$2</f>
        <v>2.2399999999999998</v>
      </c>
      <c r="W81" s="7">
        <f>P$2+Q$2*(Table3[[#This Row],[Effect 1 Y]]-1)</f>
        <v>2.96</v>
      </c>
      <c r="X81" s="7">
        <f>Table3[[#This Row],[E2Y]]+T$2</f>
        <v>3.5399999999999996</v>
      </c>
      <c r="Y81" s="7">
        <f>Table3[[#This Row],[E2TY]]+S$2</f>
        <v>3.4199999999999995</v>
      </c>
      <c r="Z81" s="7">
        <f>P$2+Q$2*(Table3[[#This Row],[Effect 2 Y]]-1)+R$2</f>
        <v>4.1399999999999997</v>
      </c>
      <c r="AA81" s="7">
        <f>Table3[[#This Row],[E3Y]]+T$2</f>
        <v>2.2699999999999996</v>
      </c>
      <c r="AB81" s="7">
        <f>Table3[[#This Row],[E3TY]]+S$2</f>
        <v>2.1499999999999995</v>
      </c>
      <c r="AC81" s="17">
        <f>P$2+Q$2*(Table3[[#This Row],[Effect 3 Y]]-1)+2*R$2</f>
        <v>2.8699999999999997</v>
      </c>
    </row>
    <row r="82" spans="1:29" ht="60" x14ac:dyDescent="0.25">
      <c r="A82" s="9" t="s">
        <v>64</v>
      </c>
      <c r="B82" s="7" t="s">
        <v>6</v>
      </c>
      <c r="C82" s="9"/>
      <c r="D82" s="7">
        <v>1</v>
      </c>
      <c r="E82" s="17" t="s">
        <v>34</v>
      </c>
      <c r="F82" s="17" t="s">
        <v>141</v>
      </c>
      <c r="G82" s="21" t="s">
        <v>181</v>
      </c>
      <c r="H82" s="17">
        <v>3</v>
      </c>
      <c r="I82" s="9" t="s">
        <v>11</v>
      </c>
      <c r="J82" s="9" t="s">
        <v>149</v>
      </c>
      <c r="K82" s="9" t="s">
        <v>148</v>
      </c>
      <c r="L82" s="7">
        <v>9.5</v>
      </c>
      <c r="M82" s="7" t="s">
        <v>168</v>
      </c>
      <c r="N82" s="7" t="s">
        <v>178</v>
      </c>
      <c r="O82" s="9" t="s">
        <v>182</v>
      </c>
      <c r="P82" s="7"/>
      <c r="Q82" s="7"/>
      <c r="R82" s="7"/>
      <c r="S82" s="7"/>
      <c r="T82" s="7"/>
      <c r="U82" s="7">
        <f>Table3[[#This Row],[E1Y]]+T$2</f>
        <v>2.36</v>
      </c>
      <c r="V82" s="7">
        <f>Table3[[#This Row],[E1TY]]+S$2</f>
        <v>2.2399999999999998</v>
      </c>
      <c r="W82" s="7">
        <f>P$2+Q$2*(Table3[[#This Row],[Effect 1 Y]]-1)</f>
        <v>2.96</v>
      </c>
      <c r="X82" s="7">
        <f>Table3[[#This Row],[E2Y]]+T$2</f>
        <v>3.5399999999999996</v>
      </c>
      <c r="Y82" s="7">
        <f>Table3[[#This Row],[E2TY]]+S$2</f>
        <v>3.4199999999999995</v>
      </c>
      <c r="Z82" s="7">
        <f>P$2+Q$2*(Table3[[#This Row],[Effect 2 Y]]-1)+R$2</f>
        <v>4.1399999999999997</v>
      </c>
      <c r="AA82" s="7">
        <f>Table3[[#This Row],[E3Y]]+T$2</f>
        <v>6.9250000000000007</v>
      </c>
      <c r="AB82" s="7">
        <f>Table3[[#This Row],[E3TY]]+S$2</f>
        <v>6.8050000000000006</v>
      </c>
      <c r="AC82" s="17">
        <f>P$2+Q$2*(Table3[[#This Row],[Effect 3 Y]]-1)+2*R$2</f>
        <v>7.5250000000000004</v>
      </c>
    </row>
    <row r="83" spans="1:29" ht="60" x14ac:dyDescent="0.25">
      <c r="A83" s="9" t="s">
        <v>65</v>
      </c>
      <c r="B83" s="7" t="s">
        <v>6</v>
      </c>
      <c r="C83" s="9"/>
      <c r="D83" s="7">
        <v>1</v>
      </c>
      <c r="E83" s="17" t="s">
        <v>34</v>
      </c>
      <c r="F83" s="17" t="s">
        <v>142</v>
      </c>
      <c r="G83" s="21" t="s">
        <v>173</v>
      </c>
      <c r="H83" s="7">
        <v>3</v>
      </c>
      <c r="I83" s="9" t="s">
        <v>11</v>
      </c>
      <c r="J83" s="9" t="s">
        <v>151</v>
      </c>
      <c r="K83" s="9" t="s">
        <v>150</v>
      </c>
      <c r="L83" s="7">
        <v>9.5</v>
      </c>
      <c r="M83" s="7" t="s">
        <v>168</v>
      </c>
      <c r="N83" s="7" t="s">
        <v>178</v>
      </c>
      <c r="O83" s="9" t="s">
        <v>183</v>
      </c>
      <c r="P83" s="7"/>
      <c r="Q83" s="7"/>
      <c r="R83" s="7"/>
      <c r="S83" s="7"/>
      <c r="T83" s="7"/>
      <c r="U83" s="7">
        <f>Table3[[#This Row],[E1Y]]+T$2</f>
        <v>2.36</v>
      </c>
      <c r="V83" s="7">
        <f>Table3[[#This Row],[E1TY]]+S$2</f>
        <v>2.2399999999999998</v>
      </c>
      <c r="W83" s="7">
        <f>P$2+Q$2*(Table3[[#This Row],[Effect 1 Y]]-1)</f>
        <v>2.96</v>
      </c>
      <c r="X83" s="7">
        <f>Table3[[#This Row],[E2Y]]+T$2</f>
        <v>3.5399999999999996</v>
      </c>
      <c r="Y83" s="7">
        <f>Table3[[#This Row],[E2TY]]+S$2</f>
        <v>3.4199999999999995</v>
      </c>
      <c r="Z83" s="7">
        <f>P$2+Q$2*(Table3[[#This Row],[Effect 2 Y]]-1)+R$2</f>
        <v>4.1399999999999997</v>
      </c>
      <c r="AA83" s="7">
        <f>Table3[[#This Row],[E3Y]]+T$2</f>
        <v>6.9250000000000007</v>
      </c>
      <c r="AB83" s="7">
        <f>Table3[[#This Row],[E3TY]]+S$2</f>
        <v>6.8050000000000006</v>
      </c>
      <c r="AC83" s="17">
        <f>P$2+Q$2*(Table3[[#This Row],[Effect 3 Y]]-1)+2*R$2</f>
        <v>7.5250000000000004</v>
      </c>
    </row>
    <row r="84" spans="1:29" ht="30" x14ac:dyDescent="0.25">
      <c r="A84" s="9" t="s">
        <v>66</v>
      </c>
      <c r="B84" s="7" t="s">
        <v>6</v>
      </c>
      <c r="C84" s="9"/>
      <c r="D84" s="7">
        <v>1</v>
      </c>
      <c r="E84" s="17" t="s">
        <v>56</v>
      </c>
      <c r="F84" s="17" t="s">
        <v>143</v>
      </c>
      <c r="G84" s="21" t="s">
        <v>144</v>
      </c>
      <c r="H84" s="7"/>
      <c r="I84" s="9"/>
      <c r="J84" s="9"/>
      <c r="K84" s="9"/>
      <c r="L84" s="7"/>
      <c r="M84" s="7"/>
      <c r="N84" s="7"/>
      <c r="O84" s="9"/>
      <c r="P84" s="7"/>
      <c r="Q84" s="7"/>
      <c r="R84" s="7"/>
      <c r="S84" s="7"/>
      <c r="T84" s="7"/>
      <c r="U84" s="7">
        <f>Table3[[#This Row],[E1Y]]+T$2</f>
        <v>2.36</v>
      </c>
      <c r="V84" s="7">
        <f>Table3[[#This Row],[E1TY]]+S$2</f>
        <v>2.2399999999999998</v>
      </c>
      <c r="W84" s="7">
        <f>P$2+Q$2*(Table3[[#This Row],[Effect 1 Y]]-1)</f>
        <v>2.96</v>
      </c>
      <c r="X84" s="7">
        <f>Table3[[#This Row],[E2Y]]+T$2</f>
        <v>2.0699999999999998</v>
      </c>
      <c r="Y84" s="7">
        <f>Table3[[#This Row],[E2TY]]+S$2</f>
        <v>1.9499999999999997</v>
      </c>
      <c r="Z84" s="7">
        <f>P$2+Q$2*(Table3[[#This Row],[Effect 2 Y]]-1)+R$2</f>
        <v>2.67</v>
      </c>
      <c r="AA84" s="7">
        <f>Table3[[#This Row],[E3Y]]+T$2</f>
        <v>2.2699999999999996</v>
      </c>
      <c r="AB84" s="7">
        <f>Table3[[#This Row],[E3TY]]+S$2</f>
        <v>2.1499999999999995</v>
      </c>
      <c r="AC84" s="17">
        <f>P$2+Q$2*(Table3[[#This Row],[Effect 3 Y]]-1)+2*R$2</f>
        <v>2.8699999999999997</v>
      </c>
    </row>
    <row r="85" spans="1:29" ht="90" x14ac:dyDescent="0.25">
      <c r="A85" s="9" t="s">
        <v>67</v>
      </c>
      <c r="B85" s="7" t="s">
        <v>6</v>
      </c>
      <c r="C85" s="9" t="s">
        <v>194</v>
      </c>
      <c r="D85" s="7">
        <v>1</v>
      </c>
      <c r="E85" s="17" t="s">
        <v>11</v>
      </c>
      <c r="F85" s="17" t="s">
        <v>153</v>
      </c>
      <c r="G85" s="21" t="s">
        <v>152</v>
      </c>
      <c r="H85" s="7">
        <v>4</v>
      </c>
      <c r="I85" s="9" t="s">
        <v>56</v>
      </c>
      <c r="J85" s="9" t="s">
        <v>154</v>
      </c>
      <c r="K85" s="9" t="s">
        <v>155</v>
      </c>
      <c r="L85" s="7"/>
      <c r="M85" s="7"/>
      <c r="N85" s="7"/>
      <c r="O85" s="9"/>
      <c r="P85" s="7"/>
      <c r="Q85" s="7"/>
      <c r="R85" s="7"/>
      <c r="S85" s="7"/>
      <c r="T85" s="7"/>
      <c r="U85" s="7">
        <f>Table3[[#This Row],[E1Y]]+T$2</f>
        <v>2.36</v>
      </c>
      <c r="V85" s="7">
        <f>Table3[[#This Row],[E1TY]]+S$2</f>
        <v>2.2399999999999998</v>
      </c>
      <c r="W85" s="7">
        <f>P$2+Q$2*(Table3[[#This Row],[Effect 1 Y]]-1)</f>
        <v>2.96</v>
      </c>
      <c r="X85" s="7">
        <f>Table3[[#This Row],[E2Y]]+T$2</f>
        <v>4.03</v>
      </c>
      <c r="Y85" s="7">
        <f>Table3[[#This Row],[E2TY]]+S$2</f>
        <v>3.91</v>
      </c>
      <c r="Z85" s="7">
        <f>P$2+Q$2*(Table3[[#This Row],[Effect 2 Y]]-1)+R$2</f>
        <v>4.63</v>
      </c>
      <c r="AA85" s="7">
        <f>Table3[[#This Row],[E3Y]]+T$2</f>
        <v>2.2699999999999996</v>
      </c>
      <c r="AB85" s="7">
        <f>Table3[[#This Row],[E3TY]]+S$2</f>
        <v>2.1499999999999995</v>
      </c>
      <c r="AC85" s="17">
        <f>P$2+Q$2*(Table3[[#This Row],[Effect 3 Y]]-1)+2*R$2</f>
        <v>2.8699999999999997</v>
      </c>
    </row>
    <row r="86" spans="1:29" ht="30" x14ac:dyDescent="0.25">
      <c r="A86" s="9" t="s">
        <v>68</v>
      </c>
      <c r="B86" s="7" t="s">
        <v>6</v>
      </c>
      <c r="C86" s="9"/>
      <c r="D86" s="7">
        <v>1</v>
      </c>
      <c r="E86" s="17" t="s">
        <v>34</v>
      </c>
      <c r="F86" s="17" t="s">
        <v>156</v>
      </c>
      <c r="G86" s="21" t="s">
        <v>184</v>
      </c>
      <c r="H86" s="17">
        <v>9.5</v>
      </c>
      <c r="I86" s="9" t="s">
        <v>168</v>
      </c>
      <c r="J86" s="9" t="s">
        <v>178</v>
      </c>
      <c r="K86" s="9" t="s">
        <v>185</v>
      </c>
      <c r="L86" s="7"/>
      <c r="M86" s="7"/>
      <c r="N86" s="7"/>
      <c r="O86" s="9"/>
      <c r="P86" s="7"/>
      <c r="Q86" s="7"/>
      <c r="R86" s="7"/>
      <c r="S86" s="7"/>
      <c r="T86" s="7"/>
      <c r="U86" s="7">
        <f>Table3[[#This Row],[E1Y]]+T$2</f>
        <v>2.36</v>
      </c>
      <c r="V86" s="7">
        <f>Table3[[#This Row],[E1TY]]+S$2</f>
        <v>2.2399999999999998</v>
      </c>
      <c r="W86" s="7">
        <f>P$2+Q$2*(Table3[[#This Row],[Effect 1 Y]]-1)</f>
        <v>2.96</v>
      </c>
      <c r="X86" s="7">
        <f>Table3[[#This Row],[E2Y]]+T$2</f>
        <v>6.7250000000000005</v>
      </c>
      <c r="Y86" s="7">
        <f>Table3[[#This Row],[E2TY]]+S$2</f>
        <v>6.6050000000000004</v>
      </c>
      <c r="Z86" s="7">
        <f>P$2+Q$2*(Table3[[#This Row],[Effect 2 Y]]-1)+R$2</f>
        <v>7.3250000000000002</v>
      </c>
      <c r="AA86" s="7">
        <f>Table3[[#This Row],[E3Y]]+T$2</f>
        <v>2.2699999999999996</v>
      </c>
      <c r="AB86" s="7">
        <f>Table3[[#This Row],[E3TY]]+S$2</f>
        <v>2.1499999999999995</v>
      </c>
      <c r="AC86" s="17">
        <f>P$2+Q$2*(Table3[[#This Row],[Effect 3 Y]]-1)+2*R$2</f>
        <v>2.8699999999999997</v>
      </c>
    </row>
    <row r="87" spans="1:29" ht="60" x14ac:dyDescent="0.25">
      <c r="A87" s="9" t="s">
        <v>69</v>
      </c>
      <c r="B87" s="7" t="s">
        <v>6</v>
      </c>
      <c r="C87" s="9"/>
      <c r="D87" s="7">
        <v>1</v>
      </c>
      <c r="E87" s="17" t="s">
        <v>34</v>
      </c>
      <c r="F87" s="17" t="s">
        <v>158</v>
      </c>
      <c r="G87" s="21" t="s">
        <v>163</v>
      </c>
      <c r="H87" s="7">
        <v>3</v>
      </c>
      <c r="I87" s="9" t="s">
        <v>34</v>
      </c>
      <c r="J87" s="9" t="s">
        <v>160</v>
      </c>
      <c r="K87" s="9" t="s">
        <v>159</v>
      </c>
      <c r="L87" s="7"/>
      <c r="M87" s="7"/>
      <c r="N87" s="7"/>
      <c r="O87" s="9"/>
      <c r="P87" s="7"/>
      <c r="Q87" s="7"/>
      <c r="R87" s="7"/>
      <c r="S87" s="7"/>
      <c r="T87" s="7"/>
      <c r="U87" s="7">
        <f>Table3[[#This Row],[E1Y]]+T$2</f>
        <v>2.36</v>
      </c>
      <c r="V87" s="7">
        <f>Table3[[#This Row],[E1TY]]+S$2</f>
        <v>2.2399999999999998</v>
      </c>
      <c r="W87" s="7">
        <f>P$2+Q$2*(Table3[[#This Row],[Effect 1 Y]]-1)</f>
        <v>2.96</v>
      </c>
      <c r="X87" s="7">
        <f>Table3[[#This Row],[E2Y]]+T$2</f>
        <v>3.5399999999999996</v>
      </c>
      <c r="Y87" s="7">
        <f>Table3[[#This Row],[E2TY]]+S$2</f>
        <v>3.4199999999999995</v>
      </c>
      <c r="Z87" s="7">
        <f>P$2+Q$2*(Table3[[#This Row],[Effect 2 Y]]-1)+R$2</f>
        <v>4.1399999999999997</v>
      </c>
      <c r="AA87" s="7">
        <f>Table3[[#This Row],[E3Y]]+T$2</f>
        <v>2.2699999999999996</v>
      </c>
      <c r="AB87" s="7">
        <f>Table3[[#This Row],[E3TY]]+S$2</f>
        <v>2.1499999999999995</v>
      </c>
      <c r="AC87" s="17">
        <f>P$2+Q$2*(Table3[[#This Row],[Effect 3 Y]]-1)+2*R$2</f>
        <v>2.8699999999999997</v>
      </c>
    </row>
    <row r="88" spans="1:29" ht="45" x14ac:dyDescent="0.25">
      <c r="A88" s="16" t="s">
        <v>70</v>
      </c>
      <c r="B88" s="17" t="s">
        <v>6</v>
      </c>
      <c r="C88" s="16"/>
      <c r="D88" s="7">
        <v>1</v>
      </c>
      <c r="E88" s="17" t="s">
        <v>34</v>
      </c>
      <c r="F88" s="17" t="s">
        <v>161</v>
      </c>
      <c r="G88" s="21" t="s">
        <v>369</v>
      </c>
      <c r="H88" s="7"/>
      <c r="I88" s="9"/>
      <c r="J88" s="9"/>
      <c r="K88" s="16"/>
      <c r="L88" s="7"/>
      <c r="M88" s="7"/>
      <c r="N88" s="7"/>
      <c r="O88" s="16"/>
      <c r="P88" s="7"/>
      <c r="Q88" s="7"/>
      <c r="R88" s="7"/>
      <c r="S88" s="7"/>
      <c r="T88" s="7"/>
      <c r="U88" s="7">
        <f>Table3[[#This Row],[E1Y]]+T$2</f>
        <v>2.36</v>
      </c>
      <c r="V88" s="7">
        <f>Table3[[#This Row],[E1TY]]+S$2</f>
        <v>2.2399999999999998</v>
      </c>
      <c r="W88" s="7">
        <f>P$2+Q$2*(Table3[[#This Row],[Effect 1 Y]]-1)</f>
        <v>2.96</v>
      </c>
      <c r="X88" s="7">
        <f>Table3[[#This Row],[E2Y]]+T$2</f>
        <v>2.0699999999999998</v>
      </c>
      <c r="Y88" s="7">
        <f>Table3[[#This Row],[E2TY]]+S$2</f>
        <v>1.9499999999999997</v>
      </c>
      <c r="Z88" s="7">
        <f>P$2+Q$2*(Table3[[#This Row],[Effect 2 Y]]-1)+R$2</f>
        <v>2.67</v>
      </c>
      <c r="AA88" s="7">
        <f>Table3[[#This Row],[E3Y]]+T$2</f>
        <v>2.2699999999999996</v>
      </c>
      <c r="AB88" s="7">
        <f>Table3[[#This Row],[E3TY]]+S$2</f>
        <v>2.1499999999999995</v>
      </c>
      <c r="AC88" s="17">
        <f>P$2+Q$2*(Table3[[#This Row],[Effect 3 Y]]-1)+2*R$2</f>
        <v>2.8699999999999997</v>
      </c>
    </row>
    <row r="89" spans="1:29" ht="90" x14ac:dyDescent="0.25">
      <c r="A89" s="9" t="s">
        <v>71</v>
      </c>
      <c r="B89" s="7" t="s">
        <v>6</v>
      </c>
      <c r="C89" s="9"/>
      <c r="D89" s="7">
        <v>1</v>
      </c>
      <c r="E89" s="17" t="s">
        <v>34</v>
      </c>
      <c r="F89" s="17" t="s">
        <v>162</v>
      </c>
      <c r="G89" s="21" t="s">
        <v>370</v>
      </c>
      <c r="H89" s="7">
        <v>8.5</v>
      </c>
      <c r="I89" s="9" t="s">
        <v>34</v>
      </c>
      <c r="J89" s="9" t="s">
        <v>164</v>
      </c>
      <c r="K89" s="18" t="s">
        <v>371</v>
      </c>
      <c r="L89" s="7"/>
      <c r="M89" s="7"/>
      <c r="N89" s="7"/>
      <c r="O89" s="9"/>
      <c r="P89" s="7"/>
      <c r="Q89" s="7"/>
      <c r="R89" s="7"/>
      <c r="S89" s="7"/>
      <c r="T89" s="7"/>
      <c r="U89" s="7">
        <f>Table3[[#This Row],[E1Y]]+T$2</f>
        <v>2.36</v>
      </c>
      <c r="V89" s="7">
        <f>Table3[[#This Row],[E1TY]]+S$2</f>
        <v>2.2399999999999998</v>
      </c>
      <c r="W89" s="7">
        <f>P$2+Q$2*(Table3[[#This Row],[Effect 1 Y]]-1)</f>
        <v>2.96</v>
      </c>
      <c r="X89" s="7">
        <f>Table3[[#This Row],[E2Y]]+T$2</f>
        <v>6.2350000000000003</v>
      </c>
      <c r="Y89" s="7">
        <f>Table3[[#This Row],[E2TY]]+S$2</f>
        <v>6.1150000000000002</v>
      </c>
      <c r="Z89" s="7">
        <f>P$2+Q$2*(Table3[[#This Row],[Effect 2 Y]]-1)+R$2</f>
        <v>6.835</v>
      </c>
      <c r="AA89" s="7">
        <f>Table3[[#This Row],[E3Y]]+T$2</f>
        <v>2.2699999999999996</v>
      </c>
      <c r="AB89" s="7">
        <f>Table3[[#This Row],[E3TY]]+S$2</f>
        <v>2.1499999999999995</v>
      </c>
      <c r="AC89" s="17">
        <f>P$2+Q$2*(Table3[[#This Row],[Effect 3 Y]]-1)+2*R$2</f>
        <v>2.8699999999999997</v>
      </c>
    </row>
    <row r="90" spans="1:29" ht="60" x14ac:dyDescent="0.25">
      <c r="A90" s="9" t="s">
        <v>72</v>
      </c>
      <c r="B90" s="7" t="s">
        <v>6</v>
      </c>
      <c r="C90" s="16"/>
      <c r="D90" s="7">
        <v>1</v>
      </c>
      <c r="E90" s="17" t="s">
        <v>34</v>
      </c>
      <c r="F90" s="17" t="s">
        <v>165</v>
      </c>
      <c r="G90" s="21" t="s">
        <v>163</v>
      </c>
      <c r="H90" s="7">
        <v>3</v>
      </c>
      <c r="I90" s="9" t="s">
        <v>11</v>
      </c>
      <c r="J90" s="9" t="s">
        <v>167</v>
      </c>
      <c r="K90" s="9" t="s">
        <v>166</v>
      </c>
      <c r="L90" s="7"/>
      <c r="M90" s="7"/>
      <c r="N90" s="7"/>
      <c r="O90" s="16"/>
      <c r="P90" s="7"/>
      <c r="Q90" s="7"/>
      <c r="R90" s="7"/>
      <c r="S90" s="7"/>
      <c r="T90" s="7"/>
      <c r="U90" s="7">
        <f>Table3[[#This Row],[E1Y]]+T$2</f>
        <v>2.36</v>
      </c>
      <c r="V90" s="7">
        <f>Table3[[#This Row],[E1TY]]+S$2</f>
        <v>2.2399999999999998</v>
      </c>
      <c r="W90" s="7">
        <f>P$2+Q$2*(Table3[[#This Row],[Effect 1 Y]]-1)</f>
        <v>2.96</v>
      </c>
      <c r="X90" s="7">
        <f>Table3[[#This Row],[E2Y]]+T$2</f>
        <v>3.5399999999999996</v>
      </c>
      <c r="Y90" s="7">
        <f>Table3[[#This Row],[E2TY]]+S$2</f>
        <v>3.4199999999999995</v>
      </c>
      <c r="Z90" s="7">
        <f>P$2+Q$2*(Table3[[#This Row],[Effect 2 Y]]-1)+R$2</f>
        <v>4.1399999999999997</v>
      </c>
      <c r="AA90" s="7">
        <f>Table3[[#This Row],[E3Y]]+T$2</f>
        <v>2.2699999999999996</v>
      </c>
      <c r="AB90" s="7">
        <f>Table3[[#This Row],[E3TY]]+S$2</f>
        <v>2.1499999999999995</v>
      </c>
      <c r="AC90" s="17">
        <f>P$2+Q$2*(Table3[[#This Row],[Effect 3 Y]]-1)+2*R$2</f>
        <v>2.8699999999999997</v>
      </c>
    </row>
    <row r="91" spans="1:29" ht="90" x14ac:dyDescent="0.25">
      <c r="A91" s="9" t="s">
        <v>73</v>
      </c>
      <c r="B91" s="7" t="s">
        <v>6</v>
      </c>
      <c r="C91" s="9"/>
      <c r="D91" s="7">
        <v>1</v>
      </c>
      <c r="E91" s="17" t="s">
        <v>34</v>
      </c>
      <c r="F91" s="17" t="s">
        <v>171</v>
      </c>
      <c r="G91" s="21" t="s">
        <v>172</v>
      </c>
      <c r="H91" s="7">
        <v>3</v>
      </c>
      <c r="I91" s="9" t="s">
        <v>34</v>
      </c>
      <c r="J91" s="9" t="s">
        <v>170</v>
      </c>
      <c r="K91" s="9" t="s">
        <v>372</v>
      </c>
      <c r="L91" s="7"/>
      <c r="M91" s="7"/>
      <c r="N91" s="7"/>
      <c r="O91" s="9"/>
      <c r="P91" s="7"/>
      <c r="Q91" s="7"/>
      <c r="R91" s="7"/>
      <c r="S91" s="7"/>
      <c r="T91" s="7"/>
      <c r="U91" s="7">
        <f>Table3[[#This Row],[E1Y]]+T$2</f>
        <v>2.36</v>
      </c>
      <c r="V91" s="7">
        <f>Table3[[#This Row],[E1TY]]+S$2</f>
        <v>2.2399999999999998</v>
      </c>
      <c r="W91" s="7">
        <f>P$2+Q$2*(Table3[[#This Row],[Effect 1 Y]]-1)</f>
        <v>2.96</v>
      </c>
      <c r="X91" s="7">
        <f>Table3[[#This Row],[E2Y]]+T$2</f>
        <v>3.5399999999999996</v>
      </c>
      <c r="Y91" s="7">
        <f>Table3[[#This Row],[E2TY]]+S$2</f>
        <v>3.4199999999999995</v>
      </c>
      <c r="Z91" s="7">
        <f>P$2+Q$2*(Table3[[#This Row],[Effect 2 Y]]-1)+R$2</f>
        <v>4.1399999999999997</v>
      </c>
      <c r="AA91" s="7">
        <f>Table3[[#This Row],[E3Y]]+T$2</f>
        <v>2.2699999999999996</v>
      </c>
      <c r="AB91" s="7">
        <f>Table3[[#This Row],[E3TY]]+S$2</f>
        <v>2.1499999999999995</v>
      </c>
      <c r="AC91" s="17">
        <f>P$2+Q$2*(Table3[[#This Row],[Effect 3 Y]]-1)+2*R$2</f>
        <v>2.8699999999999997</v>
      </c>
    </row>
    <row r="92" spans="1:29" ht="30" x14ac:dyDescent="0.25">
      <c r="A92" s="9" t="s">
        <v>74</v>
      </c>
      <c r="B92" s="7" t="s">
        <v>6</v>
      </c>
      <c r="C92" s="9"/>
      <c r="D92" s="7">
        <v>1</v>
      </c>
      <c r="E92" s="17" t="s">
        <v>34</v>
      </c>
      <c r="F92" s="17" t="s">
        <v>186</v>
      </c>
      <c r="G92" s="21" t="s">
        <v>187</v>
      </c>
      <c r="H92" s="7">
        <v>3</v>
      </c>
      <c r="I92" s="9" t="s">
        <v>56</v>
      </c>
      <c r="J92" s="9" t="s">
        <v>189</v>
      </c>
      <c r="K92" s="9" t="s">
        <v>188</v>
      </c>
      <c r="L92" s="7"/>
      <c r="M92" s="7"/>
      <c r="N92" s="7"/>
      <c r="O92" s="9"/>
      <c r="P92" s="7"/>
      <c r="Q92" s="7"/>
      <c r="R92" s="7"/>
      <c r="S92" s="7"/>
      <c r="T92" s="7"/>
      <c r="U92" s="7">
        <f>Table3[[#This Row],[E1Y]]+T$2</f>
        <v>2.36</v>
      </c>
      <c r="V92" s="7">
        <f>Table3[[#This Row],[E1TY]]+S$2</f>
        <v>2.2399999999999998</v>
      </c>
      <c r="W92" s="7">
        <f>P$2+Q$2*(Table3[[#This Row],[Effect 1 Y]]-1)</f>
        <v>2.96</v>
      </c>
      <c r="X92" s="7">
        <f>Table3[[#This Row],[E2Y]]+T$2</f>
        <v>3.5399999999999996</v>
      </c>
      <c r="Y92" s="7">
        <f>Table3[[#This Row],[E2TY]]+S$2</f>
        <v>3.4199999999999995</v>
      </c>
      <c r="Z92" s="7">
        <f>P$2+Q$2*(Table3[[#This Row],[Effect 2 Y]]-1)+R$2</f>
        <v>4.1399999999999997</v>
      </c>
      <c r="AA92" s="7">
        <f>Table3[[#This Row],[E3Y]]+T$2</f>
        <v>2.2699999999999996</v>
      </c>
      <c r="AB92" s="7">
        <f>Table3[[#This Row],[E3TY]]+S$2</f>
        <v>2.1499999999999995</v>
      </c>
      <c r="AC92" s="17">
        <f>P$2+Q$2*(Table3[[#This Row],[Effect 3 Y]]-1)+2*R$2</f>
        <v>2.8699999999999997</v>
      </c>
    </row>
    <row r="93" spans="1:29" ht="105" x14ac:dyDescent="0.25">
      <c r="A93" s="7" t="s">
        <v>75</v>
      </c>
      <c r="B93" s="7" t="s">
        <v>6</v>
      </c>
      <c r="C93" s="7" t="s">
        <v>195</v>
      </c>
      <c r="D93" s="7">
        <v>1</v>
      </c>
      <c r="E93" s="17" t="s">
        <v>11</v>
      </c>
      <c r="F93" s="17" t="s">
        <v>191</v>
      </c>
      <c r="G93" s="17" t="s">
        <v>190</v>
      </c>
      <c r="H93" s="7">
        <v>5</v>
      </c>
      <c r="I93" s="9" t="s">
        <v>11</v>
      </c>
      <c r="J93" s="9" t="s">
        <v>193</v>
      </c>
      <c r="K93" s="7" t="s">
        <v>192</v>
      </c>
      <c r="L93" s="7"/>
      <c r="M93" s="7"/>
      <c r="N93" s="7"/>
      <c r="O93" s="7"/>
      <c r="P93" s="7"/>
      <c r="Q93" s="7"/>
      <c r="R93" s="7"/>
      <c r="S93" s="7"/>
      <c r="T93" s="7"/>
      <c r="U93" s="7">
        <f>Table3[[#This Row],[E1Y]]+T$2</f>
        <v>2.36</v>
      </c>
      <c r="V93" s="7">
        <f>Table3[[#This Row],[E1TY]]+S$2</f>
        <v>2.2399999999999998</v>
      </c>
      <c r="W93" s="7">
        <f>P$2+Q$2*(Table3[[#This Row],[Effect 1 Y]]-1)</f>
        <v>2.96</v>
      </c>
      <c r="X93" s="7">
        <f>Table3[[#This Row],[E2Y]]+T$2</f>
        <v>4.5200000000000005</v>
      </c>
      <c r="Y93" s="7">
        <f>Table3[[#This Row],[E2TY]]+S$2</f>
        <v>4.4000000000000004</v>
      </c>
      <c r="Z93" s="7">
        <f>P$2+Q$2*(Table3[[#This Row],[Effect 2 Y]]-1)+R$2</f>
        <v>5.12</v>
      </c>
      <c r="AA93" s="7">
        <f>Table3[[#This Row],[E3Y]]+T$2</f>
        <v>2.2699999999999996</v>
      </c>
      <c r="AB93" s="7">
        <f>Table3[[#This Row],[E3TY]]+S$2</f>
        <v>2.1499999999999995</v>
      </c>
      <c r="AC93" s="17">
        <f>P$2+Q$2*(Table3[[#This Row],[Effect 3 Y]]-1)+2*R$2</f>
        <v>2.8699999999999997</v>
      </c>
    </row>
    <row r="94" spans="1:29" ht="60" x14ac:dyDescent="0.25">
      <c r="A94" s="17" t="s">
        <v>76</v>
      </c>
      <c r="B94" s="7" t="s">
        <v>6</v>
      </c>
      <c r="C94" s="17"/>
      <c r="D94" s="7">
        <v>1</v>
      </c>
      <c r="E94" s="17" t="s">
        <v>34</v>
      </c>
      <c r="F94" s="17" t="s">
        <v>197</v>
      </c>
      <c r="G94" s="17" t="s">
        <v>175</v>
      </c>
      <c r="H94" s="7">
        <v>3</v>
      </c>
      <c r="I94" s="9" t="s">
        <v>36</v>
      </c>
      <c r="J94" s="9" t="s">
        <v>220</v>
      </c>
      <c r="K94" s="17" t="s">
        <v>198</v>
      </c>
      <c r="L94" s="7"/>
      <c r="M94" s="7"/>
      <c r="N94" s="7"/>
      <c r="O94" s="17"/>
      <c r="P94" s="7"/>
      <c r="Q94" s="7"/>
      <c r="R94" s="7"/>
      <c r="S94" s="7"/>
      <c r="T94" s="7"/>
      <c r="U94" s="7">
        <f>Table3[[#This Row],[E1Y]]+T$2</f>
        <v>2.36</v>
      </c>
      <c r="V94" s="7">
        <f>Table3[[#This Row],[E1TY]]+S$2</f>
        <v>2.2399999999999998</v>
      </c>
      <c r="W94" s="7">
        <f>P$2+Q$2*(Table3[[#This Row],[Effect 1 Y]]-1)</f>
        <v>2.96</v>
      </c>
      <c r="X94" s="7">
        <f>Table3[[#This Row],[E2Y]]+T$2</f>
        <v>3.5399999999999996</v>
      </c>
      <c r="Y94" s="7">
        <f>Table3[[#This Row],[E2TY]]+S$2</f>
        <v>3.4199999999999995</v>
      </c>
      <c r="Z94" s="7">
        <f>P$2+Q$2*(Table3[[#This Row],[Effect 2 Y]]-1)+R$2</f>
        <v>4.1399999999999997</v>
      </c>
      <c r="AA94" s="7">
        <f>Table3[[#This Row],[E3Y]]+T$2</f>
        <v>2.2699999999999996</v>
      </c>
      <c r="AB94" s="7">
        <f>Table3[[#This Row],[E3TY]]+S$2</f>
        <v>2.1499999999999995</v>
      </c>
      <c r="AC94" s="17">
        <f>P$2+Q$2*(Table3[[#This Row],[Effect 3 Y]]-1)+2*R$2</f>
        <v>2.8699999999999997</v>
      </c>
    </row>
    <row r="95" spans="1:29" ht="60" x14ac:dyDescent="0.25">
      <c r="A95" s="7" t="s">
        <v>77</v>
      </c>
      <c r="B95" s="7" t="s">
        <v>6</v>
      </c>
      <c r="C95" s="7"/>
      <c r="D95" s="7">
        <v>1</v>
      </c>
      <c r="E95" s="17" t="s">
        <v>34</v>
      </c>
      <c r="F95" s="17" t="s">
        <v>200</v>
      </c>
      <c r="G95" s="17" t="s">
        <v>373</v>
      </c>
      <c r="H95" s="7">
        <v>5</v>
      </c>
      <c r="I95" s="9" t="s">
        <v>36</v>
      </c>
      <c r="J95" s="9" t="s">
        <v>221</v>
      </c>
      <c r="K95" s="7" t="s">
        <v>199</v>
      </c>
      <c r="L95" s="7"/>
      <c r="M95" s="7"/>
      <c r="N95" s="7"/>
      <c r="O95" s="7"/>
      <c r="P95" s="7"/>
      <c r="Q95" s="7"/>
      <c r="R95" s="7"/>
      <c r="S95" s="7"/>
      <c r="T95" s="7"/>
      <c r="U95" s="7">
        <f>Table3[[#This Row],[E1Y]]+T$2</f>
        <v>2.36</v>
      </c>
      <c r="V95" s="7">
        <f>Table3[[#This Row],[E1TY]]+S$2</f>
        <v>2.2399999999999998</v>
      </c>
      <c r="W95" s="7">
        <f>P$2+Q$2*(Table3[[#This Row],[Effect 1 Y]]-1)</f>
        <v>2.96</v>
      </c>
      <c r="X95" s="7">
        <f>Table3[[#This Row],[E2Y]]+T$2</f>
        <v>4.5200000000000005</v>
      </c>
      <c r="Y95" s="7">
        <f>Table3[[#This Row],[E2TY]]+S$2</f>
        <v>4.4000000000000004</v>
      </c>
      <c r="Z95" s="7">
        <f>P$2+Q$2*(Table3[[#This Row],[Effect 2 Y]]-1)+R$2</f>
        <v>5.12</v>
      </c>
      <c r="AA95" s="7">
        <f>Table3[[#This Row],[E3Y]]+T$2</f>
        <v>2.2699999999999996</v>
      </c>
      <c r="AB95" s="7">
        <f>Table3[[#This Row],[E3TY]]+S$2</f>
        <v>2.1499999999999995</v>
      </c>
      <c r="AC95" s="17">
        <f>P$2+Q$2*(Table3[[#This Row],[Effect 3 Y]]-1)+2*R$2</f>
        <v>2.8699999999999997</v>
      </c>
    </row>
    <row r="96" spans="1:29" ht="45" x14ac:dyDescent="0.25">
      <c r="A96" s="7" t="s">
        <v>78</v>
      </c>
      <c r="B96" s="7" t="s">
        <v>6</v>
      </c>
      <c r="C96" s="7"/>
      <c r="D96" s="7">
        <v>1</v>
      </c>
      <c r="E96" s="17" t="s">
        <v>34</v>
      </c>
      <c r="F96" s="17" t="s">
        <v>201</v>
      </c>
      <c r="G96" s="17" t="s">
        <v>163</v>
      </c>
      <c r="H96" s="7">
        <v>10</v>
      </c>
      <c r="I96" s="9" t="s">
        <v>168</v>
      </c>
      <c r="J96" s="9" t="s">
        <v>178</v>
      </c>
      <c r="K96" s="7" t="s">
        <v>202</v>
      </c>
      <c r="L96" s="7"/>
      <c r="M96" s="7"/>
      <c r="N96" s="7"/>
      <c r="O96" s="7"/>
      <c r="P96" s="7"/>
      <c r="Q96" s="7"/>
      <c r="R96" s="7"/>
      <c r="S96" s="7"/>
      <c r="T96" s="7"/>
      <c r="U96" s="7">
        <f>Table3[[#This Row],[E1Y]]+T$2</f>
        <v>2.36</v>
      </c>
      <c r="V96" s="7">
        <f>Table3[[#This Row],[E1TY]]+S$2</f>
        <v>2.2399999999999998</v>
      </c>
      <c r="W96" s="7">
        <f>P$2+Q$2*(Table3[[#This Row],[Effect 1 Y]]-1)</f>
        <v>2.96</v>
      </c>
      <c r="X96" s="7">
        <f>Table3[[#This Row],[E2Y]]+T$2</f>
        <v>6.9700000000000006</v>
      </c>
      <c r="Y96" s="7">
        <f>Table3[[#This Row],[E2TY]]+S$2</f>
        <v>6.8500000000000005</v>
      </c>
      <c r="Z96" s="7">
        <f>P$2+Q$2*(Table3[[#This Row],[Effect 2 Y]]-1)+R$2</f>
        <v>7.57</v>
      </c>
      <c r="AA96" s="7">
        <f>Table3[[#This Row],[E3Y]]+T$2</f>
        <v>2.2699999999999996</v>
      </c>
      <c r="AB96" s="7">
        <f>Table3[[#This Row],[E3TY]]+S$2</f>
        <v>2.1499999999999995</v>
      </c>
      <c r="AC96" s="17">
        <f>P$2+Q$2*(Table3[[#This Row],[Effect 3 Y]]-1)+2*R$2</f>
        <v>2.8699999999999997</v>
      </c>
    </row>
    <row r="97" spans="1:29" ht="45" x14ac:dyDescent="0.25">
      <c r="A97" s="7" t="s">
        <v>79</v>
      </c>
      <c r="B97" s="7" t="s">
        <v>6</v>
      </c>
      <c r="C97" s="7"/>
      <c r="D97" s="7">
        <v>1</v>
      </c>
      <c r="E97" s="17" t="s">
        <v>56</v>
      </c>
      <c r="F97" s="17" t="s">
        <v>204</v>
      </c>
      <c r="G97" s="17" t="s">
        <v>203</v>
      </c>
      <c r="H97" s="7">
        <v>6</v>
      </c>
      <c r="I97" s="9" t="s">
        <v>36</v>
      </c>
      <c r="J97" s="9" t="s">
        <v>206</v>
      </c>
      <c r="K97" s="7" t="s">
        <v>205</v>
      </c>
      <c r="L97" s="7"/>
      <c r="M97" s="7"/>
      <c r="N97" s="7"/>
      <c r="O97" s="7"/>
      <c r="P97" s="7"/>
      <c r="Q97" s="7"/>
      <c r="R97" s="7"/>
      <c r="S97" s="7"/>
      <c r="T97" s="7"/>
      <c r="U97" s="7">
        <f>Table3[[#This Row],[E1Y]]+T$2</f>
        <v>2.36</v>
      </c>
      <c r="V97" s="7">
        <f>Table3[[#This Row],[E1TY]]+S$2</f>
        <v>2.2399999999999998</v>
      </c>
      <c r="W97" s="7">
        <f>P$2+Q$2*(Table3[[#This Row],[Effect 1 Y]]-1)</f>
        <v>2.96</v>
      </c>
      <c r="X97" s="7">
        <f>Table3[[#This Row],[E2Y]]+T$2</f>
        <v>5.0100000000000007</v>
      </c>
      <c r="Y97" s="7">
        <f>Table3[[#This Row],[E2TY]]+S$2</f>
        <v>4.8900000000000006</v>
      </c>
      <c r="Z97" s="7">
        <f>P$2+Q$2*(Table3[[#This Row],[Effect 2 Y]]-1)+R$2</f>
        <v>5.61</v>
      </c>
      <c r="AA97" s="7">
        <f>Table3[[#This Row],[E3Y]]+T$2</f>
        <v>2.2699999999999996</v>
      </c>
      <c r="AB97" s="7">
        <f>Table3[[#This Row],[E3TY]]+S$2</f>
        <v>2.1499999999999995</v>
      </c>
      <c r="AC97" s="17">
        <f>P$2+Q$2*(Table3[[#This Row],[Effect 3 Y]]-1)+2*R$2</f>
        <v>2.8699999999999997</v>
      </c>
    </row>
    <row r="98" spans="1:29" ht="45" x14ac:dyDescent="0.25">
      <c r="A98" s="7" t="s">
        <v>80</v>
      </c>
      <c r="B98" s="7" t="s">
        <v>6</v>
      </c>
      <c r="C98" s="7"/>
      <c r="D98" s="7">
        <v>1</v>
      </c>
      <c r="E98" s="17" t="s">
        <v>34</v>
      </c>
      <c r="F98" s="17" t="s">
        <v>207</v>
      </c>
      <c r="G98" s="17" t="s">
        <v>173</v>
      </c>
      <c r="H98" s="7">
        <v>3</v>
      </c>
      <c r="I98" s="9" t="s">
        <v>36</v>
      </c>
      <c r="J98" s="9" t="s">
        <v>209</v>
      </c>
      <c r="K98" s="7" t="s">
        <v>208</v>
      </c>
      <c r="L98" s="7">
        <v>10.5</v>
      </c>
      <c r="M98" s="7" t="s">
        <v>168</v>
      </c>
      <c r="N98" s="7" t="s">
        <v>178</v>
      </c>
      <c r="O98" s="7" t="s">
        <v>210</v>
      </c>
      <c r="P98" s="7"/>
      <c r="Q98" s="7"/>
      <c r="R98" s="7"/>
      <c r="S98" s="7"/>
      <c r="T98" s="7"/>
      <c r="U98" s="7">
        <f>Table3[[#This Row],[E1Y]]+T$2</f>
        <v>2.36</v>
      </c>
      <c r="V98" s="7">
        <f>Table3[[#This Row],[E1TY]]+S$2</f>
        <v>2.2399999999999998</v>
      </c>
      <c r="W98" s="7">
        <f>P$2+Q$2*(Table3[[#This Row],[Effect 1 Y]]-1)</f>
        <v>2.96</v>
      </c>
      <c r="X98" s="7">
        <f>Table3[[#This Row],[E2Y]]+T$2</f>
        <v>3.5399999999999996</v>
      </c>
      <c r="Y98" s="7">
        <f>Table3[[#This Row],[E2TY]]+S$2</f>
        <v>3.4199999999999995</v>
      </c>
      <c r="Z98" s="7">
        <f>P$2+Q$2*(Table3[[#This Row],[Effect 2 Y]]-1)+R$2</f>
        <v>4.1399999999999997</v>
      </c>
      <c r="AA98" s="7">
        <f>Table3[[#This Row],[E3Y]]+T$2</f>
        <v>7.4150000000000009</v>
      </c>
      <c r="AB98" s="7">
        <f>Table3[[#This Row],[E3TY]]+S$2</f>
        <v>7.2950000000000008</v>
      </c>
      <c r="AC98" s="17">
        <f>P$2+Q$2*(Table3[[#This Row],[Effect 3 Y]]-1)+2*R$2</f>
        <v>8.0150000000000006</v>
      </c>
    </row>
    <row r="99" spans="1:29" ht="30" x14ac:dyDescent="0.25">
      <c r="A99" s="7" t="s">
        <v>81</v>
      </c>
      <c r="B99" s="7" t="s">
        <v>6</v>
      </c>
      <c r="C99" s="7"/>
      <c r="D99" s="7">
        <v>1</v>
      </c>
      <c r="E99" s="17" t="s">
        <v>34</v>
      </c>
      <c r="F99" s="17" t="s">
        <v>211</v>
      </c>
      <c r="G99" s="17" t="s">
        <v>374</v>
      </c>
      <c r="H99" s="7"/>
      <c r="I99" s="9"/>
      <c r="J99" s="9"/>
      <c r="K99" s="7"/>
      <c r="L99" s="7"/>
      <c r="M99" s="7"/>
      <c r="N99" s="7"/>
      <c r="O99" s="7"/>
      <c r="P99" s="7"/>
      <c r="Q99" s="7"/>
      <c r="R99" s="7"/>
      <c r="S99" s="7"/>
      <c r="T99" s="7"/>
      <c r="U99" s="7">
        <f>Table3[[#This Row],[E1Y]]+T$2</f>
        <v>2.36</v>
      </c>
      <c r="V99" s="7">
        <f>Table3[[#This Row],[E1TY]]+S$2</f>
        <v>2.2399999999999998</v>
      </c>
      <c r="W99" s="7">
        <f>P$2+Q$2*(Table3[[#This Row],[Effect 1 Y]]-1)</f>
        <v>2.96</v>
      </c>
      <c r="X99" s="7">
        <f>Table3[[#This Row],[E2Y]]+T$2</f>
        <v>2.0699999999999998</v>
      </c>
      <c r="Y99" s="7">
        <f>Table3[[#This Row],[E2TY]]+S$2</f>
        <v>1.9499999999999997</v>
      </c>
      <c r="Z99" s="7">
        <f>P$2+Q$2*(Table3[[#This Row],[Effect 2 Y]]-1)+R$2</f>
        <v>2.67</v>
      </c>
      <c r="AA99" s="7">
        <f>Table3[[#This Row],[E3Y]]+T$2</f>
        <v>2.2699999999999996</v>
      </c>
      <c r="AB99" s="7">
        <f>Table3[[#This Row],[E3TY]]+S$2</f>
        <v>2.1499999999999995</v>
      </c>
      <c r="AC99" s="17">
        <f>P$2+Q$2*(Table3[[#This Row],[Effect 3 Y]]-1)+2*R$2</f>
        <v>2.8699999999999997</v>
      </c>
    </row>
    <row r="100" spans="1:29" ht="30" x14ac:dyDescent="0.25">
      <c r="A100" s="17" t="s">
        <v>82</v>
      </c>
      <c r="B100" s="17" t="s">
        <v>6</v>
      </c>
      <c r="C100" s="17"/>
      <c r="D100" s="7">
        <v>1</v>
      </c>
      <c r="E100" s="17" t="s">
        <v>34</v>
      </c>
      <c r="F100" s="17" t="s">
        <v>212</v>
      </c>
      <c r="G100" s="17" t="s">
        <v>213</v>
      </c>
      <c r="H100" s="7"/>
      <c r="I100" s="9"/>
      <c r="J100" s="9"/>
      <c r="K100" s="17"/>
      <c r="L100" s="7"/>
      <c r="M100" s="7"/>
      <c r="N100" s="7"/>
      <c r="O100" s="17"/>
      <c r="P100" s="7"/>
      <c r="Q100" s="7"/>
      <c r="R100" s="7"/>
      <c r="S100" s="7"/>
      <c r="T100" s="7"/>
      <c r="U100" s="7">
        <f>Table3[[#This Row],[E1Y]]+T$2</f>
        <v>2.36</v>
      </c>
      <c r="V100" s="7">
        <f>Table3[[#This Row],[E1TY]]+S$2</f>
        <v>2.2399999999999998</v>
      </c>
      <c r="W100" s="7">
        <f>P$2+Q$2*(Table3[[#This Row],[Effect 1 Y]]-1)</f>
        <v>2.96</v>
      </c>
      <c r="X100" s="7">
        <f>Table3[[#This Row],[E2Y]]+T$2</f>
        <v>2.0699999999999998</v>
      </c>
      <c r="Y100" s="7">
        <f>Table3[[#This Row],[E2TY]]+S$2</f>
        <v>1.9499999999999997</v>
      </c>
      <c r="Z100" s="7">
        <f>P$2+Q$2*(Table3[[#This Row],[Effect 2 Y]]-1)+R$2</f>
        <v>2.67</v>
      </c>
      <c r="AA100" s="7">
        <f>Table3[[#This Row],[E3Y]]+T$2</f>
        <v>2.2699999999999996</v>
      </c>
      <c r="AB100" s="7">
        <f>Table3[[#This Row],[E3TY]]+S$2</f>
        <v>2.1499999999999995</v>
      </c>
      <c r="AC100" s="17">
        <f>P$2+Q$2*(Table3[[#This Row],[Effect 3 Y]]-1)+2*R$2</f>
        <v>2.8699999999999997</v>
      </c>
    </row>
    <row r="101" spans="1:29" ht="135" x14ac:dyDescent="0.25">
      <c r="A101" s="7" t="s">
        <v>83</v>
      </c>
      <c r="B101" s="7" t="s">
        <v>6</v>
      </c>
      <c r="C101" s="7"/>
      <c r="D101" s="7">
        <v>1</v>
      </c>
      <c r="E101" s="17" t="s">
        <v>34</v>
      </c>
      <c r="F101" s="17" t="s">
        <v>222</v>
      </c>
      <c r="G101" s="17" t="s">
        <v>375</v>
      </c>
      <c r="H101" s="7"/>
      <c r="I101" s="9" t="s">
        <v>11</v>
      </c>
      <c r="J101" s="9"/>
      <c r="K101" s="7" t="s">
        <v>84</v>
      </c>
      <c r="L101" s="7"/>
      <c r="M101" s="7"/>
      <c r="N101" s="7"/>
      <c r="O101" s="7" t="s">
        <v>85</v>
      </c>
      <c r="P101" s="7"/>
      <c r="Q101" s="7"/>
      <c r="R101" s="7"/>
      <c r="S101" s="7"/>
      <c r="T101" s="7"/>
      <c r="U101" s="7">
        <f>Table3[[#This Row],[E1Y]]+T$2</f>
        <v>2.36</v>
      </c>
      <c r="V101" s="7">
        <f>Table3[[#This Row],[E1TY]]+S$2</f>
        <v>2.2399999999999998</v>
      </c>
      <c r="W101" s="7">
        <f>P$2+Q$2*(Table3[[#This Row],[Effect 1 Y]]-1)</f>
        <v>2.96</v>
      </c>
      <c r="X101" s="7">
        <f>Table3[[#This Row],[E2Y]]+T$2</f>
        <v>2.0699999999999998</v>
      </c>
      <c r="Y101" s="7">
        <f>Table3[[#This Row],[E2TY]]+S$2</f>
        <v>1.9499999999999997</v>
      </c>
      <c r="Z101" s="7">
        <f>P$2+Q$2*(Table3[[#This Row],[Effect 2 Y]]-1)+R$2</f>
        <v>2.67</v>
      </c>
      <c r="AA101" s="7">
        <f>Table3[[#This Row],[E3Y]]+T$2</f>
        <v>2.2699999999999996</v>
      </c>
      <c r="AB101" s="7">
        <f>Table3[[#This Row],[E3TY]]+S$2</f>
        <v>2.1499999999999995</v>
      </c>
      <c r="AC101" s="17">
        <f>P$2+Q$2*(Table3[[#This Row],[Effect 3 Y]]-1)+2*R$2</f>
        <v>2.8699999999999997</v>
      </c>
    </row>
    <row r="102" spans="1:29" ht="90" x14ac:dyDescent="0.25">
      <c r="A102" s="7" t="s">
        <v>86</v>
      </c>
      <c r="B102" s="7" t="s">
        <v>6</v>
      </c>
      <c r="C102" s="7"/>
      <c r="D102" s="7">
        <v>1</v>
      </c>
      <c r="E102" s="17" t="s">
        <v>34</v>
      </c>
      <c r="F102" s="17"/>
      <c r="G102" s="17" t="s">
        <v>87</v>
      </c>
      <c r="H102" s="7"/>
      <c r="I102" s="9"/>
      <c r="J102" s="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>
        <f>Table3[[#This Row],[E1Y]]+T$2</f>
        <v>2.36</v>
      </c>
      <c r="V102" s="7">
        <f>Table3[[#This Row],[E1TY]]+S$2</f>
        <v>2.2399999999999998</v>
      </c>
      <c r="W102" s="7">
        <f>P$2+Q$2*(Table3[[#This Row],[Effect 1 Y]]-1)</f>
        <v>2.96</v>
      </c>
      <c r="X102" s="7">
        <f>Table3[[#This Row],[E2Y]]+T$2</f>
        <v>2.0699999999999998</v>
      </c>
      <c r="Y102" s="7">
        <f>Table3[[#This Row],[E2TY]]+S$2</f>
        <v>1.9499999999999997</v>
      </c>
      <c r="Z102" s="7">
        <f>P$2+Q$2*(Table3[[#This Row],[Effect 2 Y]]-1)+R$2</f>
        <v>2.67</v>
      </c>
      <c r="AA102" s="7">
        <f>Table3[[#This Row],[E3Y]]+T$2</f>
        <v>2.2699999999999996</v>
      </c>
      <c r="AB102" s="7">
        <f>Table3[[#This Row],[E3TY]]+S$2</f>
        <v>2.1499999999999995</v>
      </c>
      <c r="AC102" s="17">
        <f>P$2+Q$2*(Table3[[#This Row],[Effect 3 Y]]-1)+2*R$2</f>
        <v>2.8699999999999997</v>
      </c>
    </row>
    <row r="103" spans="1:29" ht="60" x14ac:dyDescent="0.25">
      <c r="A103" s="7" t="s">
        <v>88</v>
      </c>
      <c r="B103" s="7" t="s">
        <v>6</v>
      </c>
      <c r="C103" s="7"/>
      <c r="D103" s="7">
        <v>1</v>
      </c>
      <c r="E103" s="17" t="s">
        <v>34</v>
      </c>
      <c r="F103" s="17"/>
      <c r="G103" s="17" t="s">
        <v>89</v>
      </c>
      <c r="H103" s="7"/>
      <c r="I103" s="9"/>
      <c r="J103" s="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>
        <f>Table3[[#This Row],[E1Y]]+T$2</f>
        <v>2.36</v>
      </c>
      <c r="V103" s="7">
        <f>Table3[[#This Row],[E1TY]]+S$2</f>
        <v>2.2399999999999998</v>
      </c>
      <c r="W103" s="7">
        <f>P$2+Q$2*(Table3[[#This Row],[Effect 1 Y]]-1)</f>
        <v>2.96</v>
      </c>
      <c r="X103" s="7">
        <f>Table3[[#This Row],[E2Y]]+T$2</f>
        <v>2.0699999999999998</v>
      </c>
      <c r="Y103" s="7">
        <f>Table3[[#This Row],[E2TY]]+S$2</f>
        <v>1.9499999999999997</v>
      </c>
      <c r="Z103" s="7">
        <f>P$2+Q$2*(Table3[[#This Row],[Effect 2 Y]]-1)+R$2</f>
        <v>2.67</v>
      </c>
      <c r="AA103" s="7">
        <f>Table3[[#This Row],[E3Y]]+T$2</f>
        <v>2.2699999999999996</v>
      </c>
      <c r="AB103" s="7">
        <f>Table3[[#This Row],[E3TY]]+S$2</f>
        <v>2.1499999999999995</v>
      </c>
      <c r="AC103" s="17">
        <f>P$2+Q$2*(Table3[[#This Row],[Effect 3 Y]]-1)+2*R$2</f>
        <v>2.8699999999999997</v>
      </c>
    </row>
    <row r="104" spans="1:29" ht="90" x14ac:dyDescent="0.25">
      <c r="A104" s="7" t="s">
        <v>90</v>
      </c>
      <c r="B104" s="7" t="s">
        <v>6</v>
      </c>
      <c r="C104" s="7"/>
      <c r="D104" s="7">
        <v>1</v>
      </c>
      <c r="E104" s="17" t="s">
        <v>11</v>
      </c>
      <c r="F104" s="17"/>
      <c r="G104" s="17" t="s">
        <v>91</v>
      </c>
      <c r="H104" s="7"/>
      <c r="I104" s="9" t="s">
        <v>36</v>
      </c>
      <c r="J104" s="9"/>
      <c r="K104" s="7" t="s">
        <v>384</v>
      </c>
      <c r="L104" s="7"/>
      <c r="M104" s="7"/>
      <c r="N104" s="7"/>
      <c r="O104" s="7"/>
      <c r="P104" s="7"/>
      <c r="Q104" s="7"/>
      <c r="R104" s="7"/>
      <c r="S104" s="7"/>
      <c r="T104" s="7"/>
      <c r="U104" s="7">
        <f>Table3[[#This Row],[E1Y]]+T$2</f>
        <v>2.36</v>
      </c>
      <c r="V104" s="7">
        <f>Table3[[#This Row],[E1TY]]+S$2</f>
        <v>2.2399999999999998</v>
      </c>
      <c r="W104" s="7">
        <f>P$2+Q$2*(Table3[[#This Row],[Effect 1 Y]]-1)</f>
        <v>2.96</v>
      </c>
      <c r="X104" s="7">
        <f>Table3[[#This Row],[E2Y]]+T$2</f>
        <v>2.0699999999999998</v>
      </c>
      <c r="Y104" s="7">
        <f>Table3[[#This Row],[E2TY]]+S$2</f>
        <v>1.9499999999999997</v>
      </c>
      <c r="Z104" s="7">
        <f>P$2+Q$2*(Table3[[#This Row],[Effect 2 Y]]-1)+R$2</f>
        <v>2.67</v>
      </c>
      <c r="AA104" s="7">
        <f>Table3[[#This Row],[E3Y]]+T$2</f>
        <v>2.2699999999999996</v>
      </c>
      <c r="AB104" s="7">
        <f>Table3[[#This Row],[E3TY]]+S$2</f>
        <v>2.1499999999999995</v>
      </c>
      <c r="AC104" s="17">
        <f>P$2+Q$2*(Table3[[#This Row],[Effect 3 Y]]-1)+2*R$2</f>
        <v>2.8699999999999997</v>
      </c>
    </row>
    <row r="105" spans="1:29" ht="75" x14ac:dyDescent="0.25">
      <c r="A105" s="17" t="s">
        <v>92</v>
      </c>
      <c r="B105" s="17" t="s">
        <v>6</v>
      </c>
      <c r="C105" s="17" t="s">
        <v>196</v>
      </c>
      <c r="D105" s="7">
        <v>1</v>
      </c>
      <c r="E105" s="17" t="s">
        <v>11</v>
      </c>
      <c r="F105" s="17"/>
      <c r="G105" s="17" t="s">
        <v>93</v>
      </c>
      <c r="H105" s="7"/>
      <c r="I105" s="9" t="s">
        <v>36</v>
      </c>
      <c r="J105" s="9"/>
      <c r="K105" s="17" t="s">
        <v>94</v>
      </c>
      <c r="L105" s="7"/>
      <c r="M105" s="7"/>
      <c r="N105" s="7"/>
      <c r="O105" s="17"/>
      <c r="P105" s="7"/>
      <c r="Q105" s="7"/>
      <c r="R105" s="7"/>
      <c r="S105" s="7"/>
      <c r="T105" s="7"/>
      <c r="U105" s="7">
        <f>Table3[[#This Row],[E1Y]]+T$2</f>
        <v>2.36</v>
      </c>
      <c r="V105" s="7">
        <f>Table3[[#This Row],[E1TY]]+S$2</f>
        <v>2.2399999999999998</v>
      </c>
      <c r="W105" s="7">
        <f>P$2+Q$2*(Table3[[#This Row],[Effect 1 Y]]-1)</f>
        <v>2.96</v>
      </c>
      <c r="X105" s="7">
        <f>Table3[[#This Row],[E2Y]]+T$2</f>
        <v>2.0699999999999998</v>
      </c>
      <c r="Y105" s="7">
        <f>Table3[[#This Row],[E2TY]]+S$2</f>
        <v>1.9499999999999997</v>
      </c>
      <c r="Z105" s="7">
        <f>P$2+Q$2*(Table3[[#This Row],[Effect 2 Y]]-1)+R$2</f>
        <v>2.67</v>
      </c>
      <c r="AA105" s="7">
        <f>Table3[[#This Row],[E3Y]]+T$2</f>
        <v>2.2699999999999996</v>
      </c>
      <c r="AB105" s="7">
        <f>Table3[[#This Row],[E3TY]]+S$2</f>
        <v>2.1499999999999995</v>
      </c>
      <c r="AC105" s="17">
        <f>P$2+Q$2*(Table3[[#This Row],[Effect 3 Y]]-1)+2*R$2</f>
        <v>2.8699999999999997</v>
      </c>
    </row>
    <row r="106" spans="1:29" ht="75" x14ac:dyDescent="0.25">
      <c r="A106" s="7" t="s">
        <v>95</v>
      </c>
      <c r="B106" s="7" t="s">
        <v>6</v>
      </c>
      <c r="C106" s="7" t="s">
        <v>196</v>
      </c>
      <c r="D106" s="7">
        <v>1</v>
      </c>
      <c r="E106" s="17" t="s">
        <v>34</v>
      </c>
      <c r="F106" s="17"/>
      <c r="G106" s="17" t="s">
        <v>96</v>
      </c>
      <c r="H106" s="7"/>
      <c r="I106" s="9" t="s">
        <v>11</v>
      </c>
      <c r="J106" s="9"/>
      <c r="K106" s="7" t="s">
        <v>97</v>
      </c>
      <c r="L106" s="7"/>
      <c r="M106" s="7"/>
      <c r="N106" s="7"/>
      <c r="O106" s="7"/>
      <c r="P106" s="7"/>
      <c r="Q106" s="7"/>
      <c r="R106" s="7"/>
      <c r="S106" s="7"/>
      <c r="T106" s="7"/>
      <c r="U106" s="7">
        <f>Table3[[#This Row],[E1Y]]+T$2</f>
        <v>2.36</v>
      </c>
      <c r="V106" s="7">
        <f>Table3[[#This Row],[E1TY]]+S$2</f>
        <v>2.2399999999999998</v>
      </c>
      <c r="W106" s="7">
        <f>P$2+Q$2*(Table3[[#This Row],[Effect 1 Y]]-1)</f>
        <v>2.96</v>
      </c>
      <c r="X106" s="7">
        <f>Table3[[#This Row],[E2Y]]+T$2</f>
        <v>2.0699999999999998</v>
      </c>
      <c r="Y106" s="7">
        <f>Table3[[#This Row],[E2TY]]+S$2</f>
        <v>1.9499999999999997</v>
      </c>
      <c r="Z106" s="7">
        <f>P$2+Q$2*(Table3[[#This Row],[Effect 2 Y]]-1)+R$2</f>
        <v>2.67</v>
      </c>
      <c r="AA106" s="7">
        <f>Table3[[#This Row],[E3Y]]+T$2</f>
        <v>2.2699999999999996</v>
      </c>
      <c r="AB106" s="7">
        <f>Table3[[#This Row],[E3TY]]+S$2</f>
        <v>2.1499999999999995</v>
      </c>
      <c r="AC106" s="17">
        <f>P$2+Q$2*(Table3[[#This Row],[Effect 3 Y]]-1)+2*R$2</f>
        <v>2.8699999999999997</v>
      </c>
    </row>
    <row r="107" spans="1:29" ht="75" x14ac:dyDescent="0.25">
      <c r="A107" s="7" t="s">
        <v>98</v>
      </c>
      <c r="B107" s="7" t="s">
        <v>6</v>
      </c>
      <c r="C107" s="7"/>
      <c r="D107" s="7">
        <v>1</v>
      </c>
      <c r="E107" s="17" t="s">
        <v>34</v>
      </c>
      <c r="F107" s="17"/>
      <c r="G107" s="17" t="s">
        <v>99</v>
      </c>
      <c r="H107" s="7"/>
      <c r="I107" s="9" t="s">
        <v>11</v>
      </c>
      <c r="J107" s="9"/>
      <c r="K107" s="7" t="s">
        <v>100</v>
      </c>
      <c r="L107" s="7"/>
      <c r="M107" s="7"/>
      <c r="N107" s="7"/>
      <c r="O107" s="7"/>
      <c r="P107" s="7"/>
      <c r="Q107" s="7"/>
      <c r="R107" s="7"/>
      <c r="S107" s="7"/>
      <c r="T107" s="7"/>
      <c r="U107" s="7">
        <f>Table3[[#This Row],[E1Y]]+T$2</f>
        <v>2.36</v>
      </c>
      <c r="V107" s="7">
        <f>Table3[[#This Row],[E1TY]]+S$2</f>
        <v>2.2399999999999998</v>
      </c>
      <c r="W107" s="7">
        <f>P$2+Q$2*(Table3[[#This Row],[Effect 1 Y]]-1)</f>
        <v>2.96</v>
      </c>
      <c r="X107" s="7">
        <f>Table3[[#This Row],[E2Y]]+T$2</f>
        <v>2.0699999999999998</v>
      </c>
      <c r="Y107" s="7">
        <f>Table3[[#This Row],[E2TY]]+S$2</f>
        <v>1.9499999999999997</v>
      </c>
      <c r="Z107" s="7">
        <f>P$2+Q$2*(Table3[[#This Row],[Effect 2 Y]]-1)+R$2</f>
        <v>2.67</v>
      </c>
      <c r="AA107" s="7">
        <f>Table3[[#This Row],[E3Y]]+T$2</f>
        <v>2.2699999999999996</v>
      </c>
      <c r="AB107" s="7">
        <f>Table3[[#This Row],[E3TY]]+S$2</f>
        <v>2.1499999999999995</v>
      </c>
      <c r="AC107" s="17">
        <f>P$2+Q$2*(Table3[[#This Row],[Effect 3 Y]]-1)+2*R$2</f>
        <v>2.8699999999999997</v>
      </c>
    </row>
    <row r="108" spans="1:29" ht="75" x14ac:dyDescent="0.25">
      <c r="A108" s="7" t="s">
        <v>101</v>
      </c>
      <c r="B108" s="7" t="s">
        <v>6</v>
      </c>
      <c r="C108" s="7"/>
      <c r="D108" s="7">
        <v>1</v>
      </c>
      <c r="E108" s="17" t="s">
        <v>34</v>
      </c>
      <c r="F108" s="17"/>
      <c r="G108" s="17" t="s">
        <v>102</v>
      </c>
      <c r="H108" s="7"/>
      <c r="I108" s="9"/>
      <c r="J108" s="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>
        <f>Table3[[#This Row],[E1Y]]+T$2</f>
        <v>2.36</v>
      </c>
      <c r="V108" s="7">
        <f>Table3[[#This Row],[E1TY]]+S$2</f>
        <v>2.2399999999999998</v>
      </c>
      <c r="W108" s="7">
        <f>P$2+Q$2*(Table3[[#This Row],[Effect 1 Y]]-1)</f>
        <v>2.96</v>
      </c>
      <c r="X108" s="7">
        <f>Table3[[#This Row],[E2Y]]+T$2</f>
        <v>2.0699999999999998</v>
      </c>
      <c r="Y108" s="7">
        <f>Table3[[#This Row],[E2TY]]+S$2</f>
        <v>1.9499999999999997</v>
      </c>
      <c r="Z108" s="7">
        <f>P$2+Q$2*(Table3[[#This Row],[Effect 2 Y]]-1)+R$2</f>
        <v>2.67</v>
      </c>
      <c r="AA108" s="7">
        <f>Table3[[#This Row],[E3Y]]+T$2</f>
        <v>2.2699999999999996</v>
      </c>
      <c r="AB108" s="7">
        <f>Table3[[#This Row],[E3TY]]+S$2</f>
        <v>2.1499999999999995</v>
      </c>
      <c r="AC108" s="17">
        <f>P$2+Q$2*(Table3[[#This Row],[Effect 3 Y]]-1)+2*R$2</f>
        <v>2.8699999999999997</v>
      </c>
    </row>
    <row r="109" spans="1:29" ht="90" x14ac:dyDescent="0.25">
      <c r="A109" s="7" t="s">
        <v>35</v>
      </c>
      <c r="B109" s="7" t="s">
        <v>6</v>
      </c>
      <c r="C109" s="7"/>
      <c r="D109" s="7">
        <v>1</v>
      </c>
      <c r="E109" s="7" t="s">
        <v>34</v>
      </c>
      <c r="F109" s="7" t="s">
        <v>38</v>
      </c>
      <c r="G109" s="7" t="s">
        <v>376</v>
      </c>
      <c r="H109" s="7">
        <v>5</v>
      </c>
      <c r="I109" s="9" t="s">
        <v>36</v>
      </c>
      <c r="J109" s="9" t="s">
        <v>51</v>
      </c>
      <c r="K109" s="7" t="s">
        <v>37</v>
      </c>
      <c r="L109" s="7">
        <v>5</v>
      </c>
      <c r="M109" s="7"/>
      <c r="N109" s="7"/>
      <c r="O109" s="7"/>
      <c r="P109" s="17"/>
      <c r="Q109" s="17"/>
      <c r="R109" s="7"/>
      <c r="S109" s="7"/>
      <c r="T109" s="7"/>
      <c r="U109" s="7">
        <f>Table3[[#This Row],[E1Y]]+T$2</f>
        <v>2.36</v>
      </c>
      <c r="V109" s="7">
        <f>Table3[[#This Row],[E1TY]]+S$2</f>
        <v>2.2399999999999998</v>
      </c>
      <c r="W109" s="7">
        <f>P$2+Q$2*(Table3[[#This Row],[Effect 1 Y]]-1)</f>
        <v>2.96</v>
      </c>
      <c r="X109" s="7">
        <f>Table3[[#This Row],[E2Y]]+T$2</f>
        <v>4.5200000000000005</v>
      </c>
      <c r="Y109" s="7">
        <f>Table3[[#This Row],[E2TY]]+S$2</f>
        <v>4.4000000000000004</v>
      </c>
      <c r="Z109" s="7">
        <f>P$2+Q$2*(Table3[[#This Row],[Effect 2 Y]]-1)+R$2</f>
        <v>5.12</v>
      </c>
      <c r="AA109" s="7">
        <f>Table3[[#This Row],[E3Y]]+T$2</f>
        <v>4.7200000000000006</v>
      </c>
      <c r="AB109" s="7">
        <f>Table3[[#This Row],[E3TY]]+S$2</f>
        <v>4.6000000000000005</v>
      </c>
      <c r="AC109" s="17">
        <f>P$2+Q$2*(Table3[[#This Row],[Effect 3 Y]]-1)+2*R$2</f>
        <v>5.32</v>
      </c>
    </row>
    <row r="110" spans="1:29" ht="75" x14ac:dyDescent="0.25">
      <c r="A110" s="17" t="s">
        <v>103</v>
      </c>
      <c r="B110" s="7" t="s">
        <v>6</v>
      </c>
      <c r="C110" s="17"/>
      <c r="D110" s="7">
        <v>1</v>
      </c>
      <c r="E110" s="17" t="s">
        <v>34</v>
      </c>
      <c r="F110" s="17"/>
      <c r="G110" s="17" t="s">
        <v>104</v>
      </c>
      <c r="H110" s="7"/>
      <c r="I110" s="9"/>
      <c r="J110" s="9"/>
      <c r="K110" s="17"/>
      <c r="L110" s="7"/>
      <c r="M110" s="7"/>
      <c r="N110" s="7"/>
      <c r="O110" s="17"/>
      <c r="P110" s="7"/>
      <c r="Q110" s="7"/>
      <c r="R110" s="7"/>
      <c r="S110" s="7"/>
      <c r="T110" s="7"/>
      <c r="U110" s="7">
        <f>Table3[[#This Row],[E1Y]]+T$2</f>
        <v>2.36</v>
      </c>
      <c r="V110" s="7">
        <f>Table3[[#This Row],[E1TY]]+S$2</f>
        <v>2.2399999999999998</v>
      </c>
      <c r="W110" s="7">
        <f>P$2+Q$2*(Table3[[#This Row],[Effect 1 Y]]-1)</f>
        <v>2.96</v>
      </c>
      <c r="X110" s="7">
        <f>Table3[[#This Row],[E2Y]]+T$2</f>
        <v>2.0699999999999998</v>
      </c>
      <c r="Y110" s="7">
        <f>Table3[[#This Row],[E2TY]]+S$2</f>
        <v>1.9499999999999997</v>
      </c>
      <c r="Z110" s="7">
        <f>P$2+Q$2*(Table3[[#This Row],[Effect 2 Y]]-1)+R$2</f>
        <v>2.67</v>
      </c>
      <c r="AA110" s="7">
        <f>Table3[[#This Row],[E3Y]]+T$2</f>
        <v>2.2699999999999996</v>
      </c>
      <c r="AB110" s="7">
        <f>Table3[[#This Row],[E3TY]]+S$2</f>
        <v>2.1499999999999995</v>
      </c>
      <c r="AC110" s="17">
        <f>P$2+Q$2*(Table3[[#This Row],[Effect 3 Y]]-1)+2*R$2</f>
        <v>2.8699999999999997</v>
      </c>
    </row>
    <row r="111" spans="1:29" ht="60" x14ac:dyDescent="0.25">
      <c r="A111" s="7" t="s">
        <v>105</v>
      </c>
      <c r="B111" s="7" t="s">
        <v>6</v>
      </c>
      <c r="C111" s="17"/>
      <c r="D111" s="7">
        <v>1</v>
      </c>
      <c r="E111" s="17" t="s">
        <v>34</v>
      </c>
      <c r="F111" s="17"/>
      <c r="G111" s="17" t="s">
        <v>106</v>
      </c>
      <c r="H111" s="7"/>
      <c r="I111" s="9"/>
      <c r="J111" s="9"/>
      <c r="K111" s="17"/>
      <c r="L111" s="7"/>
      <c r="M111" s="7"/>
      <c r="N111" s="7"/>
      <c r="O111" s="17"/>
      <c r="P111" s="7"/>
      <c r="Q111" s="7"/>
      <c r="R111" s="7"/>
      <c r="S111" s="7"/>
      <c r="T111" s="7"/>
      <c r="U111" s="7">
        <f>Table3[[#This Row],[E1Y]]+T$2</f>
        <v>2.36</v>
      </c>
      <c r="V111" s="7">
        <f>Table3[[#This Row],[E1TY]]+S$2</f>
        <v>2.2399999999999998</v>
      </c>
      <c r="W111" s="7">
        <f>P$2+Q$2*(Table3[[#This Row],[Effect 1 Y]]-1)</f>
        <v>2.96</v>
      </c>
      <c r="X111" s="7">
        <f>Table3[[#This Row],[E2Y]]+T$2</f>
        <v>2.0699999999999998</v>
      </c>
      <c r="Y111" s="7">
        <f>Table3[[#This Row],[E2TY]]+S$2</f>
        <v>1.9499999999999997</v>
      </c>
      <c r="Z111" s="7">
        <f>P$2+Q$2*(Table3[[#This Row],[Effect 2 Y]]-1)+R$2</f>
        <v>2.67</v>
      </c>
      <c r="AA111" s="7">
        <f>Table3[[#This Row],[E3Y]]+T$2</f>
        <v>2.2699999999999996</v>
      </c>
      <c r="AB111" s="7">
        <f>Table3[[#This Row],[E3TY]]+S$2</f>
        <v>2.1499999999999995</v>
      </c>
      <c r="AC111" s="17">
        <f>P$2+Q$2*(Table3[[#This Row],[Effect 3 Y]]-1)+2*R$2</f>
        <v>2.8699999999999997</v>
      </c>
    </row>
    <row r="112" spans="1:29" ht="105" x14ac:dyDescent="0.25">
      <c r="A112" s="17" t="s">
        <v>107</v>
      </c>
      <c r="B112" s="7" t="s">
        <v>6</v>
      </c>
      <c r="C112" s="17"/>
      <c r="D112" s="7">
        <v>1</v>
      </c>
      <c r="E112" s="17" t="s">
        <v>34</v>
      </c>
      <c r="F112" s="17"/>
      <c r="G112" s="17" t="s">
        <v>108</v>
      </c>
      <c r="H112" s="7"/>
      <c r="I112" s="9"/>
      <c r="J112" s="9"/>
      <c r="K112" s="17"/>
      <c r="L112" s="7"/>
      <c r="M112" s="7"/>
      <c r="N112" s="7"/>
      <c r="O112" s="17"/>
      <c r="P112" s="7"/>
      <c r="Q112" s="7"/>
      <c r="R112" s="7"/>
      <c r="S112" s="7"/>
      <c r="T112" s="7"/>
      <c r="U112" s="7">
        <f>Table3[[#This Row],[E1Y]]+T$2</f>
        <v>2.36</v>
      </c>
      <c r="V112" s="7">
        <f>Table3[[#This Row],[E1TY]]+S$2</f>
        <v>2.2399999999999998</v>
      </c>
      <c r="W112" s="7">
        <f>P$2+Q$2*(Table3[[#This Row],[Effect 1 Y]]-1)</f>
        <v>2.96</v>
      </c>
      <c r="X112" s="7">
        <f>Table3[[#This Row],[E2Y]]+T$2</f>
        <v>2.0699999999999998</v>
      </c>
      <c r="Y112" s="7">
        <f>Table3[[#This Row],[E2TY]]+S$2</f>
        <v>1.9499999999999997</v>
      </c>
      <c r="Z112" s="7">
        <f>P$2+Q$2*(Table3[[#This Row],[Effect 2 Y]]-1)+R$2</f>
        <v>2.67</v>
      </c>
      <c r="AA112" s="7">
        <f>Table3[[#This Row],[E3Y]]+T$2</f>
        <v>2.2699999999999996</v>
      </c>
      <c r="AB112" s="7">
        <f>Table3[[#This Row],[E3TY]]+S$2</f>
        <v>2.1499999999999995</v>
      </c>
      <c r="AC112" s="17">
        <f>P$2+Q$2*(Table3[[#This Row],[Effect 3 Y]]-1)+2*R$2</f>
        <v>2.8699999999999997</v>
      </c>
    </row>
    <row r="113" spans="1:29" ht="45" x14ac:dyDescent="0.25">
      <c r="A113" s="17" t="s">
        <v>109</v>
      </c>
      <c r="B113" s="7" t="s">
        <v>6</v>
      </c>
      <c r="C113" s="17"/>
      <c r="D113" s="7">
        <v>1</v>
      </c>
      <c r="E113" s="17" t="s">
        <v>34</v>
      </c>
      <c r="F113" s="17"/>
      <c r="G113" s="17" t="s">
        <v>110</v>
      </c>
      <c r="H113" s="7"/>
      <c r="I113" s="9"/>
      <c r="J113" s="9"/>
      <c r="K113" s="17"/>
      <c r="L113" s="7"/>
      <c r="M113" s="7"/>
      <c r="N113" s="7"/>
      <c r="O113" s="17"/>
      <c r="P113" s="7"/>
      <c r="Q113" s="7"/>
      <c r="R113" s="7"/>
      <c r="S113" s="7"/>
      <c r="T113" s="7"/>
      <c r="U113" s="7">
        <f>Table3[[#This Row],[E1Y]]+T$2</f>
        <v>2.36</v>
      </c>
      <c r="V113" s="7">
        <f>Table3[[#This Row],[E1TY]]+S$2</f>
        <v>2.2399999999999998</v>
      </c>
      <c r="W113" s="7">
        <f>P$2+Q$2*(Table3[[#This Row],[Effect 1 Y]]-1)</f>
        <v>2.96</v>
      </c>
      <c r="X113" s="7">
        <f>Table3[[#This Row],[E2Y]]+T$2</f>
        <v>2.0699999999999998</v>
      </c>
      <c r="Y113" s="7">
        <f>Table3[[#This Row],[E2TY]]+S$2</f>
        <v>1.9499999999999997</v>
      </c>
      <c r="Z113" s="7">
        <f>P$2+Q$2*(Table3[[#This Row],[Effect 2 Y]]-1)+R$2</f>
        <v>2.67</v>
      </c>
      <c r="AA113" s="7">
        <f>Table3[[#This Row],[E3Y]]+T$2</f>
        <v>2.2699999999999996</v>
      </c>
      <c r="AB113" s="7">
        <f>Table3[[#This Row],[E3TY]]+S$2</f>
        <v>2.1499999999999995</v>
      </c>
      <c r="AC113" s="17">
        <f>P$2+Q$2*(Table3[[#This Row],[Effect 3 Y]]-1)+2*R$2</f>
        <v>2.8699999999999997</v>
      </c>
    </row>
    <row r="114" spans="1:29" ht="60" x14ac:dyDescent="0.25">
      <c r="A114" s="17" t="s">
        <v>111</v>
      </c>
      <c r="B114" s="7" t="s">
        <v>6</v>
      </c>
      <c r="C114" s="17"/>
      <c r="D114" s="7">
        <v>1</v>
      </c>
      <c r="E114" s="17" t="s">
        <v>34</v>
      </c>
      <c r="F114" s="17"/>
      <c r="G114" s="17" t="s">
        <v>112</v>
      </c>
      <c r="H114" s="7"/>
      <c r="I114" s="9"/>
      <c r="J114" s="9"/>
      <c r="K114" s="17"/>
      <c r="L114" s="7"/>
      <c r="M114" s="7"/>
      <c r="N114" s="7"/>
      <c r="O114" s="17"/>
      <c r="P114" s="7"/>
      <c r="Q114" s="7"/>
      <c r="R114" s="7"/>
      <c r="S114" s="7"/>
      <c r="T114" s="7"/>
      <c r="U114" s="7">
        <f>Table3[[#This Row],[E1Y]]+T$2</f>
        <v>2.36</v>
      </c>
      <c r="V114" s="7">
        <f>Table3[[#This Row],[E1TY]]+S$2</f>
        <v>2.2399999999999998</v>
      </c>
      <c r="W114" s="7">
        <f>P$2+Q$2*(Table3[[#This Row],[Effect 1 Y]]-1)</f>
        <v>2.96</v>
      </c>
      <c r="X114" s="7">
        <f>Table3[[#This Row],[E2Y]]+T$2</f>
        <v>2.0699999999999998</v>
      </c>
      <c r="Y114" s="7">
        <f>Table3[[#This Row],[E2TY]]+S$2</f>
        <v>1.9499999999999997</v>
      </c>
      <c r="Z114" s="7">
        <f>P$2+Q$2*(Table3[[#This Row],[Effect 2 Y]]-1)+R$2</f>
        <v>2.67</v>
      </c>
      <c r="AA114" s="7">
        <f>Table3[[#This Row],[E3Y]]+T$2</f>
        <v>2.2699999999999996</v>
      </c>
      <c r="AB114" s="7">
        <f>Table3[[#This Row],[E3TY]]+S$2</f>
        <v>2.1499999999999995</v>
      </c>
      <c r="AC114" s="17">
        <f>P$2+Q$2*(Table3[[#This Row],[Effect 3 Y]]-1)+2*R$2</f>
        <v>2.8699999999999997</v>
      </c>
    </row>
    <row r="115" spans="1:29" ht="75" x14ac:dyDescent="0.25">
      <c r="A115" s="17" t="s">
        <v>113</v>
      </c>
      <c r="B115" s="7" t="s">
        <v>6</v>
      </c>
      <c r="C115" s="17"/>
      <c r="D115" s="7">
        <v>1</v>
      </c>
      <c r="E115" s="17" t="s">
        <v>11</v>
      </c>
      <c r="F115" s="17"/>
      <c r="G115" s="17" t="s">
        <v>377</v>
      </c>
      <c r="H115" s="7"/>
      <c r="I115" s="9" t="s">
        <v>34</v>
      </c>
      <c r="J115" s="9"/>
      <c r="K115" s="17" t="s">
        <v>114</v>
      </c>
      <c r="L115" s="7"/>
      <c r="M115" s="7"/>
      <c r="N115" s="7"/>
      <c r="O115" s="17"/>
      <c r="P115" s="7"/>
      <c r="Q115" s="7"/>
      <c r="R115" s="7"/>
      <c r="S115" s="7"/>
      <c r="T115" s="7"/>
      <c r="U115" s="7">
        <f>Table3[[#This Row],[E1Y]]+T$2</f>
        <v>2.36</v>
      </c>
      <c r="V115" s="7">
        <f>Table3[[#This Row],[E1TY]]+S$2</f>
        <v>2.2399999999999998</v>
      </c>
      <c r="W115" s="7">
        <f>P$2+Q$2*(Table3[[#This Row],[Effect 1 Y]]-1)</f>
        <v>2.96</v>
      </c>
      <c r="X115" s="7">
        <f>Table3[[#This Row],[E2Y]]+T$2</f>
        <v>2.0699999999999998</v>
      </c>
      <c r="Y115" s="7">
        <f>Table3[[#This Row],[E2TY]]+S$2</f>
        <v>1.9499999999999997</v>
      </c>
      <c r="Z115" s="7">
        <f>P$2+Q$2*(Table3[[#This Row],[Effect 2 Y]]-1)+R$2</f>
        <v>2.67</v>
      </c>
      <c r="AA115" s="7">
        <f>Table3[[#This Row],[E3Y]]+T$2</f>
        <v>2.2699999999999996</v>
      </c>
      <c r="AB115" s="7">
        <f>Table3[[#This Row],[E3TY]]+S$2</f>
        <v>2.1499999999999995</v>
      </c>
      <c r="AC115" s="17">
        <f>P$2+Q$2*(Table3[[#This Row],[Effect 3 Y]]-1)+2*R$2</f>
        <v>2.8699999999999997</v>
      </c>
    </row>
    <row r="116" spans="1:29" ht="120" x14ac:dyDescent="0.25">
      <c r="A116" s="17" t="s">
        <v>115</v>
      </c>
      <c r="B116" s="7" t="s">
        <v>6</v>
      </c>
      <c r="C116" s="17"/>
      <c r="D116" s="7">
        <v>1</v>
      </c>
      <c r="E116" s="17" t="s">
        <v>34</v>
      </c>
      <c r="F116" s="17"/>
      <c r="G116" s="17" t="s">
        <v>116</v>
      </c>
      <c r="H116" s="7"/>
      <c r="I116" s="9" t="s">
        <v>36</v>
      </c>
      <c r="J116" s="9"/>
      <c r="K116" s="17" t="s">
        <v>385</v>
      </c>
      <c r="L116" s="7"/>
      <c r="M116" s="7"/>
      <c r="N116" s="7"/>
      <c r="O116" s="17"/>
      <c r="P116" s="7"/>
      <c r="Q116" s="7"/>
      <c r="R116" s="7"/>
      <c r="S116" s="7"/>
      <c r="T116" s="7"/>
      <c r="U116" s="7">
        <f>Table3[[#This Row],[E1Y]]+T$2</f>
        <v>2.36</v>
      </c>
      <c r="V116" s="7">
        <f>Table3[[#This Row],[E1TY]]+S$2</f>
        <v>2.2399999999999998</v>
      </c>
      <c r="W116" s="7">
        <f>P$2+Q$2*(Table3[[#This Row],[Effect 1 Y]]-1)</f>
        <v>2.96</v>
      </c>
      <c r="X116" s="7">
        <f>Table3[[#This Row],[E2Y]]+T$2</f>
        <v>2.0699999999999998</v>
      </c>
      <c r="Y116" s="7">
        <f>Table3[[#This Row],[E2TY]]+S$2</f>
        <v>1.9499999999999997</v>
      </c>
      <c r="Z116" s="7">
        <f>P$2+Q$2*(Table3[[#This Row],[Effect 2 Y]]-1)+R$2</f>
        <v>2.67</v>
      </c>
      <c r="AA116" s="7">
        <f>Table3[[#This Row],[E3Y]]+T$2</f>
        <v>2.2699999999999996</v>
      </c>
      <c r="AB116" s="7">
        <f>Table3[[#This Row],[E3TY]]+S$2</f>
        <v>2.1499999999999995</v>
      </c>
      <c r="AC116" s="17">
        <f>P$2+Q$2*(Table3[[#This Row],[Effect 3 Y]]-1)+2*R$2</f>
        <v>2.8699999999999997</v>
      </c>
    </row>
    <row r="117" spans="1:29" ht="75" x14ac:dyDescent="0.25">
      <c r="A117" s="7" t="s">
        <v>117</v>
      </c>
      <c r="B117" s="7" t="s">
        <v>6</v>
      </c>
      <c r="C117" s="17"/>
      <c r="D117" s="7">
        <v>1</v>
      </c>
      <c r="E117" s="17" t="s">
        <v>34</v>
      </c>
      <c r="F117" s="17"/>
      <c r="G117" s="17" t="s">
        <v>118</v>
      </c>
      <c r="H117" s="7"/>
      <c r="I117" s="9" t="s">
        <v>56</v>
      </c>
      <c r="J117" s="9"/>
      <c r="K117" s="7" t="s">
        <v>119</v>
      </c>
      <c r="L117" s="7"/>
      <c r="M117" s="7"/>
      <c r="N117" s="7"/>
      <c r="O117" s="17"/>
      <c r="P117" s="7"/>
      <c r="Q117" s="7"/>
      <c r="R117" s="7"/>
      <c r="S117" s="7"/>
      <c r="T117" s="7"/>
      <c r="U117" s="7">
        <f>Table3[[#This Row],[E1Y]]+T$2</f>
        <v>2.36</v>
      </c>
      <c r="V117" s="7">
        <f>Table3[[#This Row],[E1TY]]+S$2</f>
        <v>2.2399999999999998</v>
      </c>
      <c r="W117" s="7">
        <f>P$2+Q$2*(Table3[[#This Row],[Effect 1 Y]]-1)</f>
        <v>2.96</v>
      </c>
      <c r="X117" s="7">
        <f>Table3[[#This Row],[E2Y]]+T$2</f>
        <v>2.0699999999999998</v>
      </c>
      <c r="Y117" s="7">
        <f>Table3[[#This Row],[E2TY]]+S$2</f>
        <v>1.9499999999999997</v>
      </c>
      <c r="Z117" s="7">
        <f>P$2+Q$2*(Table3[[#This Row],[Effect 2 Y]]-1)+R$2</f>
        <v>2.67</v>
      </c>
      <c r="AA117" s="7">
        <f>Table3[[#This Row],[E3Y]]+T$2</f>
        <v>2.2699999999999996</v>
      </c>
      <c r="AB117" s="7">
        <f>Table3[[#This Row],[E3TY]]+S$2</f>
        <v>2.1499999999999995</v>
      </c>
      <c r="AC117" s="17">
        <f>P$2+Q$2*(Table3[[#This Row],[Effect 3 Y]]-1)+2*R$2</f>
        <v>2.8699999999999997</v>
      </c>
    </row>
    <row r="118" spans="1:29" ht="90" x14ac:dyDescent="0.25">
      <c r="A118" s="7" t="s">
        <v>120</v>
      </c>
      <c r="B118" s="7" t="s">
        <v>6</v>
      </c>
      <c r="C118" s="17"/>
      <c r="D118" s="7">
        <v>1</v>
      </c>
      <c r="E118" s="17" t="s">
        <v>34</v>
      </c>
      <c r="F118" s="17"/>
      <c r="G118" s="17" t="s">
        <v>121</v>
      </c>
      <c r="H118" s="7"/>
      <c r="I118" s="9" t="s">
        <v>11</v>
      </c>
      <c r="J118" s="9"/>
      <c r="K118" s="7" t="s">
        <v>122</v>
      </c>
      <c r="L118" s="7"/>
      <c r="M118" s="7"/>
      <c r="N118" s="7"/>
      <c r="O118" s="17"/>
      <c r="P118" s="7"/>
      <c r="Q118" s="7"/>
      <c r="R118" s="7"/>
      <c r="S118" s="7"/>
      <c r="T118" s="7"/>
      <c r="U118" s="7">
        <f>Table3[[#This Row],[E1Y]]+T$2</f>
        <v>2.36</v>
      </c>
      <c r="V118" s="7">
        <f>Table3[[#This Row],[E1TY]]+S$2</f>
        <v>2.2399999999999998</v>
      </c>
      <c r="W118" s="7">
        <f>P$2+Q$2*(Table3[[#This Row],[Effect 1 Y]]-1)</f>
        <v>2.96</v>
      </c>
      <c r="X118" s="7">
        <f>Table3[[#This Row],[E2Y]]+T$2</f>
        <v>2.0699999999999998</v>
      </c>
      <c r="Y118" s="7">
        <f>Table3[[#This Row],[E2TY]]+S$2</f>
        <v>1.9499999999999997</v>
      </c>
      <c r="Z118" s="7">
        <f>P$2+Q$2*(Table3[[#This Row],[Effect 2 Y]]-1)+R$2</f>
        <v>2.67</v>
      </c>
      <c r="AA118" s="7">
        <f>Table3[[#This Row],[E3Y]]+T$2</f>
        <v>2.2699999999999996</v>
      </c>
      <c r="AB118" s="7">
        <f>Table3[[#This Row],[E3TY]]+S$2</f>
        <v>2.1499999999999995</v>
      </c>
      <c r="AC118" s="17">
        <f>P$2+Q$2*(Table3[[#This Row],[Effect 3 Y]]-1)+2*R$2</f>
        <v>2.8699999999999997</v>
      </c>
    </row>
    <row r="119" spans="1:29" ht="45" x14ac:dyDescent="0.25">
      <c r="A119" s="17" t="s">
        <v>123</v>
      </c>
      <c r="B119" s="7" t="s">
        <v>6</v>
      </c>
      <c r="C119" s="17"/>
      <c r="D119" s="7">
        <v>1</v>
      </c>
      <c r="E119" s="17" t="s">
        <v>34</v>
      </c>
      <c r="F119" s="17"/>
      <c r="G119" s="17" t="s">
        <v>124</v>
      </c>
      <c r="H119" s="7"/>
      <c r="I119" s="9"/>
      <c r="J119" s="9"/>
      <c r="K119" s="17"/>
      <c r="L119" s="7"/>
      <c r="M119" s="7"/>
      <c r="N119" s="7"/>
      <c r="O119" s="17"/>
      <c r="P119" s="7"/>
      <c r="Q119" s="7"/>
      <c r="R119" s="7"/>
      <c r="S119" s="7"/>
      <c r="T119" s="7"/>
      <c r="U119" s="7">
        <f>Table3[[#This Row],[E1Y]]+T$2</f>
        <v>2.36</v>
      </c>
      <c r="V119" s="7">
        <f>Table3[[#This Row],[E1TY]]+S$2</f>
        <v>2.2399999999999998</v>
      </c>
      <c r="W119" s="7">
        <f>P$2+Q$2*(Table3[[#This Row],[Effect 1 Y]]-1)</f>
        <v>2.96</v>
      </c>
      <c r="X119" s="7">
        <f>Table3[[#This Row],[E2Y]]+T$2</f>
        <v>2.0699999999999998</v>
      </c>
      <c r="Y119" s="7">
        <f>Table3[[#This Row],[E2TY]]+S$2</f>
        <v>1.9499999999999997</v>
      </c>
      <c r="Z119" s="7">
        <f>P$2+Q$2*(Table3[[#This Row],[Effect 2 Y]]-1)+R$2</f>
        <v>2.67</v>
      </c>
      <c r="AA119" s="7">
        <f>Table3[[#This Row],[E3Y]]+T$2</f>
        <v>2.2699999999999996</v>
      </c>
      <c r="AB119" s="7">
        <f>Table3[[#This Row],[E3TY]]+S$2</f>
        <v>2.1499999999999995</v>
      </c>
      <c r="AC119" s="17">
        <f>P$2+Q$2*(Table3[[#This Row],[Effect 3 Y]]-1)+2*R$2</f>
        <v>2.8699999999999997</v>
      </c>
    </row>
    <row r="120" spans="1:29" x14ac:dyDescent="0.25">
      <c r="A120" s="9"/>
      <c r="B120" s="7"/>
      <c r="C120" s="9"/>
      <c r="D120" s="7"/>
      <c r="E120" s="17"/>
      <c r="F120" s="17"/>
      <c r="G120" s="9"/>
      <c r="H120" s="7"/>
      <c r="I120" s="16"/>
      <c r="J120" s="16"/>
      <c r="K120" s="9"/>
      <c r="L120" s="7"/>
      <c r="M120" s="17"/>
      <c r="N120" s="17"/>
      <c r="O120" s="9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17"/>
    </row>
    <row r="121" spans="1:29" x14ac:dyDescent="0.25">
      <c r="A121" s="9"/>
      <c r="B121" s="7"/>
      <c r="C121" s="9"/>
      <c r="D121" s="7"/>
      <c r="E121" s="17"/>
      <c r="F121" s="17"/>
      <c r="G121" s="9"/>
      <c r="H121" s="7"/>
      <c r="I121" s="16"/>
      <c r="J121" s="16"/>
      <c r="K121" s="9"/>
      <c r="L121" s="7"/>
      <c r="M121" s="17"/>
      <c r="N121" s="17"/>
      <c r="O121" s="9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17"/>
    </row>
    <row r="122" spans="1:29" x14ac:dyDescent="0.25">
      <c r="A122" s="9"/>
      <c r="B122" s="7"/>
      <c r="C122" s="9"/>
      <c r="D122" s="7"/>
      <c r="E122" s="17"/>
      <c r="F122" s="17"/>
      <c r="G122" s="9"/>
      <c r="H122" s="7"/>
      <c r="I122" s="16"/>
      <c r="J122" s="16"/>
      <c r="K122" s="9"/>
      <c r="L122" s="7"/>
      <c r="M122" s="17"/>
      <c r="N122" s="17"/>
      <c r="O122" s="9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17"/>
    </row>
    <row r="123" spans="1:29" x14ac:dyDescent="0.25">
      <c r="A123" s="9"/>
      <c r="B123" s="7"/>
      <c r="C123" s="9"/>
      <c r="D123" s="7"/>
      <c r="E123" s="17"/>
      <c r="F123" s="17"/>
      <c r="G123" s="9"/>
      <c r="H123" s="7"/>
      <c r="I123" s="16"/>
      <c r="J123" s="16"/>
      <c r="K123" s="9"/>
      <c r="L123" s="7"/>
      <c r="M123" s="17"/>
      <c r="N123" s="17"/>
      <c r="O123" s="9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17"/>
    </row>
    <row r="124" spans="1:29" x14ac:dyDescent="0.25">
      <c r="A124" s="9"/>
      <c r="B124" s="7"/>
      <c r="C124" s="9"/>
      <c r="D124" s="7"/>
      <c r="E124" s="17"/>
      <c r="F124" s="17"/>
      <c r="G124" s="9"/>
      <c r="H124" s="7"/>
      <c r="I124" s="16"/>
      <c r="J124" s="16"/>
      <c r="K124" s="9"/>
      <c r="L124" s="7"/>
      <c r="M124" s="17"/>
      <c r="N124" s="17"/>
      <c r="O124" s="9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17"/>
    </row>
    <row r="125" spans="1:29" x14ac:dyDescent="0.25">
      <c r="A125" s="9"/>
      <c r="B125" s="7"/>
      <c r="C125" s="9"/>
      <c r="D125" s="7"/>
      <c r="E125" s="17"/>
      <c r="F125" s="17"/>
      <c r="G125" s="9"/>
      <c r="H125" s="7"/>
      <c r="I125" s="16"/>
      <c r="J125" s="16"/>
      <c r="K125" s="9"/>
      <c r="L125" s="7"/>
      <c r="M125" s="17"/>
      <c r="N125" s="17"/>
      <c r="O125" s="9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17"/>
    </row>
    <row r="126" spans="1:29" x14ac:dyDescent="0.25">
      <c r="A126" s="9"/>
      <c r="B126" s="7"/>
      <c r="C126" s="9"/>
      <c r="D126" s="7"/>
      <c r="E126" s="17"/>
      <c r="F126" s="17"/>
      <c r="G126" s="9"/>
      <c r="H126" s="7"/>
      <c r="I126" s="16"/>
      <c r="J126" s="16"/>
      <c r="K126" s="9"/>
      <c r="L126" s="7"/>
      <c r="M126" s="17"/>
      <c r="N126" s="17"/>
      <c r="O126" s="9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17"/>
    </row>
    <row r="127" spans="1:29" x14ac:dyDescent="0.25">
      <c r="A127" s="9"/>
      <c r="B127" s="7"/>
      <c r="C127" s="9"/>
      <c r="D127" s="7"/>
      <c r="E127" s="17"/>
      <c r="F127" s="17"/>
      <c r="G127" s="9"/>
      <c r="H127" s="7"/>
      <c r="I127" s="16"/>
      <c r="J127" s="16"/>
      <c r="K127" s="9"/>
      <c r="L127" s="7"/>
      <c r="M127" s="17"/>
      <c r="N127" s="17"/>
      <c r="O127" s="9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17"/>
    </row>
    <row r="128" spans="1:29" x14ac:dyDescent="0.25">
      <c r="A128" s="9"/>
      <c r="B128" s="7"/>
      <c r="C128" s="9"/>
      <c r="D128" s="7"/>
      <c r="E128" s="17"/>
      <c r="F128" s="17"/>
      <c r="G128" s="9"/>
      <c r="H128" s="7"/>
      <c r="I128" s="16"/>
      <c r="J128" s="16"/>
      <c r="K128" s="9"/>
      <c r="L128" s="7"/>
      <c r="M128" s="17"/>
      <c r="N128" s="17"/>
      <c r="O128" s="9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17"/>
    </row>
    <row r="129" spans="1:29" x14ac:dyDescent="0.25">
      <c r="A129" s="9"/>
      <c r="B129" s="7"/>
      <c r="C129" s="9"/>
      <c r="D129" s="7"/>
      <c r="E129" s="17"/>
      <c r="F129" s="17"/>
      <c r="G129" s="9"/>
      <c r="H129" s="7"/>
      <c r="I129" s="16"/>
      <c r="J129" s="16"/>
      <c r="K129" s="9"/>
      <c r="L129" s="7"/>
      <c r="M129" s="17"/>
      <c r="N129" s="17"/>
      <c r="O129" s="9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17"/>
    </row>
    <row r="130" spans="1:29" x14ac:dyDescent="0.25">
      <c r="A130" s="9"/>
      <c r="B130" s="7"/>
      <c r="C130" s="9"/>
      <c r="D130" s="7"/>
      <c r="E130" s="17"/>
      <c r="F130" s="17"/>
      <c r="G130" s="9"/>
      <c r="H130" s="7"/>
      <c r="I130" s="16"/>
      <c r="J130" s="16"/>
      <c r="K130" s="9"/>
      <c r="L130" s="7"/>
      <c r="M130" s="17"/>
      <c r="N130" s="17"/>
      <c r="O130" s="9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17"/>
    </row>
    <row r="131" spans="1:29" x14ac:dyDescent="0.25">
      <c r="A131" s="9"/>
      <c r="B131" s="7"/>
      <c r="C131" s="9"/>
      <c r="D131" s="7"/>
      <c r="E131" s="17"/>
      <c r="F131" s="17"/>
      <c r="G131" s="9"/>
      <c r="H131" s="7"/>
      <c r="I131" s="16"/>
      <c r="J131" s="16"/>
      <c r="K131" s="9"/>
      <c r="L131" s="7"/>
      <c r="M131" s="17"/>
      <c r="N131" s="17"/>
      <c r="O131" s="9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17"/>
    </row>
    <row r="132" spans="1:29" x14ac:dyDescent="0.25">
      <c r="A132" s="9"/>
      <c r="B132" s="7"/>
      <c r="C132" s="9"/>
      <c r="D132" s="7"/>
      <c r="E132" s="17"/>
      <c r="F132" s="17"/>
      <c r="G132" s="9"/>
      <c r="H132" s="7"/>
      <c r="I132" s="16"/>
      <c r="J132" s="16"/>
      <c r="K132" s="9"/>
      <c r="L132" s="7"/>
      <c r="M132" s="17"/>
      <c r="N132" s="17"/>
      <c r="O132" s="9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17"/>
    </row>
    <row r="133" spans="1:29" x14ac:dyDescent="0.25">
      <c r="A133" s="9"/>
      <c r="B133" s="7"/>
      <c r="C133" s="9"/>
      <c r="D133" s="7"/>
      <c r="E133" s="17"/>
      <c r="F133" s="17"/>
      <c r="G133" s="9"/>
      <c r="H133" s="7"/>
      <c r="I133" s="16"/>
      <c r="J133" s="16"/>
      <c r="K133" s="9"/>
      <c r="L133" s="7"/>
      <c r="M133" s="17"/>
      <c r="N133" s="17"/>
      <c r="O133" s="9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17"/>
    </row>
    <row r="134" spans="1:29" x14ac:dyDescent="0.25">
      <c r="A134" s="9"/>
      <c r="B134" s="7"/>
      <c r="C134" s="9"/>
      <c r="D134" s="7"/>
      <c r="E134" s="17"/>
      <c r="F134" s="17"/>
      <c r="G134" s="9"/>
      <c r="H134" s="7"/>
      <c r="I134" s="16"/>
      <c r="J134" s="16"/>
      <c r="K134" s="9"/>
      <c r="L134" s="7"/>
      <c r="M134" s="17"/>
      <c r="N134" s="17"/>
      <c r="O134" s="9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17"/>
    </row>
    <row r="135" spans="1:29" x14ac:dyDescent="0.25">
      <c r="A135" s="9"/>
      <c r="B135" s="7"/>
      <c r="C135" s="9"/>
      <c r="D135" s="7"/>
      <c r="E135" s="17"/>
      <c r="F135" s="17"/>
      <c r="G135" s="9"/>
      <c r="H135" s="7"/>
      <c r="I135" s="16"/>
      <c r="J135" s="16"/>
      <c r="K135" s="9"/>
      <c r="L135" s="7"/>
      <c r="M135" s="17"/>
      <c r="N135" s="17"/>
      <c r="O135" s="9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17"/>
    </row>
    <row r="136" spans="1:29" x14ac:dyDescent="0.25">
      <c r="A136" s="9"/>
      <c r="B136" s="7"/>
      <c r="C136" s="9"/>
      <c r="D136" s="7"/>
      <c r="E136" s="17"/>
      <c r="F136" s="17"/>
      <c r="G136" s="9"/>
      <c r="H136" s="7"/>
      <c r="I136" s="16"/>
      <c r="J136" s="16"/>
      <c r="K136" s="9"/>
      <c r="L136" s="7"/>
      <c r="M136" s="17"/>
      <c r="N136" s="17"/>
      <c r="O136" s="9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17"/>
    </row>
    <row r="137" spans="1:29" x14ac:dyDescent="0.25">
      <c r="A137" s="9"/>
      <c r="B137" s="7"/>
      <c r="C137" s="9"/>
      <c r="D137" s="7"/>
      <c r="E137" s="17"/>
      <c r="F137" s="17"/>
      <c r="G137" s="9"/>
      <c r="H137" s="7"/>
      <c r="I137" s="16"/>
      <c r="J137" s="16"/>
      <c r="K137" s="9"/>
      <c r="L137" s="7"/>
      <c r="M137" s="17"/>
      <c r="N137" s="17"/>
      <c r="O137" s="9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17"/>
    </row>
    <row r="138" spans="1:29" x14ac:dyDescent="0.25">
      <c r="A138" s="9"/>
      <c r="B138" s="7"/>
      <c r="C138" s="9"/>
      <c r="D138" s="7"/>
      <c r="E138" s="17"/>
      <c r="F138" s="17"/>
      <c r="G138" s="9"/>
      <c r="H138" s="7"/>
      <c r="I138" s="16"/>
      <c r="J138" s="16"/>
      <c r="K138" s="9"/>
      <c r="L138" s="7"/>
      <c r="M138" s="17"/>
      <c r="N138" s="17"/>
      <c r="O138" s="9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17"/>
    </row>
    <row r="139" spans="1:29" x14ac:dyDescent="0.25">
      <c r="A139" s="9"/>
      <c r="B139" s="7"/>
      <c r="C139" s="9"/>
      <c r="D139" s="7"/>
      <c r="E139" s="17"/>
      <c r="F139" s="17"/>
      <c r="G139" s="9"/>
      <c r="H139" s="7"/>
      <c r="I139" s="16"/>
      <c r="J139" s="16"/>
      <c r="K139" s="9"/>
      <c r="L139" s="7"/>
      <c r="M139" s="17"/>
      <c r="N139" s="17"/>
      <c r="O139" s="9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17"/>
    </row>
    <row r="140" spans="1:29" x14ac:dyDescent="0.25">
      <c r="A140" s="9"/>
      <c r="B140" s="7"/>
      <c r="C140" s="9"/>
      <c r="D140" s="7"/>
      <c r="E140" s="17"/>
      <c r="F140" s="17"/>
      <c r="G140" s="9"/>
      <c r="H140" s="7"/>
      <c r="I140" s="16"/>
      <c r="J140" s="16"/>
      <c r="K140" s="9"/>
      <c r="L140" s="7"/>
      <c r="M140" s="17"/>
      <c r="N140" s="17"/>
      <c r="O140" s="9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17"/>
    </row>
    <row r="141" spans="1:29" x14ac:dyDescent="0.25">
      <c r="A141" s="9"/>
      <c r="B141" s="7"/>
      <c r="C141" s="9"/>
      <c r="D141" s="7"/>
      <c r="E141" s="17"/>
      <c r="F141" s="17"/>
      <c r="G141" s="9"/>
      <c r="H141" s="7"/>
      <c r="I141" s="16"/>
      <c r="J141" s="16"/>
      <c r="K141" s="9"/>
      <c r="L141" s="7"/>
      <c r="M141" s="17"/>
      <c r="N141" s="17"/>
      <c r="O141" s="9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17"/>
    </row>
    <row r="142" spans="1:29" x14ac:dyDescent="0.25">
      <c r="A142" s="9"/>
      <c r="B142" s="7"/>
      <c r="C142" s="9"/>
      <c r="D142" s="7"/>
      <c r="E142" s="17"/>
      <c r="F142" s="17"/>
      <c r="G142" s="9"/>
      <c r="H142" s="7"/>
      <c r="I142" s="16"/>
      <c r="J142" s="16"/>
      <c r="K142" s="9"/>
      <c r="L142" s="7"/>
      <c r="M142" s="17"/>
      <c r="N142" s="17"/>
      <c r="O142" s="9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17"/>
    </row>
    <row r="143" spans="1:29" x14ac:dyDescent="0.25">
      <c r="A143" s="9"/>
      <c r="B143" s="7"/>
      <c r="C143" s="9"/>
      <c r="D143" s="7"/>
      <c r="E143" s="17"/>
      <c r="F143" s="17"/>
      <c r="G143" s="9"/>
      <c r="H143" s="7"/>
      <c r="I143" s="16"/>
      <c r="J143" s="16"/>
      <c r="K143" s="9"/>
      <c r="L143" s="7"/>
      <c r="M143" s="17"/>
      <c r="N143" s="17"/>
      <c r="O143" s="9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17"/>
    </row>
    <row r="144" spans="1:29" x14ac:dyDescent="0.25">
      <c r="A144" s="9"/>
      <c r="B144" s="7"/>
      <c r="C144" s="9"/>
      <c r="D144" s="7"/>
      <c r="E144" s="17"/>
      <c r="F144" s="17"/>
      <c r="G144" s="9"/>
      <c r="H144" s="7"/>
      <c r="I144" s="16"/>
      <c r="J144" s="16"/>
      <c r="K144" s="9"/>
      <c r="L144" s="7"/>
      <c r="M144" s="17"/>
      <c r="N144" s="17"/>
      <c r="O144" s="9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17"/>
    </row>
    <row r="145" spans="1:29" x14ac:dyDescent="0.25">
      <c r="A145" s="9"/>
      <c r="B145" s="7"/>
      <c r="C145" s="9"/>
      <c r="D145" s="7"/>
      <c r="E145" s="17"/>
      <c r="F145" s="17"/>
      <c r="G145" s="9"/>
      <c r="H145" s="7"/>
      <c r="I145" s="16"/>
      <c r="J145" s="16"/>
      <c r="K145" s="9"/>
      <c r="L145" s="7"/>
      <c r="M145" s="17"/>
      <c r="N145" s="17"/>
      <c r="O145" s="9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17"/>
    </row>
    <row r="146" spans="1:29" x14ac:dyDescent="0.25">
      <c r="A146" s="9"/>
      <c r="B146" s="7"/>
      <c r="C146" s="9"/>
      <c r="D146" s="7"/>
      <c r="E146" s="17"/>
      <c r="F146" s="17"/>
      <c r="G146" s="9"/>
      <c r="H146" s="7"/>
      <c r="I146" s="16"/>
      <c r="J146" s="16"/>
      <c r="K146" s="9"/>
      <c r="L146" s="7"/>
      <c r="M146" s="17"/>
      <c r="N146" s="17"/>
      <c r="O146" s="9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17"/>
    </row>
    <row r="147" spans="1:29" x14ac:dyDescent="0.25">
      <c r="A147" s="9"/>
      <c r="B147" s="7"/>
      <c r="C147" s="9"/>
      <c r="D147" s="7"/>
      <c r="E147" s="17"/>
      <c r="F147" s="17"/>
      <c r="G147" s="9"/>
      <c r="H147" s="7"/>
      <c r="I147" s="16"/>
      <c r="J147" s="16"/>
      <c r="K147" s="9"/>
      <c r="L147" s="7"/>
      <c r="M147" s="17"/>
      <c r="N147" s="17"/>
      <c r="O147" s="9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17"/>
    </row>
    <row r="148" spans="1:29" x14ac:dyDescent="0.25">
      <c r="A148" s="9"/>
      <c r="B148" s="7"/>
      <c r="C148" s="9"/>
      <c r="D148" s="7"/>
      <c r="E148" s="17"/>
      <c r="F148" s="17"/>
      <c r="G148" s="9"/>
      <c r="H148" s="7"/>
      <c r="I148" s="16"/>
      <c r="J148" s="16"/>
      <c r="K148" s="9"/>
      <c r="L148" s="7"/>
      <c r="M148" s="17"/>
      <c r="N148" s="17"/>
      <c r="O148" s="9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7"/>
    </row>
    <row r="149" spans="1:29" x14ac:dyDescent="0.25">
      <c r="A149" s="9"/>
      <c r="B149" s="7"/>
      <c r="C149" s="9"/>
      <c r="D149" s="7"/>
      <c r="E149" s="17"/>
      <c r="F149" s="17"/>
      <c r="G149" s="9"/>
      <c r="H149" s="7"/>
      <c r="I149" s="16"/>
      <c r="J149" s="16"/>
      <c r="K149" s="9"/>
      <c r="L149" s="7"/>
      <c r="M149" s="17"/>
      <c r="N149" s="17"/>
      <c r="O149" s="9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17"/>
    </row>
    <row r="150" spans="1:29" x14ac:dyDescent="0.25">
      <c r="A150" s="9"/>
      <c r="B150" s="7"/>
      <c r="C150" s="9"/>
      <c r="D150" s="7"/>
      <c r="E150" s="17"/>
      <c r="F150" s="17"/>
      <c r="G150" s="9"/>
      <c r="H150" s="7"/>
      <c r="I150" s="16"/>
      <c r="J150" s="16"/>
      <c r="K150" s="9"/>
      <c r="L150" s="7"/>
      <c r="M150" s="17"/>
      <c r="N150" s="17"/>
      <c r="O150" s="9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17"/>
    </row>
    <row r="151" spans="1:29" x14ac:dyDescent="0.25">
      <c r="A151" s="9"/>
      <c r="B151" s="7"/>
      <c r="C151" s="9"/>
      <c r="D151" s="7"/>
      <c r="E151" s="17"/>
      <c r="F151" s="17"/>
      <c r="G151" s="9"/>
      <c r="H151" s="7"/>
      <c r="I151" s="16"/>
      <c r="J151" s="16"/>
      <c r="K151" s="9"/>
      <c r="L151" s="7"/>
      <c r="M151" s="17"/>
      <c r="N151" s="17"/>
      <c r="O151" s="9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17"/>
    </row>
    <row r="152" spans="1:29" x14ac:dyDescent="0.25">
      <c r="A152" s="9"/>
      <c r="B152" s="7"/>
      <c r="C152" s="9"/>
      <c r="D152" s="7"/>
      <c r="E152" s="17"/>
      <c r="F152" s="17"/>
      <c r="G152" s="9"/>
      <c r="H152" s="7"/>
      <c r="I152" s="16"/>
      <c r="J152" s="16"/>
      <c r="K152" s="9"/>
      <c r="L152" s="7"/>
      <c r="M152" s="17"/>
      <c r="N152" s="17"/>
      <c r="O152" s="9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17"/>
    </row>
    <row r="153" spans="1:29" x14ac:dyDescent="0.25">
      <c r="A153" s="9"/>
      <c r="B153" s="7"/>
      <c r="C153" s="9"/>
      <c r="D153" s="7"/>
      <c r="E153" s="17"/>
      <c r="F153" s="17"/>
      <c r="G153" s="9"/>
      <c r="H153" s="7"/>
      <c r="I153" s="16"/>
      <c r="J153" s="16"/>
      <c r="K153" s="9"/>
      <c r="L153" s="7"/>
      <c r="M153" s="17"/>
      <c r="N153" s="17"/>
      <c r="O153" s="9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17"/>
    </row>
    <row r="154" spans="1:29" x14ac:dyDescent="0.25">
      <c r="A154" s="9"/>
      <c r="B154" s="7"/>
      <c r="C154" s="9"/>
      <c r="D154" s="7"/>
      <c r="E154" s="17"/>
      <c r="F154" s="17"/>
      <c r="G154" s="9"/>
      <c r="H154" s="7"/>
      <c r="I154" s="16"/>
      <c r="J154" s="16"/>
      <c r="K154" s="9"/>
      <c r="L154" s="7"/>
      <c r="M154" s="17"/>
      <c r="N154" s="17"/>
      <c r="O154" s="9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17"/>
    </row>
    <row r="155" spans="1:29" x14ac:dyDescent="0.25">
      <c r="A155" s="9"/>
      <c r="B155" s="7"/>
      <c r="C155" s="9"/>
      <c r="D155" s="7"/>
      <c r="E155" s="17"/>
      <c r="F155" s="17"/>
      <c r="G155" s="9"/>
      <c r="H155" s="7"/>
      <c r="I155" s="16"/>
      <c r="J155" s="16"/>
      <c r="K155" s="9"/>
      <c r="L155" s="7"/>
      <c r="M155" s="17"/>
      <c r="N155" s="17"/>
      <c r="O155" s="9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17"/>
    </row>
    <row r="156" spans="1:29" x14ac:dyDescent="0.25">
      <c r="A156" s="9"/>
      <c r="B156" s="7"/>
      <c r="C156" s="9"/>
      <c r="D156" s="7"/>
      <c r="E156" s="17"/>
      <c r="F156" s="17"/>
      <c r="G156" s="9"/>
      <c r="H156" s="7"/>
      <c r="I156" s="16"/>
      <c r="J156" s="16"/>
      <c r="K156" s="9"/>
      <c r="L156" s="7"/>
      <c r="M156" s="17"/>
      <c r="N156" s="17"/>
      <c r="O156" s="9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17"/>
    </row>
    <row r="157" spans="1:29" x14ac:dyDescent="0.25">
      <c r="A157" s="9"/>
      <c r="B157" s="7"/>
      <c r="C157" s="9"/>
      <c r="D157" s="7"/>
      <c r="E157" s="17"/>
      <c r="F157" s="17"/>
      <c r="G157" s="9"/>
      <c r="H157" s="7"/>
      <c r="I157" s="16"/>
      <c r="J157" s="16"/>
      <c r="K157" s="9"/>
      <c r="L157" s="7"/>
      <c r="M157" s="17"/>
      <c r="N157" s="17"/>
      <c r="O157" s="9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17"/>
    </row>
    <row r="158" spans="1:29" x14ac:dyDescent="0.25">
      <c r="A158" s="9"/>
      <c r="B158" s="7"/>
      <c r="C158" s="9"/>
      <c r="D158" s="7"/>
      <c r="E158" s="17"/>
      <c r="F158" s="17"/>
      <c r="G158" s="9"/>
      <c r="H158" s="7"/>
      <c r="I158" s="16"/>
      <c r="J158" s="16"/>
      <c r="K158" s="9"/>
      <c r="L158" s="7"/>
      <c r="M158" s="17"/>
      <c r="N158" s="17"/>
      <c r="O158" s="9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17"/>
    </row>
    <row r="159" spans="1:29" x14ac:dyDescent="0.25">
      <c r="A159" s="9"/>
      <c r="B159" s="7"/>
      <c r="C159" s="9"/>
      <c r="D159" s="7"/>
      <c r="E159" s="17"/>
      <c r="F159" s="17"/>
      <c r="G159" s="9"/>
      <c r="H159" s="7"/>
      <c r="I159" s="16"/>
      <c r="J159" s="16"/>
      <c r="K159" s="9"/>
      <c r="L159" s="7"/>
      <c r="M159" s="17"/>
      <c r="N159" s="17"/>
      <c r="O159" s="9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17"/>
    </row>
    <row r="160" spans="1:29" x14ac:dyDescent="0.25">
      <c r="A160" s="9"/>
      <c r="B160" s="7"/>
      <c r="C160" s="9"/>
      <c r="D160" s="7"/>
      <c r="E160" s="17"/>
      <c r="F160" s="17"/>
      <c r="G160" s="9"/>
      <c r="H160" s="7"/>
      <c r="I160" s="16"/>
      <c r="J160" s="16"/>
      <c r="K160" s="9"/>
      <c r="L160" s="7"/>
      <c r="M160" s="17"/>
      <c r="N160" s="17"/>
      <c r="O160" s="9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17"/>
    </row>
    <row r="161" spans="1:29" x14ac:dyDescent="0.25">
      <c r="A161" s="9"/>
      <c r="B161" s="7"/>
      <c r="C161" s="9"/>
      <c r="D161" s="7"/>
      <c r="E161" s="17"/>
      <c r="F161" s="17"/>
      <c r="G161" s="9"/>
      <c r="H161" s="7"/>
      <c r="I161" s="16"/>
      <c r="J161" s="16"/>
      <c r="K161" s="9"/>
      <c r="L161" s="7"/>
      <c r="M161" s="17"/>
      <c r="N161" s="17"/>
      <c r="O161" s="9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17"/>
    </row>
    <row r="162" spans="1:29" x14ac:dyDescent="0.25">
      <c r="A162" s="9"/>
      <c r="B162" s="7"/>
      <c r="C162" s="9"/>
      <c r="D162" s="7"/>
      <c r="E162" s="17"/>
      <c r="F162" s="17"/>
      <c r="G162" s="9"/>
      <c r="H162" s="7"/>
      <c r="I162" s="16"/>
      <c r="J162" s="16"/>
      <c r="K162" s="9"/>
      <c r="L162" s="7"/>
      <c r="M162" s="17"/>
      <c r="N162" s="17"/>
      <c r="O162" s="9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17"/>
    </row>
    <row r="163" spans="1:29" x14ac:dyDescent="0.25">
      <c r="A163" s="9"/>
      <c r="B163" s="7"/>
      <c r="C163" s="9"/>
      <c r="D163" s="7"/>
      <c r="E163" s="17"/>
      <c r="F163" s="17"/>
      <c r="G163" s="9"/>
      <c r="H163" s="7"/>
      <c r="I163" s="16"/>
      <c r="J163" s="16"/>
      <c r="K163" s="9"/>
      <c r="L163" s="7"/>
      <c r="M163" s="17"/>
      <c r="N163" s="17"/>
      <c r="O163" s="9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17"/>
    </row>
    <row r="164" spans="1:29" x14ac:dyDescent="0.25">
      <c r="A164" s="9"/>
      <c r="B164" s="7"/>
      <c r="C164" s="9"/>
      <c r="D164" s="7"/>
      <c r="E164" s="17"/>
      <c r="F164" s="17"/>
      <c r="G164" s="9"/>
      <c r="H164" s="7"/>
      <c r="I164" s="16"/>
      <c r="J164" s="16"/>
      <c r="K164" s="9"/>
      <c r="L164" s="7"/>
      <c r="M164" s="17"/>
      <c r="N164" s="17"/>
      <c r="O164" s="9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17"/>
    </row>
    <row r="165" spans="1:29" x14ac:dyDescent="0.25">
      <c r="A165" s="9"/>
      <c r="B165" s="7"/>
      <c r="C165" s="9"/>
      <c r="D165" s="7"/>
      <c r="E165" s="17"/>
      <c r="F165" s="17"/>
      <c r="G165" s="9"/>
      <c r="H165" s="7"/>
      <c r="I165" s="16"/>
      <c r="J165" s="16"/>
      <c r="K165" s="9"/>
      <c r="L165" s="7"/>
      <c r="M165" s="17"/>
      <c r="N165" s="17"/>
      <c r="O165" s="9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17"/>
    </row>
    <row r="166" spans="1:29" x14ac:dyDescent="0.25">
      <c r="A166" s="9"/>
      <c r="B166" s="7"/>
      <c r="C166" s="9"/>
      <c r="D166" s="7"/>
      <c r="E166" s="17"/>
      <c r="F166" s="17"/>
      <c r="G166" s="9"/>
      <c r="H166" s="7"/>
      <c r="I166" s="16"/>
      <c r="J166" s="16"/>
      <c r="K166" s="9"/>
      <c r="L166" s="7"/>
      <c r="M166" s="17"/>
      <c r="N166" s="17"/>
      <c r="O166" s="9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17"/>
    </row>
    <row r="167" spans="1:29" x14ac:dyDescent="0.25">
      <c r="A167" s="9"/>
      <c r="B167" s="7"/>
      <c r="C167" s="9"/>
      <c r="D167" s="7"/>
      <c r="E167" s="17"/>
      <c r="F167" s="17"/>
      <c r="G167" s="9"/>
      <c r="H167" s="7"/>
      <c r="I167" s="16"/>
      <c r="J167" s="16"/>
      <c r="K167" s="9"/>
      <c r="L167" s="7"/>
      <c r="M167" s="17"/>
      <c r="N167" s="17"/>
      <c r="O167" s="9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17"/>
    </row>
    <row r="168" spans="1:29" x14ac:dyDescent="0.25">
      <c r="A168" s="9"/>
      <c r="B168" s="7"/>
      <c r="C168" s="9"/>
      <c r="D168" s="7"/>
      <c r="E168" s="17"/>
      <c r="F168" s="17"/>
      <c r="G168" s="9"/>
      <c r="H168" s="7"/>
      <c r="I168" s="16"/>
      <c r="J168" s="16"/>
      <c r="K168" s="9"/>
      <c r="L168" s="7"/>
      <c r="M168" s="17"/>
      <c r="N168" s="17"/>
      <c r="O168" s="9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17"/>
    </row>
    <row r="169" spans="1:29" x14ac:dyDescent="0.25">
      <c r="A169" s="9"/>
      <c r="B169" s="7"/>
      <c r="C169" s="9"/>
      <c r="D169" s="7"/>
      <c r="E169" s="17"/>
      <c r="F169" s="17"/>
      <c r="G169" s="9"/>
      <c r="H169" s="7"/>
      <c r="I169" s="16"/>
      <c r="J169" s="16"/>
      <c r="K169" s="9"/>
      <c r="L169" s="7"/>
      <c r="M169" s="17"/>
      <c r="N169" s="17"/>
      <c r="O169" s="9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17"/>
    </row>
    <row r="170" spans="1:29" x14ac:dyDescent="0.25">
      <c r="A170" s="9"/>
      <c r="B170" s="7"/>
      <c r="C170" s="9"/>
      <c r="D170" s="7"/>
      <c r="E170" s="17"/>
      <c r="F170" s="17"/>
      <c r="G170" s="9"/>
      <c r="H170" s="7"/>
      <c r="I170" s="16"/>
      <c r="J170" s="16"/>
      <c r="K170" s="9"/>
      <c r="L170" s="7"/>
      <c r="M170" s="17"/>
      <c r="N170" s="17"/>
      <c r="O170" s="9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17"/>
    </row>
    <row r="171" spans="1:29" x14ac:dyDescent="0.25">
      <c r="A171" s="9"/>
      <c r="B171" s="7"/>
      <c r="C171" s="9"/>
      <c r="D171" s="7"/>
      <c r="E171" s="17"/>
      <c r="F171" s="17"/>
      <c r="G171" s="9"/>
      <c r="H171" s="7"/>
      <c r="I171" s="16"/>
      <c r="J171" s="16"/>
      <c r="K171" s="9"/>
      <c r="L171" s="7"/>
      <c r="M171" s="17"/>
      <c r="N171" s="17"/>
      <c r="O171" s="9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17"/>
    </row>
    <row r="172" spans="1:29" x14ac:dyDescent="0.25">
      <c r="A172" s="9"/>
      <c r="B172" s="7"/>
      <c r="C172" s="9"/>
      <c r="D172" s="7"/>
      <c r="E172" s="17"/>
      <c r="F172" s="17"/>
      <c r="G172" s="9"/>
      <c r="H172" s="7"/>
      <c r="I172" s="16"/>
      <c r="J172" s="16"/>
      <c r="K172" s="9"/>
      <c r="L172" s="7"/>
      <c r="M172" s="17"/>
      <c r="N172" s="17"/>
      <c r="O172" s="9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17"/>
    </row>
    <row r="173" spans="1:29" x14ac:dyDescent="0.25">
      <c r="A173" s="9"/>
      <c r="B173" s="7"/>
      <c r="C173" s="9"/>
      <c r="D173" s="7"/>
      <c r="E173" s="17"/>
      <c r="F173" s="17"/>
      <c r="G173" s="9"/>
      <c r="H173" s="7"/>
      <c r="I173" s="16"/>
      <c r="J173" s="16"/>
      <c r="K173" s="9"/>
      <c r="L173" s="7"/>
      <c r="M173" s="17"/>
      <c r="N173" s="17"/>
      <c r="O173" s="9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17"/>
    </row>
    <row r="174" spans="1:29" x14ac:dyDescent="0.25">
      <c r="A174" s="9"/>
      <c r="B174" s="7"/>
      <c r="C174" s="9"/>
      <c r="D174" s="7"/>
      <c r="E174" s="17"/>
      <c r="F174" s="17"/>
      <c r="G174" s="9"/>
      <c r="H174" s="7"/>
      <c r="I174" s="16"/>
      <c r="J174" s="16"/>
      <c r="K174" s="9"/>
      <c r="L174" s="7"/>
      <c r="M174" s="17"/>
      <c r="N174" s="17"/>
      <c r="O174" s="9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17"/>
    </row>
    <row r="175" spans="1:29" x14ac:dyDescent="0.25">
      <c r="A175" s="9"/>
      <c r="B175" s="7"/>
      <c r="C175" s="9"/>
      <c r="D175" s="7"/>
      <c r="E175" s="17"/>
      <c r="F175" s="17"/>
      <c r="G175" s="9"/>
      <c r="H175" s="7"/>
      <c r="I175" s="16"/>
      <c r="J175" s="16"/>
      <c r="K175" s="9"/>
      <c r="L175" s="7"/>
      <c r="M175" s="17"/>
      <c r="N175" s="17"/>
      <c r="O175" s="9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17"/>
    </row>
    <row r="176" spans="1:29" x14ac:dyDescent="0.25">
      <c r="A176" s="9"/>
      <c r="B176" s="7"/>
      <c r="C176" s="9"/>
      <c r="D176" s="7"/>
      <c r="E176" s="17"/>
      <c r="F176" s="17"/>
      <c r="G176" s="9"/>
      <c r="H176" s="7"/>
      <c r="I176" s="16"/>
      <c r="J176" s="16"/>
      <c r="K176" s="9"/>
      <c r="L176" s="7"/>
      <c r="M176" s="17"/>
      <c r="N176" s="17"/>
      <c r="O176" s="9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17"/>
    </row>
    <row r="177" spans="1:29" x14ac:dyDescent="0.25">
      <c r="A177" s="9"/>
      <c r="B177" s="7"/>
      <c r="C177" s="9"/>
      <c r="D177" s="7"/>
      <c r="E177" s="17"/>
      <c r="F177" s="17"/>
      <c r="G177" s="9"/>
      <c r="H177" s="7"/>
      <c r="I177" s="16"/>
      <c r="J177" s="16"/>
      <c r="K177" s="9"/>
      <c r="L177" s="7"/>
      <c r="M177" s="17"/>
      <c r="N177" s="17"/>
      <c r="O177" s="9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17"/>
    </row>
    <row r="178" spans="1:29" x14ac:dyDescent="0.25">
      <c r="A178" s="9"/>
      <c r="B178" s="7"/>
      <c r="C178" s="9"/>
      <c r="D178" s="7"/>
      <c r="E178" s="17"/>
      <c r="F178" s="17"/>
      <c r="G178" s="9"/>
      <c r="H178" s="7"/>
      <c r="I178" s="16"/>
      <c r="J178" s="16"/>
      <c r="K178" s="9"/>
      <c r="L178" s="7"/>
      <c r="M178" s="17"/>
      <c r="N178" s="17"/>
      <c r="O178" s="9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17"/>
    </row>
    <row r="179" spans="1:29" x14ac:dyDescent="0.25">
      <c r="A179" s="9"/>
      <c r="B179" s="7"/>
      <c r="C179" s="9"/>
      <c r="D179" s="7"/>
      <c r="E179" s="17"/>
      <c r="F179" s="17"/>
      <c r="G179" s="9"/>
      <c r="H179" s="7"/>
      <c r="I179" s="16"/>
      <c r="J179" s="16"/>
      <c r="K179" s="9"/>
      <c r="L179" s="7"/>
      <c r="M179" s="17"/>
      <c r="N179" s="17"/>
      <c r="O179" s="9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17"/>
    </row>
    <row r="180" spans="1:29" x14ac:dyDescent="0.25">
      <c r="A180" s="9"/>
      <c r="B180" s="7"/>
      <c r="C180" s="9"/>
      <c r="D180" s="7"/>
      <c r="E180" s="17"/>
      <c r="F180" s="17"/>
      <c r="G180" s="9"/>
      <c r="H180" s="7"/>
      <c r="I180" s="16"/>
      <c r="J180" s="16"/>
      <c r="K180" s="9"/>
      <c r="L180" s="7"/>
      <c r="M180" s="17"/>
      <c r="N180" s="17"/>
      <c r="O180" s="9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17"/>
    </row>
    <row r="181" spans="1:29" x14ac:dyDescent="0.25">
      <c r="A181" s="9"/>
      <c r="B181" s="7"/>
      <c r="C181" s="9"/>
      <c r="D181" s="7"/>
      <c r="E181" s="17"/>
      <c r="F181" s="17"/>
      <c r="G181" s="9"/>
      <c r="H181" s="7"/>
      <c r="I181" s="16"/>
      <c r="J181" s="16"/>
      <c r="K181" s="9"/>
      <c r="L181" s="7"/>
      <c r="M181" s="17"/>
      <c r="N181" s="17"/>
      <c r="O181" s="9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17"/>
    </row>
    <row r="182" spans="1:29" x14ac:dyDescent="0.25">
      <c r="A182" s="9"/>
      <c r="B182" s="7"/>
      <c r="C182" s="9"/>
      <c r="D182" s="7"/>
      <c r="E182" s="17"/>
      <c r="F182" s="17"/>
      <c r="G182" s="9"/>
      <c r="H182" s="7"/>
      <c r="I182" s="16"/>
      <c r="J182" s="16"/>
      <c r="K182" s="9"/>
      <c r="L182" s="7"/>
      <c r="M182" s="17"/>
      <c r="N182" s="17"/>
      <c r="O182" s="9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17"/>
    </row>
    <row r="183" spans="1:29" x14ac:dyDescent="0.25">
      <c r="A183" s="9"/>
      <c r="B183" s="7"/>
      <c r="C183" s="9"/>
      <c r="D183" s="7"/>
      <c r="E183" s="17"/>
      <c r="F183" s="17"/>
      <c r="G183" s="9"/>
      <c r="H183" s="7"/>
      <c r="I183" s="16"/>
      <c r="J183" s="16"/>
      <c r="K183" s="9"/>
      <c r="L183" s="7"/>
      <c r="M183" s="17"/>
      <c r="N183" s="17"/>
      <c r="O183" s="9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17"/>
    </row>
    <row r="184" spans="1:29" x14ac:dyDescent="0.25">
      <c r="A184" s="9"/>
      <c r="B184" s="7"/>
      <c r="C184" s="9"/>
      <c r="D184" s="7"/>
      <c r="E184" s="17"/>
      <c r="F184" s="17"/>
      <c r="G184" s="9"/>
      <c r="H184" s="7"/>
      <c r="I184" s="16"/>
      <c r="J184" s="16"/>
      <c r="K184" s="9"/>
      <c r="L184" s="7"/>
      <c r="M184" s="17"/>
      <c r="N184" s="17"/>
      <c r="O184" s="9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17"/>
    </row>
    <row r="185" spans="1:29" x14ac:dyDescent="0.25">
      <c r="A185" s="9"/>
      <c r="B185" s="7"/>
      <c r="C185" s="9"/>
      <c r="D185" s="7"/>
      <c r="E185" s="17"/>
      <c r="F185" s="17"/>
      <c r="G185" s="9"/>
      <c r="H185" s="7"/>
      <c r="I185" s="16"/>
      <c r="J185" s="16"/>
      <c r="K185" s="9"/>
      <c r="L185" s="7"/>
      <c r="M185" s="17"/>
      <c r="N185" s="17"/>
      <c r="O185" s="9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17"/>
    </row>
    <row r="186" spans="1:29" x14ac:dyDescent="0.25">
      <c r="A186" s="9"/>
      <c r="B186" s="7"/>
      <c r="C186" s="9"/>
      <c r="D186" s="7"/>
      <c r="E186" s="17"/>
      <c r="F186" s="17"/>
      <c r="G186" s="9"/>
      <c r="H186" s="7"/>
      <c r="I186" s="16"/>
      <c r="J186" s="16"/>
      <c r="K186" s="9"/>
      <c r="L186" s="7"/>
      <c r="M186" s="17"/>
      <c r="N186" s="17"/>
      <c r="O186" s="9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17"/>
    </row>
    <row r="187" spans="1:29" x14ac:dyDescent="0.25">
      <c r="A187" s="9"/>
      <c r="B187" s="7"/>
      <c r="C187" s="9"/>
      <c r="D187" s="7"/>
      <c r="E187" s="17"/>
      <c r="F187" s="17"/>
      <c r="G187" s="9"/>
      <c r="H187" s="7"/>
      <c r="I187" s="16"/>
      <c r="J187" s="16"/>
      <c r="K187" s="9"/>
      <c r="L187" s="7"/>
      <c r="M187" s="17"/>
      <c r="N187" s="17"/>
      <c r="O187" s="9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17"/>
    </row>
    <row r="188" spans="1:29" x14ac:dyDescent="0.25">
      <c r="A188" s="9"/>
      <c r="B188" s="7"/>
      <c r="C188" s="9"/>
      <c r="D188" s="7"/>
      <c r="E188" s="17"/>
      <c r="F188" s="17"/>
      <c r="G188" s="9"/>
      <c r="H188" s="7"/>
      <c r="I188" s="16"/>
      <c r="J188" s="16"/>
      <c r="K188" s="9"/>
      <c r="L188" s="7"/>
      <c r="M188" s="17"/>
      <c r="N188" s="17"/>
      <c r="O188" s="9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17"/>
    </row>
    <row r="189" spans="1:29" x14ac:dyDescent="0.25">
      <c r="A189" s="9"/>
      <c r="B189" s="7"/>
      <c r="C189" s="9"/>
      <c r="D189" s="7"/>
      <c r="E189" s="17"/>
      <c r="F189" s="17"/>
      <c r="G189" s="9"/>
      <c r="H189" s="7"/>
      <c r="I189" s="16"/>
      <c r="J189" s="16"/>
      <c r="K189" s="9"/>
      <c r="L189" s="7"/>
      <c r="M189" s="17"/>
      <c r="N189" s="17"/>
      <c r="O189" s="9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17"/>
    </row>
    <row r="190" spans="1:29" x14ac:dyDescent="0.25">
      <c r="A190" s="9"/>
      <c r="B190" s="7"/>
      <c r="C190" s="9"/>
      <c r="D190" s="7"/>
      <c r="E190" s="17"/>
      <c r="F190" s="17"/>
      <c r="G190" s="9"/>
      <c r="H190" s="7"/>
      <c r="I190" s="16"/>
      <c r="J190" s="16"/>
      <c r="K190" s="9"/>
      <c r="L190" s="7"/>
      <c r="M190" s="17"/>
      <c r="N190" s="17"/>
      <c r="O190" s="9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17"/>
    </row>
    <row r="191" spans="1:29" x14ac:dyDescent="0.25">
      <c r="A191" s="9"/>
      <c r="B191" s="7"/>
      <c r="C191" s="9"/>
      <c r="D191" s="7"/>
      <c r="E191" s="17"/>
      <c r="F191" s="17"/>
      <c r="G191" s="9"/>
      <c r="H191" s="7"/>
      <c r="I191" s="16"/>
      <c r="J191" s="16"/>
      <c r="K191" s="9"/>
      <c r="L191" s="7"/>
      <c r="M191" s="17"/>
      <c r="N191" s="17"/>
      <c r="O191" s="9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17"/>
    </row>
    <row r="192" spans="1:29" x14ac:dyDescent="0.25">
      <c r="A192" s="9"/>
      <c r="B192" s="7"/>
      <c r="C192" s="9"/>
      <c r="D192" s="7"/>
      <c r="E192" s="17"/>
      <c r="F192" s="17"/>
      <c r="G192" s="9"/>
      <c r="H192" s="7"/>
      <c r="I192" s="16"/>
      <c r="J192" s="16"/>
      <c r="K192" s="9"/>
      <c r="L192" s="7"/>
      <c r="M192" s="17"/>
      <c r="N192" s="17"/>
      <c r="O192" s="9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17"/>
    </row>
    <row r="193" spans="1:29" x14ac:dyDescent="0.25">
      <c r="A193" s="9"/>
      <c r="B193" s="7"/>
      <c r="C193" s="9"/>
      <c r="D193" s="7"/>
      <c r="E193" s="17"/>
      <c r="F193" s="17"/>
      <c r="G193" s="9"/>
      <c r="H193" s="7"/>
      <c r="I193" s="16"/>
      <c r="J193" s="16"/>
      <c r="K193" s="9"/>
      <c r="L193" s="7"/>
      <c r="M193" s="17"/>
      <c r="N193" s="17"/>
      <c r="O193" s="9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17"/>
    </row>
    <row r="194" spans="1:29" x14ac:dyDescent="0.25">
      <c r="A194" s="9"/>
      <c r="B194" s="7"/>
      <c r="C194" s="9"/>
      <c r="D194" s="7"/>
      <c r="E194" s="17"/>
      <c r="F194" s="17"/>
      <c r="G194" s="9"/>
      <c r="H194" s="7"/>
      <c r="I194" s="16"/>
      <c r="J194" s="16"/>
      <c r="K194" s="9"/>
      <c r="L194" s="7"/>
      <c r="M194" s="17"/>
      <c r="N194" s="17"/>
      <c r="O194" s="9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17"/>
    </row>
    <row r="195" spans="1:29" x14ac:dyDescent="0.25">
      <c r="A195" s="9"/>
      <c r="B195" s="7"/>
      <c r="C195" s="9"/>
      <c r="D195" s="7"/>
      <c r="E195" s="17"/>
      <c r="F195" s="17"/>
      <c r="G195" s="9"/>
      <c r="H195" s="7"/>
      <c r="I195" s="16"/>
      <c r="J195" s="16"/>
      <c r="K195" s="9"/>
      <c r="L195" s="7"/>
      <c r="M195" s="17"/>
      <c r="N195" s="17"/>
      <c r="O195" s="9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17"/>
    </row>
    <row r="196" spans="1:29" x14ac:dyDescent="0.25">
      <c r="A196" s="9"/>
      <c r="B196" s="7"/>
      <c r="C196" s="9"/>
      <c r="D196" s="7"/>
      <c r="E196" s="17"/>
      <c r="F196" s="17"/>
      <c r="G196" s="9"/>
      <c r="H196" s="7"/>
      <c r="I196" s="16"/>
      <c r="J196" s="16"/>
      <c r="K196" s="9"/>
      <c r="L196" s="7"/>
      <c r="M196" s="17"/>
      <c r="N196" s="17"/>
      <c r="O196" s="9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17"/>
    </row>
    <row r="197" spans="1:29" x14ac:dyDescent="0.25">
      <c r="A197" s="9"/>
      <c r="B197" s="7"/>
      <c r="C197" s="9"/>
      <c r="D197" s="7"/>
      <c r="E197" s="17"/>
      <c r="F197" s="17"/>
      <c r="G197" s="9"/>
      <c r="H197" s="7"/>
      <c r="I197" s="16"/>
      <c r="J197" s="16"/>
      <c r="K197" s="9"/>
      <c r="L197" s="7"/>
      <c r="M197" s="17"/>
      <c r="N197" s="17"/>
      <c r="O197" s="9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17"/>
    </row>
    <row r="198" spans="1:29" x14ac:dyDescent="0.25">
      <c r="A198" s="9"/>
      <c r="B198" s="7"/>
      <c r="C198" s="9"/>
      <c r="D198" s="7"/>
      <c r="E198" s="17"/>
      <c r="F198" s="17"/>
      <c r="G198" s="9"/>
      <c r="H198" s="7"/>
      <c r="I198" s="16"/>
      <c r="J198" s="16"/>
      <c r="K198" s="9"/>
      <c r="L198" s="7"/>
      <c r="M198" s="17"/>
      <c r="N198" s="17"/>
      <c r="O198" s="9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17"/>
    </row>
  </sheetData>
  <phoneticPr fontId="2" type="noConversion"/>
  <conditionalFormatting sqref="B1:B95">
    <cfRule type="containsText" dxfId="44" priority="1" operator="containsText" text="Accessory">
      <formula>NOT(ISERROR(SEARCH("Accessory",B1)))</formula>
    </cfRule>
    <cfRule type="containsText" dxfId="43" priority="2" operator="containsText" text="Armour">
      <formula>NOT(ISERROR(SEARCH("Armour",B1)))</formula>
    </cfRule>
    <cfRule type="containsText" dxfId="42" priority="3" operator="containsText" text="Equipment">
      <formula>NOT(ISERROR(SEARCH("Equipment",B1)))</formula>
    </cfRule>
    <cfRule type="containsText" dxfId="41" priority="4" operator="containsText" text="Impression">
      <formula>NOT(ISERROR(SEARCH("Impression",B1)))</formula>
    </cfRule>
    <cfRule type="containsText" dxfId="40" priority="5" operator="containsText" text="Spell">
      <formula>NOT(ISERROR(SEARCH("Spell",B1)))</formula>
    </cfRule>
  </conditionalFormatting>
  <conditionalFormatting sqref="B120:B198">
    <cfRule type="containsText" dxfId="39" priority="6" operator="containsText" text="Accessory">
      <formula>NOT(ISERROR(SEARCH("Accessory",B120)))</formula>
    </cfRule>
    <cfRule type="containsText" dxfId="38" priority="7" operator="containsText" text="Armour">
      <formula>NOT(ISERROR(SEARCH("Armour",B120)))</formula>
    </cfRule>
    <cfRule type="containsText" dxfId="37" priority="8" operator="containsText" text="Equipment">
      <formula>NOT(ISERROR(SEARCH("Equipment",B120)))</formula>
    </cfRule>
    <cfRule type="containsText" dxfId="36" priority="9" operator="containsText" text="Impression">
      <formula>NOT(ISERROR(SEARCH("Impression",B120)))</formula>
    </cfRule>
    <cfRule type="containsText" dxfId="35" priority="10" operator="containsText" text="Spell">
      <formula>NOT(ISERROR(SEARCH("Spell",B120)))</formula>
    </cfRule>
  </conditionalFormatting>
  <conditionalFormatting sqref="C17">
    <cfRule type="containsText" dxfId="34" priority="11" operator="containsText" text="Accessory">
      <formula>NOT(ISERROR(SEARCH("Accessory",C17)))</formula>
    </cfRule>
    <cfRule type="containsText" dxfId="33" priority="12" operator="containsText" text="Armour">
      <formula>NOT(ISERROR(SEARCH("Armour",C17)))</formula>
    </cfRule>
    <cfRule type="containsText" dxfId="32" priority="13" operator="containsText" text="Equipment">
      <formula>NOT(ISERROR(SEARCH("Equipment",C17)))</formula>
    </cfRule>
    <cfRule type="containsText" dxfId="31" priority="14" operator="containsText" text="Impression">
      <formula>NOT(ISERROR(SEARCH("Impression",C17)))</formula>
    </cfRule>
    <cfRule type="containsText" dxfId="30" priority="15" operator="containsText" text="Spell">
      <formula>NOT(ISERROR(SEARCH("Spell",C17)))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2025-11-24T09:14:18Z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