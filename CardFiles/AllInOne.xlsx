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DC56E85E-4C94-4704-9B5D-4E76291B6DA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" i="1" l="1"/>
  <c r="P3" i="1" s="1"/>
  <c r="Q3" i="1" s="1"/>
  <c r="U3" i="1"/>
  <c r="S3" i="1" s="1"/>
  <c r="T3" i="1" s="1"/>
  <c r="X3" i="1"/>
  <c r="V3" i="1" s="1"/>
  <c r="W3" i="1" s="1"/>
  <c r="R4" i="1"/>
  <c r="P4" i="1" s="1"/>
  <c r="Q4" i="1" s="1"/>
  <c r="U4" i="1"/>
  <c r="S4" i="1" s="1"/>
  <c r="T4" i="1" s="1"/>
  <c r="X4" i="1"/>
  <c r="V4" i="1" s="1"/>
  <c r="W4" i="1" s="1"/>
  <c r="R5" i="1"/>
  <c r="P5" i="1" s="1"/>
  <c r="Q5" i="1" s="1"/>
  <c r="U5" i="1"/>
  <c r="S5" i="1" s="1"/>
  <c r="T5" i="1" s="1"/>
  <c r="X5" i="1"/>
  <c r="V5" i="1" s="1"/>
  <c r="W5" i="1" s="1"/>
  <c r="R6" i="1"/>
  <c r="P6" i="1" s="1"/>
  <c r="Q6" i="1" s="1"/>
  <c r="U6" i="1"/>
  <c r="S6" i="1" s="1"/>
  <c r="T6" i="1" s="1"/>
  <c r="X6" i="1"/>
  <c r="V6" i="1" s="1"/>
  <c r="W6" i="1" s="1"/>
  <c r="R7" i="1"/>
  <c r="P7" i="1" s="1"/>
  <c r="Q7" i="1" s="1"/>
  <c r="U7" i="1"/>
  <c r="S7" i="1" s="1"/>
  <c r="T7" i="1" s="1"/>
  <c r="X7" i="1"/>
  <c r="V7" i="1" s="1"/>
  <c r="W7" i="1" s="1"/>
  <c r="R8" i="1"/>
  <c r="P8" i="1" s="1"/>
  <c r="Q8" i="1" s="1"/>
  <c r="S8" i="1"/>
  <c r="T8" i="1" s="1"/>
  <c r="U8" i="1"/>
  <c r="X8" i="1"/>
  <c r="V8" i="1" s="1"/>
  <c r="W8" i="1" s="1"/>
  <c r="R9" i="1"/>
  <c r="P9" i="1" s="1"/>
  <c r="Q9" i="1" s="1"/>
  <c r="U9" i="1"/>
  <c r="S9" i="1" s="1"/>
  <c r="T9" i="1" s="1"/>
  <c r="V9" i="1"/>
  <c r="W9" i="1" s="1"/>
  <c r="X9" i="1"/>
  <c r="R10" i="1"/>
  <c r="P10" i="1" s="1"/>
  <c r="Q10" i="1" s="1"/>
  <c r="U10" i="1"/>
  <c r="S10" i="1" s="1"/>
  <c r="T10" i="1" s="1"/>
  <c r="X10" i="1"/>
  <c r="V10" i="1" s="1"/>
  <c r="W10" i="1" s="1"/>
  <c r="P11" i="1"/>
  <c r="Q11" i="1" s="1"/>
  <c r="R11" i="1"/>
  <c r="U11" i="1"/>
  <c r="S11" i="1" s="1"/>
  <c r="T11" i="1" s="1"/>
  <c r="X11" i="1"/>
  <c r="V11" i="1" s="1"/>
  <c r="W11" i="1" s="1"/>
  <c r="R12" i="1"/>
  <c r="P12" i="1" s="1"/>
  <c r="Q12" i="1" s="1"/>
  <c r="S12" i="1"/>
  <c r="T12" i="1" s="1"/>
  <c r="U12" i="1"/>
  <c r="X12" i="1"/>
  <c r="V12" i="1" s="1"/>
  <c r="W12" i="1" s="1"/>
  <c r="R13" i="1"/>
  <c r="P13" i="1" s="1"/>
  <c r="Q13" i="1" s="1"/>
  <c r="U13" i="1"/>
  <c r="S13" i="1" s="1"/>
  <c r="T13" i="1" s="1"/>
  <c r="X13" i="1"/>
  <c r="V13" i="1" s="1"/>
  <c r="W13" i="1" s="1"/>
  <c r="X2" i="1"/>
  <c r="U2" i="1"/>
  <c r="R2" i="1"/>
  <c r="P2" i="1" s="1"/>
  <c r="Q2" i="1" s="1"/>
  <c r="V2" i="1" l="1"/>
  <c r="W2" i="1" s="1"/>
  <c r="S2" i="1"/>
  <c r="T2" i="1" s="1"/>
</calcChain>
</file>

<file path=xl/sharedStrings.xml><?xml version="1.0" encoding="utf-8"?>
<sst xmlns="http://schemas.openxmlformats.org/spreadsheetml/2006/main" count="74" uniqueCount="64">
  <si>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</si>
  <si>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</si>
  <si>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</si>
  <si>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</si>
  <si>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</si>
  <si>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</si>
  <si>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</si>
  <si>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</si>
  <si>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</si>
  <si>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</si>
  <si>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</si>
  <si>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</si>
  <si>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</si>
  <si>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</si>
  <si>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</si>
  <si>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</si>
  <si>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</si>
  <si>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</si>
  <si>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</si>
  <si>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</si>
  <si>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</si>
  <si>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</si>
  <si>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</si>
  <si>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</si>
  <si>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</si>
  <si>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</si>
  <si>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</si>
  <si>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</si>
  <si>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</si>
  <si>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</si>
  <si>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</si>
  <si>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</si>
  <si>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</si>
  <si>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</si>
  <si>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</si>
  <si>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</si>
  <si>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</si>
  <si>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</si>
  <si>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</si>
  <si>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&lt;b&gt;Damage = 4, ranged.&lt;/b&gt;&lt;br&gt;This attack can only target your hated target.&lt;br&gt;Critical options:&lt;br&gt;&lt;b&gt;Omen:&lt;/b&gt; inflict the &lt;b&gt;Cursed&lt;/b&gt; status effect</t>
  </si>
  <si>
    <t>&lt;b&gt;Damage = 2, reach.&lt;/b&gt;&lt;br&gt;Inflicts the &lt;b&gt;Entangled&lt;/b&gt; status effect on a hit.</t>
  </si>
  <si>
    <t>Bladed Fingers</t>
  </si>
  <si>
    <t>Cicada Wings</t>
  </si>
  <si>
    <t>&lt;b&gt; 1000 Cuts: &lt;/b&gt;2 AP</t>
  </si>
  <si>
    <t>&lt;b&gt;Damage = 3 , close range.&lt;/b&gt;&lt;br&gt;Critical options:&lt;br&gt;&lt;b&gt;Flurry:&lt;/b&gt;Your next attack costs 1 less AP.&lt;br&gt;&lt;b&gt;Strike:&lt;/b&gt; +1 Damage.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</si>
  <si>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</si>
  <si>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</si>
  <si>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</si>
  <si>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</si>
  <si>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</si>
  <si>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</si>
  <si>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</si>
  <si>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</si>
  <si>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</si>
  <si>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>&lt;i&gt;&lt;b&gt;Radioactive&lt;/i&gt;&lt;/b&gt;</t>
  </si>
  <si>
    <t xml:space="preserve">&lt;i&gt;&lt;b&gt;Secretions&lt;/b&gt;&lt;/i&gt;   </t>
  </si>
  <si>
    <t xml:space="preserve">&lt;i&gt;&lt;b&gt;Decay&lt;/b&gt;&lt;/i&gt;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</si>
  <si>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</si>
  <si>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</si>
  <si>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</si>
  <si>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</si>
  <si>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&lt;i&gt;&lt;b&gt;Minion&lt;/b&gt;&lt;/i&gt;</t>
  </si>
  <si>
    <t>The boss does not consider you a target unless you are the last alive</t>
  </si>
  <si>
    <t>Reaction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</si>
</sst>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horizontal="left" wrapText="1" readingOrder="1"/>
    </xf>
    <xf numFmtId="0" fontId="0" fillId="0" borderId="3" xfId="0" applyBorder="1" applyAlignment="1">
      <alignment horizontal="left" wrapText="1" readingOrder="1"/>
    </xf>
    <xf numFmtId="0" fontId="0" fillId="0" borderId="0" xfId="0" applyAlignment="1">
      <alignment wrapText="1"/>
    </xf>
    <xf numFmtId="0" fontId="0" fillId="0" borderId="0" xfId="0" applyAlignment="1">
      <alignment horizontal="left" wrapText="1" readingOrder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left" wrapText="1" readingOrder="1"/>
    </xf>
    <xf numFmtId="0" fontId="0" fillId="0" borderId="1" xfId="0" applyNumberFormat="1" applyBorder="1" applyAlignment="1">
      <alignment horizontal="left" wrapText="1" readingOrder="1"/>
    </xf>
    <xf numFmtId="0" fontId="0" fillId="0" borderId="2" xfId="0" applyNumberFormat="1" applyBorder="1" applyAlignment="1">
      <alignment horizontal="left" wrapText="1" readingOrder="1"/>
    </xf>
    <xf numFmtId="0" fontId="0" fillId="0" borderId="3" xfId="0" applyNumberFormat="1" applyBorder="1" applyAlignment="1">
      <alignment horizontal="left" wrapText="1" readingOrder="1"/>
    </xf>
  </cellXfs>
  <cellStyles count="1">
    <cellStyle name="Normal" xfId="0" builtinId="0"/>
  </cellStyles>
  <dxfs count="43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62" totalsRowShown="0">
  <autoFilter ref="A1:AC62" xr:uid="{00000000-0009-0000-0100-000001000000}"/>
  <sortState xmlns:xlrd2="http://schemas.microsoft.com/office/spreadsheetml/2017/richdata2" ref="A2:X62">
    <sortCondition ref="A1:A62"/>
  </sortState>
  <tableColumns count="29">
    <tableColumn id="1" xr3:uid="{00000000-0010-0000-0000-000001000000}" name="Name"/>
    <tableColumn id="2" xr3:uid="{00000000-0010-0000-0000-000002000000}" name="Type"/>
    <tableColumn id="4" xr3:uid="{00000000-0010-0000-0000-000004000000}" name="Charges"/>
    <tableColumn id="20" xr3:uid="{CB9824E5-A740-4FE3-BCEB-C9A8B9A20A6F}" name="Effect 1 Y" dataDxfId="42"/>
    <tableColumn id="12" xr3:uid="{61FB1168-E521-4999-B9B1-B541D01EF8B8}" name="Effect 1 Type" dataDxfId="41"/>
    <tableColumn id="11" xr3:uid="{728899FC-C50B-4AB0-8157-B2961DC174E5}" name="Effect 1 Title" dataDxfId="40"/>
    <tableColumn id="5" xr3:uid="{00000000-0010-0000-0000-000005000000}" name="Effect 1"/>
    <tableColumn id="3" xr3:uid="{B518B047-3B8D-4F7F-BF57-46653BA3E90A}" name="Effect 2 Y" dataDxfId="39">
      <calculatedColumnFormula>#REF!+0.6</calculatedColumnFormula>
    </tableColumn>
    <tableColumn id="6" xr3:uid="{00000000-0010-0000-0000-000006000000}" name="Effect 2 Type"/>
    <tableColumn id="7" xr3:uid="{00000000-0010-0000-0000-000007000000}" name="Effect 2 Title"/>
    <tableColumn id="14" xr3:uid="{754357A5-E406-4611-AB3C-20AC5A964569}" name="Effect 2" dataDxfId="38"/>
    <tableColumn id="9" xr3:uid="{19A9845D-F5E0-412D-B3D3-D2AA98F22015}" name="Effect 3 Y" dataDxfId="37">
      <calculatedColumnFormula>#REF!+Table3[[#This Row],[Effect 2 Y]]</calculatedColumnFormula>
    </tableColumn>
    <tableColumn id="13" xr3:uid="{5E84F09A-22B8-4562-A869-32D13202A8AC}" name="Effect 3 Type" dataDxfId="36"/>
    <tableColumn id="10" xr3:uid="{AA634BBF-CBD7-410B-ACFF-6BAAF336A1A5}" name="Effect 3 Title" dataDxfId="35"/>
    <tableColumn id="16" xr3:uid="{E5181A74-E9DC-4FA4-9CCF-432070B5D74B}" name="Effect 3" dataDxfId="34"/>
    <tableColumn id="26" xr3:uid="{ABB25E88-814C-43E2-A221-63BDD7999E71}" name="E1TY" dataDxfId="33">
      <calculatedColumnFormula>Table3[[#This Row],[E1Y]]+AC2</calculatedColumnFormula>
    </tableColumn>
    <tableColumn id="25" xr3:uid="{A2998808-EB82-42E2-BE17-5858A6BB7BBC}" name="E1BY" dataDxfId="32">
      <calculatedColumnFormula>Table3[[#This Row],[E1TY]]+AB2</calculatedColumnFormula>
    </tableColumn>
    <tableColumn id="24" xr3:uid="{BB9BA851-7E24-47AB-944C-68B78FFF12C5}" name="E1Y" dataDxfId="31">
      <calculatedColumnFormula array="1">INDEX(#REF!,Table3[[#This Row],[Effect 1 Y]])</calculatedColumnFormula>
    </tableColumn>
    <tableColumn id="31" xr3:uid="{759B7CF3-A7ED-4E33-9797-2863FC36319A}" name="E2TY" dataDxfId="30">
      <calculatedColumnFormula>Table3[[#This Row],[E2Y]]+AC2</calculatedColumnFormula>
    </tableColumn>
    <tableColumn id="30" xr3:uid="{F8FEDFEC-0D17-4A94-80DF-078563DFCFD4}" name="E2BY" dataDxfId="29">
      <calculatedColumnFormula>Table3[[#This Row],[E2TY]]+AB2</calculatedColumnFormula>
    </tableColumn>
    <tableColumn id="29" xr3:uid="{6E54FF94-FCB4-4293-BCFE-535CDEAC1B5E}" name="E2Y" dataDxfId="28">
      <calculatedColumnFormula array="1">INDEX(#REF!,Table3[[#This Row],[Effect 2 Y]])+AA2</calculatedColumnFormula>
    </tableColumn>
    <tableColumn id="28" xr3:uid="{77ECECFD-32BE-4763-8AB7-1E3FC5CE4019}" name="E3TY" dataDxfId="27">
      <calculatedColumnFormula>Table3[[#This Row],[E3Y]]+AC2</calculatedColumnFormula>
    </tableColumn>
    <tableColumn id="27" xr3:uid="{140B097E-9EEB-471A-900F-3BBD696BA528}" name="E3BY" dataDxfId="26">
      <calculatedColumnFormula>Table3[[#This Row],[E3TY]]+AB2</calculatedColumnFormula>
    </tableColumn>
    <tableColumn id="18" xr3:uid="{2A07D97B-1E57-417D-A0CA-568147DB1F72}" name="E3Y" dataDxfId="25">
      <calculatedColumnFormula array="1">INDEX(#REF!,Table3[[#This Row],[Effect 3 Y]])+2*AA2</calculatedColumnFormula>
    </tableColumn>
    <tableColumn id="8" xr3:uid="{2301A507-B4CC-49E9-AA0E-F02F7BD173E1}" name="Ypos" dataDxfId="24"/>
    <tableColumn id="15" xr3:uid="{E3A6F2A9-C4EB-4B5C-840B-71065D1C710B}" name="Linewidth" dataDxfId="23"/>
    <tableColumn id="17" xr3:uid="{0F072005-E263-48D5-BD19-43687FB9AFC2}" name="Ability Offset" dataDxfId="22"/>
    <tableColumn id="19" xr3:uid="{AA9B8FDF-203B-4F09-987C-BF9C70CE1C9F}" name="Border Offset" dataDxfId="21"/>
    <tableColumn id="21" xr3:uid="{E9808F47-9124-48BD-9338-0B3B2C37778D}" name="Title Offset" dataDxfId="2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2"/>
  <sheetViews>
    <sheetView tabSelected="1" zoomScale="115" zoomScaleNormal="115" workbookViewId="0">
      <selection activeCell="H8" sqref="H8"/>
    </sheetView>
  </sheetViews>
  <sheetFormatPr defaultColWidth="8.5703125" defaultRowHeight="15" customHeight="1" x14ac:dyDescent="0.25"/>
  <cols>
    <col min="1" max="1" width="11" customWidth="1"/>
    <col min="2" max="2" width="8.28515625" customWidth="1"/>
    <col min="3" max="3" width="5.28515625" customWidth="1"/>
    <col min="4" max="4" width="4.28515625" customWidth="1"/>
    <col min="5" max="5" width="8.28515625" customWidth="1"/>
    <col min="6" max="6" width="33" customWidth="1"/>
    <col min="7" max="7" width="38.7109375" customWidth="1"/>
    <col min="8" max="8" width="3.140625" customWidth="1"/>
    <col min="9" max="9" width="9" customWidth="1"/>
    <col min="10" max="10" width="22.85546875" customWidth="1"/>
    <col min="11" max="11" width="40.140625" customWidth="1"/>
    <col min="12" max="12" width="4.7109375" customWidth="1"/>
    <col min="13" max="13" width="11.7109375" customWidth="1"/>
    <col min="14" max="14" width="16.28515625" customWidth="1"/>
    <col min="15" max="15" width="45" customWidth="1"/>
    <col min="16" max="23" width="10.5703125" customWidth="1"/>
    <col min="24" max="24" width="8.5703125" customWidth="1"/>
    <col min="25" max="25" width="15.42578125" customWidth="1"/>
    <col min="26" max="26" width="16" customWidth="1"/>
  </cols>
  <sheetData>
    <row r="1" spans="1:29" ht="75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3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t="s">
        <v>23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s="14" t="s">
        <v>21</v>
      </c>
      <c r="Z1" s="14" t="s">
        <v>51</v>
      </c>
      <c r="AA1" s="15" t="s">
        <v>31</v>
      </c>
      <c r="AB1" s="15" t="s">
        <v>32</v>
      </c>
      <c r="AC1" s="15" t="s">
        <v>33</v>
      </c>
    </row>
    <row r="2" spans="1:29" ht="75" x14ac:dyDescent="0.25">
      <c r="A2" s="4" t="s">
        <v>5</v>
      </c>
      <c r="B2" s="4" t="s">
        <v>6</v>
      </c>
      <c r="C2" s="4"/>
      <c r="D2" s="4">
        <v>1</v>
      </c>
      <c r="E2" s="4" t="s">
        <v>11</v>
      </c>
      <c r="F2" s="4" t="s">
        <v>10</v>
      </c>
      <c r="G2" s="4" t="s">
        <v>9</v>
      </c>
      <c r="H2" s="4">
        <v>5</v>
      </c>
      <c r="I2" s="4" t="s">
        <v>34</v>
      </c>
      <c r="J2" s="4" t="s">
        <v>16</v>
      </c>
      <c r="K2" s="4" t="s">
        <v>39</v>
      </c>
      <c r="L2" s="4">
        <v>5</v>
      </c>
      <c r="M2" s="4"/>
      <c r="N2" s="4"/>
      <c r="O2" s="4"/>
      <c r="P2" s="8">
        <f>Table3[[#This Row],[E1Y]]+AC$2</f>
        <v>2.36</v>
      </c>
      <c r="Q2" s="8">
        <f>Table3[[#This Row],[E1TY]]+AB$2</f>
        <v>2.2399999999999998</v>
      </c>
      <c r="R2" s="8">
        <f>Y$2+Z$2*(Table3[[#This Row],[Effect 1 Y]]-1)</f>
        <v>2.96</v>
      </c>
      <c r="S2" s="8">
        <f>Table3[[#This Row],[E2Y]]+AC$2</f>
        <v>4.5600000000000005</v>
      </c>
      <c r="T2" s="8">
        <f>Table3[[#This Row],[E2TY]]+AB$2</f>
        <v>4.4400000000000004</v>
      </c>
      <c r="U2" s="8">
        <f>Y$2+0.5*(Table3[[#This Row],[Effect 2 Y]]-1)+AA$2</f>
        <v>5.16</v>
      </c>
      <c r="V2" s="8">
        <f>Table3[[#This Row],[E3Y]]+AC$2</f>
        <v>4.7600000000000007</v>
      </c>
      <c r="W2" s="8">
        <f>Table3[[#This Row],[E3TY]]+AB$2</f>
        <v>4.6400000000000006</v>
      </c>
      <c r="X2" s="6">
        <f>Y$2+0.5*(Table3[[#This Row],[Effect 3 Y]]-1)+2*AA$2</f>
        <v>5.36</v>
      </c>
      <c r="Y2" s="14">
        <v>2.96</v>
      </c>
      <c r="Z2" s="14">
        <v>0.5</v>
      </c>
      <c r="AA2" s="14">
        <v>0.2</v>
      </c>
      <c r="AB2" s="14">
        <v>-0.12</v>
      </c>
      <c r="AC2" s="14">
        <v>-0.6</v>
      </c>
    </row>
    <row r="3" spans="1:29" ht="75" x14ac:dyDescent="0.25">
      <c r="A3" s="4" t="s">
        <v>41</v>
      </c>
      <c r="B3" s="4" t="s">
        <v>6</v>
      </c>
      <c r="C3" s="4"/>
      <c r="D3" s="4">
        <v>1</v>
      </c>
      <c r="E3" s="4" t="s">
        <v>34</v>
      </c>
      <c r="F3" s="4" t="s">
        <v>43</v>
      </c>
      <c r="G3" s="4" t="s">
        <v>44</v>
      </c>
      <c r="H3" s="4">
        <v>3</v>
      </c>
      <c r="I3" s="4"/>
      <c r="J3" s="4"/>
      <c r="K3" s="4"/>
      <c r="L3" s="4">
        <v>5</v>
      </c>
      <c r="M3" s="4"/>
      <c r="N3" s="4"/>
      <c r="O3" s="4"/>
      <c r="P3" s="8">
        <f>Table3[[#This Row],[E1Y]]+AC$2</f>
        <v>2.36</v>
      </c>
      <c r="Q3" s="8">
        <f>Table3[[#This Row],[E1TY]]+AB$2</f>
        <v>2.2399999999999998</v>
      </c>
      <c r="R3" s="8">
        <f>Y$2+Z$2*(Table3[[#This Row],[Effect 1 Y]]-1)</f>
        <v>2.96</v>
      </c>
      <c r="S3" s="8">
        <f>Table3[[#This Row],[E2Y]]+AC$2</f>
        <v>3.56</v>
      </c>
      <c r="T3" s="8">
        <f>Table3[[#This Row],[E2TY]]+AB$2</f>
        <v>3.44</v>
      </c>
      <c r="U3" s="8">
        <f>Y$2+0.5*(Table3[[#This Row],[Effect 2 Y]]-1)+AA$2</f>
        <v>4.16</v>
      </c>
      <c r="V3" s="8">
        <f>Table3[[#This Row],[E3Y]]+AC$2</f>
        <v>4.7600000000000007</v>
      </c>
      <c r="W3" s="8">
        <f>Table3[[#This Row],[E3TY]]+AB$2</f>
        <v>4.6400000000000006</v>
      </c>
      <c r="X3" s="6">
        <f>Y$2+0.5*(Table3[[#This Row],[Effect 3 Y]]-1)+2*AA$2</f>
        <v>5.36</v>
      </c>
      <c r="Y3" s="14"/>
      <c r="Z3" s="14"/>
      <c r="AA3" s="14"/>
      <c r="AB3" s="14"/>
      <c r="AC3" s="14"/>
    </row>
    <row r="4" spans="1:29" ht="30" x14ac:dyDescent="0.25">
      <c r="A4" s="4" t="s">
        <v>42</v>
      </c>
      <c r="B4" s="4" t="s">
        <v>6</v>
      </c>
      <c r="C4" s="4"/>
      <c r="D4" s="4">
        <v>1</v>
      </c>
      <c r="E4" s="4" t="s">
        <v>11</v>
      </c>
      <c r="F4" s="4" t="s">
        <v>45</v>
      </c>
      <c r="G4" s="4" t="s">
        <v>46</v>
      </c>
      <c r="H4" s="4">
        <v>5</v>
      </c>
      <c r="I4" s="4" t="s">
        <v>11</v>
      </c>
      <c r="J4" s="4" t="s">
        <v>47</v>
      </c>
      <c r="K4" s="4" t="s">
        <v>48</v>
      </c>
      <c r="L4" s="4">
        <v>5</v>
      </c>
      <c r="M4" s="4"/>
      <c r="N4" s="4"/>
      <c r="O4" s="4"/>
      <c r="P4" s="8">
        <f>Table3[[#This Row],[E1Y]]+AC$2</f>
        <v>2.36</v>
      </c>
      <c r="Q4" s="8">
        <f>Table3[[#This Row],[E1TY]]+AB$2</f>
        <v>2.2399999999999998</v>
      </c>
      <c r="R4" s="8">
        <f>Y$2+Z$2*(Table3[[#This Row],[Effect 1 Y]]-1)</f>
        <v>2.96</v>
      </c>
      <c r="S4" s="8">
        <f>Table3[[#This Row],[E2Y]]+AC$2</f>
        <v>4.5600000000000005</v>
      </c>
      <c r="T4" s="8">
        <f>Table3[[#This Row],[E2TY]]+AB$2</f>
        <v>4.4400000000000004</v>
      </c>
      <c r="U4" s="8">
        <f>Y$2+0.5*(Table3[[#This Row],[Effect 2 Y]]-1)+AA$2</f>
        <v>5.16</v>
      </c>
      <c r="V4" s="8">
        <f>Table3[[#This Row],[E3Y]]+AC$2</f>
        <v>4.7600000000000007</v>
      </c>
      <c r="W4" s="8">
        <f>Table3[[#This Row],[E3TY]]+AB$2</f>
        <v>4.6400000000000006</v>
      </c>
      <c r="X4" s="6">
        <f>Y$2+0.5*(Table3[[#This Row],[Effect 3 Y]]-1)+2*AA$2</f>
        <v>5.36</v>
      </c>
      <c r="Y4" s="14"/>
      <c r="Z4" s="14"/>
      <c r="AA4" s="14"/>
      <c r="AB4" s="14"/>
      <c r="AC4" s="14"/>
    </row>
    <row r="5" spans="1:29" ht="60" x14ac:dyDescent="0.25">
      <c r="A5" s="4" t="s">
        <v>35</v>
      </c>
      <c r="B5" s="4" t="s">
        <v>6</v>
      </c>
      <c r="C5" s="4"/>
      <c r="D5" s="4">
        <v>1</v>
      </c>
      <c r="E5" s="4" t="s">
        <v>34</v>
      </c>
      <c r="F5" s="4" t="s">
        <v>38</v>
      </c>
      <c r="G5" s="4" t="s">
        <v>40</v>
      </c>
      <c r="H5" s="4">
        <v>5</v>
      </c>
      <c r="I5" s="11" t="s">
        <v>36</v>
      </c>
      <c r="J5" s="11" t="s">
        <v>55</v>
      </c>
      <c r="K5" s="4" t="s">
        <v>37</v>
      </c>
      <c r="L5" s="4">
        <v>5</v>
      </c>
      <c r="M5" s="4"/>
      <c r="N5" s="4"/>
      <c r="O5" s="4"/>
      <c r="P5" s="8">
        <f>Table3[[#This Row],[E1Y]]+AC$2</f>
        <v>2.36</v>
      </c>
      <c r="Q5" s="8">
        <f>Table3[[#This Row],[E1TY]]+AB$2</f>
        <v>2.2399999999999998</v>
      </c>
      <c r="R5" s="8">
        <f>Y$2+Z$2*(Table3[[#This Row],[Effect 1 Y]]-1)</f>
        <v>2.96</v>
      </c>
      <c r="S5" s="8">
        <f>Table3[[#This Row],[E2Y]]+AC$2</f>
        <v>4.5600000000000005</v>
      </c>
      <c r="T5" s="8">
        <f>Table3[[#This Row],[E2TY]]+AB$2</f>
        <v>4.4400000000000004</v>
      </c>
      <c r="U5" s="8">
        <f>Y$2+0.5*(Table3[[#This Row],[Effect 2 Y]]-1)+AA$2</f>
        <v>5.16</v>
      </c>
      <c r="V5" s="8">
        <f>Table3[[#This Row],[E3Y]]+AC$2</f>
        <v>4.7600000000000007</v>
      </c>
      <c r="W5" s="8">
        <f>Table3[[#This Row],[E3TY]]+AB$2</f>
        <v>4.6400000000000006</v>
      </c>
      <c r="X5" s="6">
        <f>Y$2+0.5*(Table3[[#This Row],[Effect 3 Y]]-1)+2*AA$2</f>
        <v>5.36</v>
      </c>
      <c r="AA5" s="14"/>
      <c r="AB5" s="14"/>
      <c r="AC5" s="14"/>
    </row>
    <row r="6" spans="1:29" ht="30" x14ac:dyDescent="0.25">
      <c r="A6" s="4" t="s">
        <v>49</v>
      </c>
      <c r="B6" s="4" t="s">
        <v>50</v>
      </c>
      <c r="C6" s="4"/>
      <c r="D6" s="4">
        <v>1</v>
      </c>
      <c r="E6" s="4" t="s">
        <v>36</v>
      </c>
      <c r="F6" s="4" t="s">
        <v>54</v>
      </c>
      <c r="G6" s="4" t="s">
        <v>53</v>
      </c>
      <c r="H6" s="4">
        <v>4</v>
      </c>
      <c r="I6" s="5" t="s">
        <v>36</v>
      </c>
      <c r="J6" s="5" t="s">
        <v>56</v>
      </c>
      <c r="K6" s="4" t="s">
        <v>52</v>
      </c>
      <c r="L6" s="4"/>
      <c r="M6" s="4"/>
      <c r="N6" s="4"/>
      <c r="O6" s="4"/>
      <c r="P6" s="8">
        <f>Table3[[#This Row],[E1Y]]+AC$2</f>
        <v>2.36</v>
      </c>
      <c r="Q6" s="8">
        <f>Table3[[#This Row],[E1TY]]+AB$2</f>
        <v>2.2399999999999998</v>
      </c>
      <c r="R6" s="8">
        <f>Y$2+Z$2*(Table3[[#This Row],[Effect 1 Y]]-1)</f>
        <v>2.96</v>
      </c>
      <c r="S6" s="8">
        <f>Table3[[#This Row],[E2Y]]+AC$2</f>
        <v>4.0600000000000005</v>
      </c>
      <c r="T6" s="8">
        <f>Table3[[#This Row],[E2TY]]+AB$2</f>
        <v>3.9400000000000004</v>
      </c>
      <c r="U6" s="8">
        <f>Y$2+0.5*(Table3[[#This Row],[Effect 2 Y]]-1)+AA$2</f>
        <v>4.66</v>
      </c>
      <c r="V6" s="8">
        <f>Table3[[#This Row],[E3Y]]+AC$2</f>
        <v>2.2599999999999998</v>
      </c>
      <c r="W6" s="8">
        <f>Table3[[#This Row],[E3TY]]+AB$2</f>
        <v>2.1399999999999997</v>
      </c>
      <c r="X6" s="6">
        <f>Y$2+0.5*(Table3[[#This Row],[Effect 3 Y]]-1)+2*AA$2</f>
        <v>2.86</v>
      </c>
      <c r="AA6" s="14"/>
      <c r="AB6" s="14"/>
      <c r="AC6" s="14"/>
    </row>
    <row r="7" spans="1:29" ht="15" customHeight="1" x14ac:dyDescent="0.25">
      <c r="A7" s="11" t="s">
        <v>57</v>
      </c>
      <c r="B7" s="4" t="s">
        <v>58</v>
      </c>
      <c r="C7" s="11"/>
      <c r="D7" s="11">
        <v>1</v>
      </c>
      <c r="E7" s="11" t="s">
        <v>63</v>
      </c>
      <c r="F7" s="5" t="s">
        <v>59</v>
      </c>
      <c r="G7" s="11" t="s">
        <v>60</v>
      </c>
      <c r="H7" s="4">
        <v>6</v>
      </c>
      <c r="I7" s="4" t="s">
        <v>36</v>
      </c>
      <c r="J7" s="4" t="s">
        <v>61</v>
      </c>
      <c r="K7" s="11" t="s">
        <v>62</v>
      </c>
      <c r="L7" s="4"/>
      <c r="M7" s="4"/>
      <c r="N7" s="4"/>
      <c r="O7" s="4"/>
      <c r="P7" s="8">
        <f>Table3[[#This Row],[E1Y]]+AC$2</f>
        <v>2.36</v>
      </c>
      <c r="Q7" s="8">
        <f>Table3[[#This Row],[E1TY]]+AB$2</f>
        <v>2.2399999999999998</v>
      </c>
      <c r="R7" s="8">
        <f>Y$2+Z$2*(Table3[[#This Row],[Effect 1 Y]]-1)</f>
        <v>2.96</v>
      </c>
      <c r="S7" s="8">
        <f>Table3[[#This Row],[E2Y]]+AC$2</f>
        <v>5.0600000000000005</v>
      </c>
      <c r="T7" s="8">
        <f>Table3[[#This Row],[E2TY]]+AB$2</f>
        <v>4.9400000000000004</v>
      </c>
      <c r="U7" s="8">
        <f>Y$2+0.5*(Table3[[#This Row],[Effect 2 Y]]-1)+AA$2</f>
        <v>5.66</v>
      </c>
      <c r="V7" s="8">
        <f>Table3[[#This Row],[E3Y]]+AC$2</f>
        <v>2.2599999999999998</v>
      </c>
      <c r="W7" s="8">
        <f>Table3[[#This Row],[E3TY]]+AB$2</f>
        <v>2.1399999999999997</v>
      </c>
      <c r="X7" s="6">
        <f>Y$2+0.5*(Table3[[#This Row],[Effect 3 Y]]-1)+2*AA$2</f>
        <v>2.86</v>
      </c>
      <c r="Y7" s="14"/>
      <c r="Z7" s="14"/>
      <c r="AA7" s="14"/>
      <c r="AB7" s="14"/>
      <c r="AC7" s="14"/>
    </row>
    <row r="8" spans="1:29" ht="15" customHeight="1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8">
        <f>Table3[[#This Row],[E1Y]]+AC$2</f>
        <v>1.8599999999999999</v>
      </c>
      <c r="Q8" s="8">
        <f>Table3[[#This Row],[E1TY]]+AB$2</f>
        <v>1.7399999999999998</v>
      </c>
      <c r="R8" s="8">
        <f>Y$2+Z$2*(Table3[[#This Row],[Effect 1 Y]]-1)</f>
        <v>2.46</v>
      </c>
      <c r="S8" s="8">
        <f>Table3[[#This Row],[E2Y]]+AC$2</f>
        <v>2.06</v>
      </c>
      <c r="T8" s="8">
        <f>Table3[[#This Row],[E2TY]]+AB$2</f>
        <v>1.94</v>
      </c>
      <c r="U8" s="8">
        <f>Y$2+0.5*(Table3[[#This Row],[Effect 2 Y]]-1)+AA$2</f>
        <v>2.66</v>
      </c>
      <c r="V8" s="8">
        <f>Table3[[#This Row],[E3Y]]+AC$2</f>
        <v>2.2599999999999998</v>
      </c>
      <c r="W8" s="8">
        <f>Table3[[#This Row],[E3TY]]+AB$2</f>
        <v>2.1399999999999997</v>
      </c>
      <c r="X8" s="6">
        <f>Y$2+0.5*(Table3[[#This Row],[Effect 3 Y]]-1)+2*AA$2</f>
        <v>2.86</v>
      </c>
      <c r="Y8" s="14"/>
      <c r="Z8" s="14"/>
      <c r="AA8" s="14"/>
      <c r="AB8" s="14"/>
      <c r="AC8" s="14"/>
    </row>
    <row r="9" spans="1:29" ht="15" customHeight="1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8">
        <f>Table3[[#This Row],[E1Y]]+AC$2</f>
        <v>1.8599999999999999</v>
      </c>
      <c r="Q9" s="8">
        <f>Table3[[#This Row],[E1TY]]+AB$2</f>
        <v>1.7399999999999998</v>
      </c>
      <c r="R9" s="8">
        <f>Y$2+Z$2*(Table3[[#This Row],[Effect 1 Y]]-1)</f>
        <v>2.46</v>
      </c>
      <c r="S9" s="8">
        <f>Table3[[#This Row],[E2Y]]+AC$2</f>
        <v>2.06</v>
      </c>
      <c r="T9" s="8">
        <f>Table3[[#This Row],[E2TY]]+AB$2</f>
        <v>1.94</v>
      </c>
      <c r="U9" s="8">
        <f>Y$2+0.5*(Table3[[#This Row],[Effect 2 Y]]-1)+AA$2</f>
        <v>2.66</v>
      </c>
      <c r="V9" s="8">
        <f>Table3[[#This Row],[E3Y]]+AC$2</f>
        <v>2.2599999999999998</v>
      </c>
      <c r="W9" s="8">
        <f>Table3[[#This Row],[E3TY]]+AB$2</f>
        <v>2.1399999999999997</v>
      </c>
      <c r="X9" s="6">
        <f>Y$2+0.5*(Table3[[#This Row],[Effect 3 Y]]-1)+2*AA$2</f>
        <v>2.86</v>
      </c>
      <c r="Y9" s="14"/>
      <c r="Z9" s="14"/>
      <c r="AA9" s="14"/>
      <c r="AB9" s="14"/>
      <c r="AC9" s="14"/>
    </row>
    <row r="10" spans="1:29" ht="15" customHeight="1" x14ac:dyDescent="0.25">
      <c r="A10" s="4"/>
      <c r="B10" s="4"/>
      <c r="C10" s="4"/>
      <c r="D10" s="4"/>
      <c r="E10" s="10"/>
      <c r="F10" s="4"/>
      <c r="G10" s="4"/>
      <c r="H10" s="4"/>
      <c r="I10" s="4"/>
      <c r="J10" s="4"/>
      <c r="K10" s="4"/>
      <c r="L10" s="4"/>
      <c r="M10" s="4"/>
      <c r="N10" s="4"/>
      <c r="O10" s="4"/>
      <c r="P10" s="8">
        <f>Table3[[#This Row],[E1Y]]+AC$2</f>
        <v>1.8599999999999999</v>
      </c>
      <c r="Q10" s="8">
        <f>Table3[[#This Row],[E1TY]]+AB$2</f>
        <v>1.7399999999999998</v>
      </c>
      <c r="R10" s="8">
        <f>Y$2+Z$2*(Table3[[#This Row],[Effect 1 Y]]-1)</f>
        <v>2.46</v>
      </c>
      <c r="S10" s="8">
        <f>Table3[[#This Row],[E2Y]]+AC$2</f>
        <v>2.06</v>
      </c>
      <c r="T10" s="8">
        <f>Table3[[#This Row],[E2TY]]+AB$2</f>
        <v>1.94</v>
      </c>
      <c r="U10" s="8">
        <f>Y$2+0.5*(Table3[[#This Row],[Effect 2 Y]]-1)+AA$2</f>
        <v>2.66</v>
      </c>
      <c r="V10" s="8">
        <f>Table3[[#This Row],[E3Y]]+AC$2</f>
        <v>2.2599999999999998</v>
      </c>
      <c r="W10" s="8">
        <f>Table3[[#This Row],[E3TY]]+AB$2</f>
        <v>2.1399999999999997</v>
      </c>
      <c r="X10" s="6">
        <f>Y$2+0.5*(Table3[[#This Row],[Effect 3 Y]]-1)+2*AA$2</f>
        <v>2.86</v>
      </c>
      <c r="Y10" s="14"/>
      <c r="Z10" s="14"/>
      <c r="AA10" s="14"/>
      <c r="AB10" s="14"/>
      <c r="AC10" s="14"/>
    </row>
    <row r="11" spans="1:29" ht="15" customHeigh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8">
        <f>Table3[[#This Row],[E1Y]]+AC$2</f>
        <v>1.8599999999999999</v>
      </c>
      <c r="Q11" s="8">
        <f>Table3[[#This Row],[E1TY]]+AB$2</f>
        <v>1.7399999999999998</v>
      </c>
      <c r="R11" s="8">
        <f>Y$2+Z$2*(Table3[[#This Row],[Effect 1 Y]]-1)</f>
        <v>2.46</v>
      </c>
      <c r="S11" s="8">
        <f>Table3[[#This Row],[E2Y]]+AC$2</f>
        <v>2.06</v>
      </c>
      <c r="T11" s="8">
        <f>Table3[[#This Row],[E2TY]]+AB$2</f>
        <v>1.94</v>
      </c>
      <c r="U11" s="8">
        <f>Y$2+0.5*(Table3[[#This Row],[Effect 2 Y]]-1)+AA$2</f>
        <v>2.66</v>
      </c>
      <c r="V11" s="8">
        <f>Table3[[#This Row],[E3Y]]+AC$2</f>
        <v>2.2599999999999998</v>
      </c>
      <c r="W11" s="8">
        <f>Table3[[#This Row],[E3TY]]+AB$2</f>
        <v>2.1399999999999997</v>
      </c>
      <c r="X11" s="6">
        <f>Y$2+0.5*(Table3[[#This Row],[Effect 3 Y]]-1)+2*AA$2</f>
        <v>2.86</v>
      </c>
      <c r="Y11" s="14"/>
      <c r="Z11" s="14"/>
      <c r="AA11" s="14"/>
      <c r="AB11" s="14"/>
      <c r="AC11" s="14"/>
    </row>
    <row r="12" spans="1:29" ht="1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8">
        <f>Table3[[#This Row],[E1Y]]+AC$2</f>
        <v>1.8599999999999999</v>
      </c>
      <c r="Q12" s="8">
        <f>Table3[[#This Row],[E1TY]]+AB$2</f>
        <v>1.7399999999999998</v>
      </c>
      <c r="R12" s="8">
        <f>Y$2+Z$2*(Table3[[#This Row],[Effect 1 Y]]-1)</f>
        <v>2.46</v>
      </c>
      <c r="S12" s="8">
        <f>Table3[[#This Row],[E2Y]]+AC$2</f>
        <v>2.06</v>
      </c>
      <c r="T12" s="8">
        <f>Table3[[#This Row],[E2TY]]+AB$2</f>
        <v>1.94</v>
      </c>
      <c r="U12" s="8">
        <f>Y$2+0.5*(Table3[[#This Row],[Effect 2 Y]]-1)+AA$2</f>
        <v>2.66</v>
      </c>
      <c r="V12" s="8">
        <f>Table3[[#This Row],[E3Y]]+AC$2</f>
        <v>2.2599999999999998</v>
      </c>
      <c r="W12" s="8">
        <f>Table3[[#This Row],[E3TY]]+AB$2</f>
        <v>2.1399999999999997</v>
      </c>
      <c r="X12" s="6">
        <f>Y$2+0.5*(Table3[[#This Row],[Effect 3 Y]]-1)+2*AA$2</f>
        <v>2.86</v>
      </c>
      <c r="Y12" s="14"/>
      <c r="Z12" s="14"/>
      <c r="AA12" s="14"/>
      <c r="AB12" s="14"/>
      <c r="AC12" s="14"/>
    </row>
    <row r="13" spans="1:29" ht="15" customHeight="1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8">
        <f>Table3[[#This Row],[E1Y]]+AC$2</f>
        <v>1.8599999999999999</v>
      </c>
      <c r="Q13" s="8">
        <f>Table3[[#This Row],[E1TY]]+AB$2</f>
        <v>1.7399999999999998</v>
      </c>
      <c r="R13" s="8">
        <f>Y$2+Z$2*(Table3[[#This Row],[Effect 1 Y]]-1)</f>
        <v>2.46</v>
      </c>
      <c r="S13" s="8">
        <f>Table3[[#This Row],[E2Y]]+AC$2</f>
        <v>2.06</v>
      </c>
      <c r="T13" s="8">
        <f>Table3[[#This Row],[E2TY]]+AB$2</f>
        <v>1.94</v>
      </c>
      <c r="U13" s="8">
        <f>Y$2+0.5*(Table3[[#This Row],[Effect 2 Y]]-1)+AA$2</f>
        <v>2.66</v>
      </c>
      <c r="V13" s="8">
        <f>Table3[[#This Row],[E3Y]]+AC$2</f>
        <v>2.2599999999999998</v>
      </c>
      <c r="W13" s="8">
        <f>Table3[[#This Row],[E3TY]]+AB$2</f>
        <v>2.1399999999999997</v>
      </c>
      <c r="X13" s="6">
        <f>Y$2+0.5*(Table3[[#This Row],[Effect 3 Y]]-1)+2*AA$2</f>
        <v>2.86</v>
      </c>
      <c r="Y13" s="14"/>
      <c r="Z13" s="14"/>
      <c r="AA13" s="14"/>
      <c r="AB13" s="14"/>
      <c r="AC13" s="14"/>
    </row>
    <row r="14" spans="1:29" ht="15" customHeight="1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5"/>
      <c r="Y14" s="14"/>
      <c r="Z14" s="14"/>
      <c r="AA14" s="14"/>
      <c r="AB14" s="14"/>
      <c r="AC14" s="14"/>
    </row>
    <row r="15" spans="1:29" ht="1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  <c r="Y15" s="14"/>
      <c r="Z15" s="14"/>
      <c r="AA15" s="14"/>
      <c r="AB15" s="14"/>
      <c r="AC15" s="14"/>
    </row>
    <row r="16" spans="1:29" ht="15" customHeight="1" x14ac:dyDescent="0.25">
      <c r="A16" s="4"/>
      <c r="B16" s="4"/>
      <c r="C16" s="10"/>
      <c r="D16" s="4"/>
      <c r="E16" s="11"/>
      <c r="F16" s="11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5"/>
      <c r="Y16" s="14"/>
      <c r="Z16" s="14"/>
      <c r="AA16" s="14"/>
      <c r="AB16" s="14"/>
      <c r="AC16" s="14"/>
    </row>
    <row r="17" spans="1:29" ht="15" customHeight="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/>
      <c r="Y17" s="14"/>
      <c r="Z17" s="14"/>
      <c r="AA17" s="14"/>
      <c r="AB17" s="14"/>
      <c r="AC17" s="14"/>
    </row>
    <row r="18" spans="1:29" ht="15" customHeight="1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5"/>
      <c r="Y18" s="14"/>
      <c r="Z18" s="14"/>
      <c r="AA18" s="14"/>
      <c r="AB18" s="14"/>
      <c r="AC18" s="14"/>
    </row>
    <row r="19" spans="1:29" ht="15" customHeight="1" x14ac:dyDescent="0.25">
      <c r="A19" s="12"/>
      <c r="B19" s="12"/>
      <c r="C19" s="12"/>
      <c r="D19" s="12"/>
      <c r="E19" s="12"/>
      <c r="F19" s="12"/>
      <c r="G19" s="12"/>
      <c r="H19" s="1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5"/>
      <c r="Y19" s="14"/>
      <c r="Z19" s="14"/>
      <c r="AA19" s="14"/>
      <c r="AB19" s="14"/>
      <c r="AC19" s="14"/>
    </row>
    <row r="20" spans="1:29" ht="15" customHeight="1" x14ac:dyDescent="0.25">
      <c r="A20" s="4"/>
      <c r="B20" s="4"/>
      <c r="C20" s="4"/>
      <c r="D20" s="4"/>
      <c r="E20" s="13"/>
      <c r="F20" s="13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5"/>
      <c r="Y20" s="14"/>
      <c r="Z20" s="14"/>
      <c r="AA20" s="14"/>
      <c r="AB20" s="14"/>
      <c r="AC20" s="14"/>
    </row>
    <row r="21" spans="1:29" ht="15" customHeight="1" x14ac:dyDescent="0.25">
      <c r="A21" s="4"/>
      <c r="B21" s="4"/>
      <c r="C21" s="12"/>
      <c r="D21" s="12"/>
      <c r="E21" s="4"/>
      <c r="F21" s="4"/>
      <c r="G21" s="12"/>
      <c r="H21" s="1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5"/>
      <c r="Y21" s="14"/>
      <c r="Z21" s="14"/>
      <c r="AA21" s="14"/>
      <c r="AB21" s="14"/>
      <c r="AC21" s="14"/>
    </row>
    <row r="22" spans="1:29" ht="1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5"/>
      <c r="Y22" s="14"/>
      <c r="Z22" s="14"/>
      <c r="AA22" s="14"/>
      <c r="AB22" s="14"/>
      <c r="AC22" s="14"/>
    </row>
    <row r="23" spans="1:29" ht="1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5"/>
      <c r="Y23" s="14"/>
      <c r="Z23" s="14"/>
      <c r="AA23" s="14"/>
      <c r="AB23" s="14"/>
      <c r="AC23" s="14"/>
    </row>
    <row r="24" spans="1:29" ht="1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5"/>
      <c r="Y24" s="14"/>
      <c r="Z24" s="14"/>
      <c r="AA24" s="14"/>
      <c r="AB24" s="14"/>
      <c r="AC24" s="14"/>
    </row>
    <row r="25" spans="1:29" ht="15" customHeight="1" x14ac:dyDescent="0.25">
      <c r="A25" s="12"/>
      <c r="B25" s="4"/>
      <c r="C25" s="12"/>
      <c r="D25" s="12"/>
      <c r="E25" s="12"/>
      <c r="F25" s="12"/>
      <c r="G25" s="12"/>
      <c r="H25" s="1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5"/>
      <c r="Y25" s="14"/>
      <c r="Z25" s="14"/>
      <c r="AA25" s="14"/>
      <c r="AB25" s="14"/>
      <c r="AC25" s="14"/>
    </row>
    <row r="26" spans="1:29" ht="1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5"/>
      <c r="Y26" s="14"/>
      <c r="Z26" s="14"/>
      <c r="AA26" s="14"/>
      <c r="AB26" s="14"/>
      <c r="AC26" s="14"/>
    </row>
    <row r="27" spans="1:29" ht="1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5"/>
      <c r="Y27" s="14"/>
      <c r="Z27" s="14"/>
      <c r="AA27" s="14"/>
      <c r="AB27" s="14"/>
      <c r="AC27" s="14"/>
    </row>
    <row r="28" spans="1:29" ht="1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5"/>
      <c r="Y28" s="14"/>
      <c r="Z28" s="14"/>
      <c r="AA28" s="14"/>
      <c r="AB28" s="14"/>
      <c r="AC28" s="14"/>
    </row>
    <row r="29" spans="1:29" ht="1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5"/>
      <c r="Y29" s="14"/>
      <c r="Z29" s="14"/>
      <c r="AA29" s="14"/>
      <c r="AB29" s="14"/>
      <c r="AC29" s="14"/>
    </row>
    <row r="30" spans="1:29" ht="1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5"/>
      <c r="Y30" s="14"/>
      <c r="Z30" s="14"/>
      <c r="AA30" s="14"/>
      <c r="AB30" s="14"/>
      <c r="AC30" s="14"/>
    </row>
    <row r="31" spans="1:29" ht="1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5"/>
      <c r="Y31" s="14"/>
      <c r="Z31" s="14"/>
      <c r="AA31" s="14"/>
      <c r="AB31" s="14"/>
      <c r="AC31" s="14"/>
    </row>
    <row r="32" spans="1:29" ht="1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5"/>
      <c r="Y32" s="14"/>
      <c r="Z32" s="14"/>
      <c r="AA32" s="14"/>
      <c r="AB32" s="14"/>
      <c r="AC32" s="14"/>
    </row>
    <row r="33" spans="1:29" ht="1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5"/>
      <c r="Y33" s="14"/>
      <c r="Z33" s="14"/>
      <c r="AA33" s="14"/>
      <c r="AB33" s="14"/>
      <c r="AC33" s="14"/>
    </row>
    <row r="34" spans="1:29" ht="1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5"/>
      <c r="Y34" s="14"/>
      <c r="Z34" s="14"/>
      <c r="AA34" s="14"/>
      <c r="AB34" s="14"/>
      <c r="AC34" s="14"/>
    </row>
    <row r="35" spans="1:29" ht="1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5"/>
      <c r="Y35" s="14"/>
      <c r="Z35" s="14"/>
      <c r="AA35" s="14"/>
      <c r="AB35" s="14"/>
      <c r="AC35" s="14"/>
    </row>
    <row r="36" spans="1:29" ht="1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5"/>
      <c r="Y36" s="14"/>
      <c r="Z36" s="14"/>
      <c r="AA36" s="14"/>
      <c r="AB36" s="14"/>
      <c r="AC36" s="14"/>
    </row>
    <row r="37" spans="1:29" ht="1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5"/>
      <c r="Y37" s="14"/>
      <c r="Z37" s="14"/>
      <c r="AA37" s="14"/>
      <c r="AB37" s="14"/>
      <c r="AC37" s="14"/>
    </row>
    <row r="38" spans="1:29" ht="1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5"/>
      <c r="Y38" s="14"/>
      <c r="Z38" s="14"/>
      <c r="AA38" s="14"/>
      <c r="AB38" s="14"/>
      <c r="AC38" s="14"/>
    </row>
    <row r="39" spans="1:29" ht="1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5"/>
      <c r="Y39" s="14"/>
      <c r="Z39" s="14"/>
      <c r="AA39" s="14"/>
      <c r="AB39" s="14"/>
      <c r="AC39" s="14"/>
    </row>
    <row r="40" spans="1:29" ht="1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5"/>
      <c r="Y40" s="14"/>
      <c r="Z40" s="14"/>
      <c r="AA40" s="14"/>
      <c r="AB40" s="14"/>
      <c r="AC40" s="14"/>
    </row>
    <row r="41" spans="1:29" ht="1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5"/>
      <c r="Y41" s="14"/>
      <c r="Z41" s="14"/>
      <c r="AA41" s="14"/>
      <c r="AB41" s="14"/>
      <c r="AC41" s="14"/>
    </row>
    <row r="42" spans="1:29" ht="1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5"/>
      <c r="Y42" s="14"/>
      <c r="Z42" s="14"/>
      <c r="AA42" s="14"/>
      <c r="AB42" s="14"/>
      <c r="AC42" s="14"/>
    </row>
    <row r="43" spans="1:29" ht="1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5"/>
      <c r="Y43" s="14"/>
      <c r="Z43" s="14"/>
      <c r="AA43" s="14"/>
      <c r="AB43" s="14"/>
      <c r="AC43" s="14"/>
    </row>
    <row r="44" spans="1:29" ht="1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5"/>
      <c r="Y44" s="14"/>
      <c r="Z44" s="14"/>
      <c r="AA44" s="14"/>
      <c r="AB44" s="14"/>
      <c r="AC44" s="14"/>
    </row>
    <row r="45" spans="1:29" ht="1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5"/>
      <c r="Y45" s="14"/>
      <c r="Z45" s="14"/>
      <c r="AA45" s="14"/>
      <c r="AB45" s="14"/>
      <c r="AC45" s="14"/>
    </row>
    <row r="46" spans="1:29" ht="1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5"/>
      <c r="Y46" s="14"/>
      <c r="Z46" s="14"/>
      <c r="AA46" s="14"/>
      <c r="AB46" s="14"/>
      <c r="AC46" s="14"/>
    </row>
    <row r="47" spans="1:29" ht="1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5"/>
      <c r="Y47" s="14"/>
      <c r="Z47" s="14"/>
      <c r="AA47" s="14"/>
      <c r="AB47" s="14"/>
      <c r="AC47" s="14"/>
    </row>
    <row r="48" spans="1:29" ht="1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5"/>
      <c r="Y48" s="14"/>
      <c r="Z48" s="14"/>
      <c r="AA48" s="14"/>
      <c r="AB48" s="14"/>
      <c r="AC48" s="14"/>
    </row>
    <row r="49" spans="1:29" ht="1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5"/>
      <c r="Y49" s="14"/>
      <c r="Z49" s="14"/>
      <c r="AA49" s="14"/>
      <c r="AB49" s="14"/>
      <c r="AC49" s="14"/>
    </row>
    <row r="50" spans="1:29" ht="1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5"/>
      <c r="Y50" s="14"/>
      <c r="Z50" s="14"/>
      <c r="AA50" s="14"/>
      <c r="AB50" s="14"/>
      <c r="AC50" s="14"/>
    </row>
    <row r="51" spans="1:29" ht="1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5"/>
      <c r="Y51" s="14"/>
      <c r="Z51" s="14"/>
      <c r="AA51" s="14"/>
      <c r="AB51" s="14"/>
      <c r="AC51" s="14"/>
    </row>
    <row r="52" spans="1:29" ht="1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5"/>
      <c r="Y52" s="14"/>
      <c r="Z52" s="14"/>
      <c r="AA52" s="14"/>
      <c r="AB52" s="14"/>
      <c r="AC52" s="14"/>
    </row>
    <row r="53" spans="1:29" ht="1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5"/>
      <c r="Y53" s="14"/>
      <c r="Z53" s="14"/>
      <c r="AA53" s="14"/>
      <c r="AB53" s="14"/>
      <c r="AC53" s="14"/>
    </row>
    <row r="54" spans="1:29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5"/>
      <c r="Y54" s="14"/>
      <c r="Z54" s="14"/>
      <c r="AA54" s="14"/>
      <c r="AB54" s="14"/>
      <c r="AC54" s="14"/>
    </row>
    <row r="55" spans="1:29" ht="1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5"/>
      <c r="Y55" s="14"/>
      <c r="Z55" s="14"/>
      <c r="AA55" s="14"/>
      <c r="AB55" s="14"/>
      <c r="AC55" s="14"/>
    </row>
    <row r="56" spans="1:29" ht="1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5"/>
      <c r="Y56" s="14"/>
      <c r="Z56" s="14"/>
      <c r="AA56" s="14"/>
      <c r="AB56" s="14"/>
      <c r="AC56" s="14"/>
    </row>
    <row r="57" spans="1:29" ht="1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5"/>
      <c r="Y57" s="14"/>
      <c r="Z57" s="14"/>
      <c r="AA57" s="14"/>
      <c r="AB57" s="14"/>
      <c r="AC57" s="14"/>
    </row>
    <row r="58" spans="1:29" ht="1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5"/>
      <c r="Y58" s="14"/>
      <c r="Z58" s="14"/>
      <c r="AA58" s="14"/>
      <c r="AB58" s="14"/>
      <c r="AC58" s="14"/>
    </row>
    <row r="59" spans="1:29" ht="1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5"/>
      <c r="Y59" s="14"/>
      <c r="Z59" s="14"/>
      <c r="AA59" s="14"/>
      <c r="AB59" s="14"/>
      <c r="AC59" s="14"/>
    </row>
    <row r="60" spans="1:29" ht="1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5"/>
      <c r="Y60" s="14"/>
      <c r="Z60" s="14"/>
      <c r="AA60" s="14"/>
      <c r="AB60" s="14"/>
      <c r="AC60" s="14"/>
    </row>
    <row r="61" spans="1:29" ht="1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5"/>
      <c r="Y61" s="14"/>
      <c r="Z61" s="14"/>
      <c r="AA61" s="14"/>
      <c r="AB61" s="14"/>
      <c r="AC61" s="14"/>
    </row>
    <row r="62" spans="1:29" ht="1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9"/>
      <c r="Q62" s="9"/>
      <c r="R62" s="9"/>
      <c r="S62" s="9"/>
      <c r="T62" s="9"/>
      <c r="U62" s="9"/>
      <c r="V62" s="9"/>
      <c r="W62" s="9"/>
      <c r="X62" s="7"/>
      <c r="Y62" s="16"/>
      <c r="Z62" s="16"/>
      <c r="AA62" s="16"/>
      <c r="AB62" s="16"/>
      <c r="AC62" s="16"/>
    </row>
  </sheetData>
  <phoneticPr fontId="2" type="noConversion"/>
  <conditionalFormatting sqref="B1:B3 B27:B62">
    <cfRule type="containsText" dxfId="19" priority="17" operator="containsText" text="Accessory">
      <formula>NOT(ISERROR(SEARCH("Accessory",B1)))</formula>
    </cfRule>
    <cfRule type="containsText" dxfId="18" priority="18" operator="containsText" text="Armour">
      <formula>NOT(ISERROR(SEARCH("Armour",B1)))</formula>
    </cfRule>
    <cfRule type="containsText" dxfId="17" priority="19" operator="containsText" text="Equipment">
      <formula>NOT(ISERROR(SEARCH("Equipment",B1)))</formula>
    </cfRule>
    <cfRule type="containsText" dxfId="16" priority="20" operator="containsText" text="Impression">
      <formula>NOT(ISERROR(SEARCH("Impression",B1)))</formula>
    </cfRule>
    <cfRule type="containsText" dxfId="15" priority="21" operator="containsText" text="Spell">
      <formula>NOT(ISERROR(SEARCH("Spell",B1)))</formula>
    </cfRule>
  </conditionalFormatting>
  <conditionalFormatting sqref="B3">
    <cfRule type="containsText" dxfId="14" priority="11" operator="containsText" text="Accessory">
      <formula>NOT(ISERROR(SEARCH("Accessory",B3)))</formula>
    </cfRule>
    <cfRule type="containsText" dxfId="13" priority="12" operator="containsText" text="Armour">
      <formula>NOT(ISERROR(SEARCH("Armour",B3)))</formula>
    </cfRule>
    <cfRule type="containsText" dxfId="12" priority="13" operator="containsText" text="Equipment">
      <formula>NOT(ISERROR(SEARCH("Equipment",B3)))</formula>
    </cfRule>
    <cfRule type="containsText" dxfId="11" priority="14" operator="containsText" text="Impression">
      <formula>NOT(ISERROR(SEARCH("Impression",B3)))</formula>
    </cfRule>
    <cfRule type="containsText" dxfId="10" priority="15" operator="containsText" text="Spell">
      <formula>NOT(ISERROR(SEARCH("Spell",B3)))</formula>
    </cfRule>
  </conditionalFormatting>
  <conditionalFormatting sqref="B4:C6 B16 D16 B17:C26 B8:C15">
    <cfRule type="containsText" dxfId="9" priority="6" operator="containsText" text="Accessory">
      <formula>NOT(ISERROR(SEARCH("Accessory",B4)))</formula>
    </cfRule>
    <cfRule type="containsText" dxfId="8" priority="7" operator="containsText" text="Armour">
      <formula>NOT(ISERROR(SEARCH("Armour",B4)))</formula>
    </cfRule>
    <cfRule type="containsText" dxfId="7" priority="8" operator="containsText" text="Equipment">
      <formula>NOT(ISERROR(SEARCH("Equipment",B4)))</formula>
    </cfRule>
    <cfRule type="containsText" dxfId="6" priority="9" operator="containsText" text="Impression">
      <formula>NOT(ISERROR(SEARCH("Impression",B4)))</formula>
    </cfRule>
    <cfRule type="containsText" dxfId="5" priority="10" operator="containsText" text="Spell">
      <formula>NOT(ISERROR(SEARCH("Spell",B4)))</formula>
    </cfRule>
  </conditionalFormatting>
  <conditionalFormatting sqref="B7">
    <cfRule type="containsText" dxfId="4" priority="1" operator="containsText" text="Accessory">
      <formula>NOT(ISERROR(SEARCH("Accessory",B7)))</formula>
    </cfRule>
    <cfRule type="containsText" dxfId="3" priority="2" operator="containsText" text="Armour">
      <formula>NOT(ISERROR(SEARCH("Armour",B7)))</formula>
    </cfRule>
    <cfRule type="containsText" dxfId="2" priority="3" operator="containsText" text="Equipment">
      <formula>NOT(ISERROR(SEARCH("Equipment",B7)))</formula>
    </cfRule>
    <cfRule type="containsText" dxfId="1" priority="4" operator="containsText" text="Impression">
      <formula>NOT(ISERROR(SEARCH("Impression",B7)))</formula>
    </cfRule>
    <cfRule type="containsText" dxfId="0" priority="5" operator="containsText" text="Spell">
      <formula>NOT(ISERROR(SEARCH("Spell",B7)))</formula>
    </cfRule>
  </conditionalFormatting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2025-11-23T03:43:14Z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