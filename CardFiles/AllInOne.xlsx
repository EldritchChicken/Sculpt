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CardFiles\"/>
    </mc:Choice>
  </mc:AlternateContent>
  <xr:revisionPtr revIDLastSave="0" documentId="13_ncr:1_{81F94B79-921A-4F60-A7CD-69898619D36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definedNames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2" i="1" l="1"/>
  <c r="X3" i="1"/>
  <c r="V3" i="1" s="1"/>
  <c r="W3" i="1" s="1"/>
  <c r="X4" i="1"/>
  <c r="V4" i="1" s="1"/>
  <c r="W4" i="1" s="1"/>
  <c r="X5" i="1"/>
  <c r="V5" i="1" s="1"/>
  <c r="W5" i="1" s="1"/>
  <c r="X6" i="1"/>
  <c r="X7" i="1"/>
  <c r="V7" i="1" s="1"/>
  <c r="W7" i="1" s="1"/>
  <c r="X8" i="1"/>
  <c r="V8" i="1" s="1"/>
  <c r="W8" i="1" s="1"/>
  <c r="X9" i="1"/>
  <c r="V9" i="1" s="1"/>
  <c r="W9" i="1" s="1"/>
  <c r="X10" i="1"/>
  <c r="V10" i="1" s="1"/>
  <c r="W10" i="1" s="1"/>
  <c r="X11" i="1"/>
  <c r="V11" i="1" s="1"/>
  <c r="W11" i="1" s="1"/>
  <c r="X12" i="1"/>
  <c r="V12" i="1" s="1"/>
  <c r="W12" i="1" s="1"/>
  <c r="X13" i="1"/>
  <c r="V13" i="1" s="1"/>
  <c r="W13" i="1" s="1"/>
  <c r="X14" i="1"/>
  <c r="V14" i="1" s="1"/>
  <c r="W14" i="1" s="1"/>
  <c r="X15" i="1"/>
  <c r="V15" i="1" s="1"/>
  <c r="W15" i="1" s="1"/>
  <c r="X16" i="1"/>
  <c r="V16" i="1" s="1"/>
  <c r="W16" i="1" s="1"/>
  <c r="X17" i="1"/>
  <c r="V17" i="1" s="1"/>
  <c r="W17" i="1" s="1"/>
  <c r="X18" i="1"/>
  <c r="V18" i="1" s="1"/>
  <c r="W18" i="1" s="1"/>
  <c r="X19" i="1"/>
  <c r="V19" i="1" s="1"/>
  <c r="W19" i="1" s="1"/>
  <c r="X20" i="1"/>
  <c r="V20" i="1" s="1"/>
  <c r="W20" i="1" s="1"/>
  <c r="X21" i="1"/>
  <c r="V21" i="1" s="1"/>
  <c r="W21" i="1" s="1"/>
  <c r="X22" i="1"/>
  <c r="V22" i="1" s="1"/>
  <c r="W22" i="1" s="1"/>
  <c r="X23" i="1"/>
  <c r="V23" i="1" s="1"/>
  <c r="W23" i="1" s="1"/>
  <c r="X24" i="1"/>
  <c r="V24" i="1" s="1"/>
  <c r="W24" i="1" s="1"/>
  <c r="X25" i="1"/>
  <c r="V25" i="1" s="1"/>
  <c r="W25" i="1" s="1"/>
  <c r="X26" i="1"/>
  <c r="V26" i="1" s="1"/>
  <c r="W26" i="1" s="1"/>
  <c r="X27" i="1"/>
  <c r="V27" i="1" s="1"/>
  <c r="W27" i="1" s="1"/>
  <c r="X28" i="1"/>
  <c r="V28" i="1" s="1"/>
  <c r="W28" i="1" s="1"/>
  <c r="X29" i="1"/>
  <c r="V29" i="1" s="1"/>
  <c r="W29" i="1" s="1"/>
  <c r="X30" i="1"/>
  <c r="V30" i="1" s="1"/>
  <c r="W30" i="1" s="1"/>
  <c r="X31" i="1"/>
  <c r="V31" i="1" s="1"/>
  <c r="W31" i="1" s="1"/>
  <c r="X32" i="1"/>
  <c r="V32" i="1" s="1"/>
  <c r="W32" i="1" s="1"/>
  <c r="X33" i="1"/>
  <c r="V33" i="1" s="1"/>
  <c r="W33" i="1" s="1"/>
  <c r="X34" i="1"/>
  <c r="V34" i="1" s="1"/>
  <c r="W34" i="1" s="1"/>
  <c r="X35" i="1"/>
  <c r="V35" i="1" s="1"/>
  <c r="W35" i="1" s="1"/>
  <c r="X36" i="1"/>
  <c r="V36" i="1" s="1"/>
  <c r="W36" i="1" s="1"/>
  <c r="X37" i="1"/>
  <c r="V37" i="1" s="1"/>
  <c r="W37" i="1" s="1"/>
  <c r="X38" i="1"/>
  <c r="V38" i="1" s="1"/>
  <c r="W38" i="1" s="1"/>
  <c r="X39" i="1"/>
  <c r="V39" i="1" s="1"/>
  <c r="W39" i="1" s="1"/>
  <c r="X40" i="1"/>
  <c r="V40" i="1" s="1"/>
  <c r="W40" i="1" s="1"/>
  <c r="X41" i="1"/>
  <c r="V41" i="1" s="1"/>
  <c r="W41" i="1" s="1"/>
  <c r="X42" i="1"/>
  <c r="V42" i="1" s="1"/>
  <c r="W42" i="1" s="1"/>
  <c r="X43" i="1"/>
  <c r="V43" i="1" s="1"/>
  <c r="W43" i="1" s="1"/>
  <c r="X44" i="1"/>
  <c r="X45" i="1"/>
  <c r="X46" i="1"/>
  <c r="V46" i="1" s="1"/>
  <c r="W46" i="1" s="1"/>
  <c r="X47" i="1"/>
  <c r="X48" i="1"/>
  <c r="X49" i="1"/>
  <c r="X50" i="1"/>
  <c r="X51" i="1"/>
  <c r="X52" i="1"/>
  <c r="X53" i="1"/>
  <c r="X54" i="1"/>
  <c r="X55" i="1"/>
  <c r="X56" i="1"/>
  <c r="V56" i="1" s="1"/>
  <c r="W56" i="1" s="1"/>
  <c r="X57" i="1"/>
  <c r="V57" i="1" s="1"/>
  <c r="W57" i="1" s="1"/>
  <c r="U2" i="1"/>
  <c r="U3" i="1"/>
  <c r="U4" i="1"/>
  <c r="U5" i="1"/>
  <c r="U6" i="1"/>
  <c r="U7" i="1"/>
  <c r="S7" i="1" s="1"/>
  <c r="T7" i="1" s="1"/>
  <c r="U8" i="1"/>
  <c r="S8" i="1" s="1"/>
  <c r="T8" i="1" s="1"/>
  <c r="U9" i="1"/>
  <c r="S9" i="1" s="1"/>
  <c r="T9" i="1" s="1"/>
  <c r="U10" i="1"/>
  <c r="S10" i="1" s="1"/>
  <c r="T10" i="1" s="1"/>
  <c r="U11" i="1"/>
  <c r="S11" i="1" s="1"/>
  <c r="T11" i="1" s="1"/>
  <c r="U12" i="1"/>
  <c r="S12" i="1" s="1"/>
  <c r="T12" i="1" s="1"/>
  <c r="U13" i="1"/>
  <c r="S13" i="1" s="1"/>
  <c r="T13" i="1" s="1"/>
  <c r="U14" i="1"/>
  <c r="S14" i="1" s="1"/>
  <c r="T14" i="1" s="1"/>
  <c r="U15" i="1"/>
  <c r="S15" i="1" s="1"/>
  <c r="T15" i="1" s="1"/>
  <c r="U16" i="1"/>
  <c r="S16" i="1" s="1"/>
  <c r="T16" i="1" s="1"/>
  <c r="U17" i="1"/>
  <c r="S17" i="1" s="1"/>
  <c r="T17" i="1" s="1"/>
  <c r="U18" i="1"/>
  <c r="S18" i="1" s="1"/>
  <c r="T18" i="1" s="1"/>
  <c r="U19" i="1"/>
  <c r="S19" i="1" s="1"/>
  <c r="T19" i="1" s="1"/>
  <c r="U20" i="1"/>
  <c r="S20" i="1" s="1"/>
  <c r="T20" i="1" s="1"/>
  <c r="U21" i="1"/>
  <c r="S21" i="1" s="1"/>
  <c r="T21" i="1" s="1"/>
  <c r="U22" i="1"/>
  <c r="S22" i="1" s="1"/>
  <c r="T22" i="1" s="1"/>
  <c r="U23" i="1"/>
  <c r="S23" i="1" s="1"/>
  <c r="T23" i="1" s="1"/>
  <c r="U24" i="1"/>
  <c r="S24" i="1" s="1"/>
  <c r="T24" i="1" s="1"/>
  <c r="U25" i="1"/>
  <c r="S25" i="1" s="1"/>
  <c r="T25" i="1" s="1"/>
  <c r="U26" i="1"/>
  <c r="S26" i="1" s="1"/>
  <c r="T26" i="1" s="1"/>
  <c r="U27" i="1"/>
  <c r="S27" i="1" s="1"/>
  <c r="T27" i="1" s="1"/>
  <c r="U28" i="1"/>
  <c r="S28" i="1" s="1"/>
  <c r="T28" i="1" s="1"/>
  <c r="U29" i="1"/>
  <c r="S29" i="1" s="1"/>
  <c r="T29" i="1" s="1"/>
  <c r="U30" i="1"/>
  <c r="S30" i="1" s="1"/>
  <c r="T30" i="1" s="1"/>
  <c r="U31" i="1"/>
  <c r="S31" i="1" s="1"/>
  <c r="T31" i="1" s="1"/>
  <c r="U32" i="1"/>
  <c r="S32" i="1" s="1"/>
  <c r="T32" i="1" s="1"/>
  <c r="U33" i="1"/>
  <c r="S33" i="1" s="1"/>
  <c r="T33" i="1" s="1"/>
  <c r="U34" i="1"/>
  <c r="S34" i="1" s="1"/>
  <c r="T34" i="1" s="1"/>
  <c r="U35" i="1"/>
  <c r="S35" i="1" s="1"/>
  <c r="T35" i="1" s="1"/>
  <c r="U36" i="1"/>
  <c r="S36" i="1" s="1"/>
  <c r="T36" i="1" s="1"/>
  <c r="U37" i="1"/>
  <c r="S37" i="1" s="1"/>
  <c r="T37" i="1" s="1"/>
  <c r="U38" i="1"/>
  <c r="S38" i="1" s="1"/>
  <c r="T38" i="1" s="1"/>
  <c r="U39" i="1"/>
  <c r="S39" i="1" s="1"/>
  <c r="T39" i="1" s="1"/>
  <c r="U40" i="1"/>
  <c r="S40" i="1" s="1"/>
  <c r="T40" i="1" s="1"/>
  <c r="U41" i="1"/>
  <c r="S41" i="1" s="1"/>
  <c r="T41" i="1" s="1"/>
  <c r="U42" i="1"/>
  <c r="S42" i="1" s="1"/>
  <c r="T42" i="1" s="1"/>
  <c r="U43" i="1"/>
  <c r="S43" i="1" s="1"/>
  <c r="T43" i="1" s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R3" i="1"/>
  <c r="P3" i="1" s="1"/>
  <c r="Q3" i="1" s="1"/>
  <c r="S3" i="1"/>
  <c r="T3" i="1" s="1"/>
  <c r="R4" i="1"/>
  <c r="P4" i="1" s="1"/>
  <c r="Q4" i="1" s="1"/>
  <c r="S4" i="1"/>
  <c r="T4" i="1" s="1"/>
  <c r="R5" i="1"/>
  <c r="P5" i="1" s="1"/>
  <c r="Q5" i="1" s="1"/>
  <c r="S5" i="1"/>
  <c r="T5" i="1" s="1"/>
  <c r="R6" i="1"/>
  <c r="P6" i="1" s="1"/>
  <c r="Q6" i="1" s="1"/>
  <c r="S6" i="1"/>
  <c r="T6" i="1" s="1"/>
  <c r="V6" i="1"/>
  <c r="W6" i="1" s="1"/>
  <c r="R7" i="1"/>
  <c r="P7" i="1" s="1"/>
  <c r="Q7" i="1" s="1"/>
  <c r="R8" i="1"/>
  <c r="P8" i="1" s="1"/>
  <c r="Q8" i="1" s="1"/>
  <c r="R9" i="1"/>
  <c r="P9" i="1" s="1"/>
  <c r="Q9" i="1" s="1"/>
  <c r="R10" i="1"/>
  <c r="P10" i="1" s="1"/>
  <c r="Q10" i="1" s="1"/>
  <c r="R11" i="1"/>
  <c r="P11" i="1" s="1"/>
  <c r="Q11" i="1" s="1"/>
  <c r="R12" i="1"/>
  <c r="P12" i="1" s="1"/>
  <c r="Q12" i="1" s="1"/>
  <c r="R13" i="1"/>
  <c r="P13" i="1" s="1"/>
  <c r="Q13" i="1" s="1"/>
  <c r="R14" i="1"/>
  <c r="P14" i="1" s="1"/>
  <c r="Q14" i="1" s="1"/>
  <c r="R15" i="1"/>
  <c r="P15" i="1" s="1"/>
  <c r="Q15" i="1" s="1"/>
  <c r="R16" i="1"/>
  <c r="P16" i="1" s="1"/>
  <c r="Q16" i="1" s="1"/>
  <c r="R17" i="1"/>
  <c r="P17" i="1" s="1"/>
  <c r="Q17" i="1" s="1"/>
  <c r="R18" i="1"/>
  <c r="P18" i="1" s="1"/>
  <c r="Q18" i="1" s="1"/>
  <c r="R19" i="1"/>
  <c r="P19" i="1" s="1"/>
  <c r="Q19" i="1" s="1"/>
  <c r="R20" i="1"/>
  <c r="P20" i="1" s="1"/>
  <c r="Q20" i="1" s="1"/>
  <c r="R21" i="1"/>
  <c r="P21" i="1" s="1"/>
  <c r="Q21" i="1" s="1"/>
  <c r="R22" i="1"/>
  <c r="P22" i="1" s="1"/>
  <c r="Q22" i="1" s="1"/>
  <c r="R23" i="1"/>
  <c r="P23" i="1" s="1"/>
  <c r="Q23" i="1" s="1"/>
  <c r="R24" i="1"/>
  <c r="P24" i="1" s="1"/>
  <c r="Q24" i="1" s="1"/>
  <c r="R25" i="1"/>
  <c r="P25" i="1" s="1"/>
  <c r="Q25" i="1" s="1"/>
  <c r="R26" i="1"/>
  <c r="P26" i="1" s="1"/>
  <c r="Q26" i="1" s="1"/>
  <c r="R27" i="1"/>
  <c r="P27" i="1" s="1"/>
  <c r="Q27" i="1" s="1"/>
  <c r="R28" i="1"/>
  <c r="P28" i="1" s="1"/>
  <c r="Q28" i="1" s="1"/>
  <c r="R29" i="1"/>
  <c r="P29" i="1" s="1"/>
  <c r="Q29" i="1" s="1"/>
  <c r="R30" i="1"/>
  <c r="P30" i="1" s="1"/>
  <c r="Q30" i="1" s="1"/>
  <c r="R31" i="1"/>
  <c r="P31" i="1" s="1"/>
  <c r="Q31" i="1" s="1"/>
  <c r="R32" i="1"/>
  <c r="P32" i="1" s="1"/>
  <c r="Q32" i="1" s="1"/>
  <c r="R33" i="1"/>
  <c r="P33" i="1" s="1"/>
  <c r="Q33" i="1" s="1"/>
  <c r="R34" i="1"/>
  <c r="P34" i="1" s="1"/>
  <c r="Q34" i="1" s="1"/>
  <c r="R35" i="1"/>
  <c r="P35" i="1" s="1"/>
  <c r="Q35" i="1" s="1"/>
  <c r="R36" i="1"/>
  <c r="P36" i="1" s="1"/>
  <c r="Q36" i="1" s="1"/>
  <c r="R37" i="1"/>
  <c r="P37" i="1" s="1"/>
  <c r="Q37" i="1" s="1"/>
  <c r="R38" i="1"/>
  <c r="P38" i="1" s="1"/>
  <c r="Q38" i="1" s="1"/>
  <c r="R39" i="1"/>
  <c r="P39" i="1" s="1"/>
  <c r="Q39" i="1" s="1"/>
  <c r="R40" i="1"/>
  <c r="P40" i="1" s="1"/>
  <c r="Q40" i="1" s="1"/>
  <c r="R41" i="1"/>
  <c r="P41" i="1" s="1"/>
  <c r="Q41" i="1" s="1"/>
  <c r="R42" i="1"/>
  <c r="P42" i="1" s="1"/>
  <c r="Q42" i="1" s="1"/>
  <c r="R43" i="1"/>
  <c r="P43" i="1" s="1"/>
  <c r="Q43" i="1" s="1"/>
  <c r="R44" i="1"/>
  <c r="P44" i="1" s="1"/>
  <c r="Q44" i="1" s="1"/>
  <c r="S44" i="1"/>
  <c r="T44" i="1" s="1"/>
  <c r="V44" i="1"/>
  <c r="W44" i="1" s="1"/>
  <c r="R45" i="1"/>
  <c r="P45" i="1" s="1"/>
  <c r="Q45" i="1" s="1"/>
  <c r="S45" i="1"/>
  <c r="T45" i="1" s="1"/>
  <c r="V45" i="1"/>
  <c r="W45" i="1" s="1"/>
  <c r="R46" i="1"/>
  <c r="P46" i="1" s="1"/>
  <c r="Q46" i="1" s="1"/>
  <c r="S46" i="1"/>
  <c r="T46" i="1" s="1"/>
  <c r="R47" i="1"/>
  <c r="P47" i="1" s="1"/>
  <c r="Q47" i="1" s="1"/>
  <c r="S47" i="1"/>
  <c r="T47" i="1" s="1"/>
  <c r="V47" i="1"/>
  <c r="W47" i="1" s="1"/>
  <c r="R48" i="1"/>
  <c r="P48" i="1" s="1"/>
  <c r="Q48" i="1" s="1"/>
  <c r="S48" i="1"/>
  <c r="T48" i="1" s="1"/>
  <c r="V48" i="1"/>
  <c r="W48" i="1" s="1"/>
  <c r="R49" i="1"/>
  <c r="P49" i="1" s="1"/>
  <c r="Q49" i="1" s="1"/>
  <c r="S49" i="1"/>
  <c r="T49" i="1" s="1"/>
  <c r="V49" i="1"/>
  <c r="W49" i="1" s="1"/>
  <c r="R50" i="1"/>
  <c r="P50" i="1" s="1"/>
  <c r="Q50" i="1" s="1"/>
  <c r="S50" i="1"/>
  <c r="T50" i="1" s="1"/>
  <c r="V50" i="1"/>
  <c r="W50" i="1" s="1"/>
  <c r="R51" i="1"/>
  <c r="P51" i="1" s="1"/>
  <c r="Q51" i="1" s="1"/>
  <c r="S51" i="1"/>
  <c r="T51" i="1" s="1"/>
  <c r="V51" i="1"/>
  <c r="W51" i="1" s="1"/>
  <c r="R52" i="1"/>
  <c r="P52" i="1" s="1"/>
  <c r="Q52" i="1" s="1"/>
  <c r="S52" i="1"/>
  <c r="T52" i="1" s="1"/>
  <c r="V52" i="1"/>
  <c r="W52" i="1" s="1"/>
  <c r="R53" i="1"/>
  <c r="P53" i="1" s="1"/>
  <c r="Q53" i="1" s="1"/>
  <c r="S53" i="1"/>
  <c r="T53" i="1" s="1"/>
  <c r="V53" i="1"/>
  <c r="W53" i="1" s="1"/>
  <c r="R54" i="1"/>
  <c r="P54" i="1" s="1"/>
  <c r="Q54" i="1" s="1"/>
  <c r="S54" i="1"/>
  <c r="T54" i="1" s="1"/>
  <c r="V54" i="1"/>
  <c r="W54" i="1" s="1"/>
  <c r="R55" i="1"/>
  <c r="P55" i="1" s="1"/>
  <c r="Q55" i="1" s="1"/>
  <c r="S55" i="1"/>
  <c r="T55" i="1" s="1"/>
  <c r="V55" i="1"/>
  <c r="W55" i="1" s="1"/>
  <c r="R56" i="1"/>
  <c r="P56" i="1" s="1"/>
  <c r="Q56" i="1" s="1"/>
  <c r="S56" i="1"/>
  <c r="T56" i="1" s="1"/>
  <c r="R57" i="1"/>
  <c r="P57" i="1" s="1"/>
  <c r="Q57" i="1" s="1"/>
  <c r="S57" i="1"/>
  <c r="T57" i="1" s="1"/>
  <c r="R2" i="1"/>
  <c r="P2" i="1" s="1"/>
  <c r="Q2" i="1" s="1"/>
  <c r="S2" i="1"/>
  <c r="T2" i="1" s="1"/>
  <c r="V2" i="1"/>
  <c r="W2" i="1" s="1"/>
</calcChain>
</file>

<file path=xl/sharedStrings.xml><?xml version="1.0" encoding="utf-8"?>
<sst xmlns="http://schemas.openxmlformats.org/spreadsheetml/2006/main" count="381" uniqueCount="236">
  <si>
    <t>Name</t>
  </si>
  <si>
    <t>Type</t>
  </si>
  <si>
    <t>Effect 1</t>
  </si>
  <si>
    <t>Effect 2</t>
  </si>
  <si>
    <t>Effect 3</t>
  </si>
  <si>
    <t>Baleful Eye</t>
  </si>
  <si>
    <t>Limb</t>
  </si>
  <si>
    <t>Effect 1 Title</t>
  </si>
  <si>
    <t>Effect 1 Type</t>
  </si>
  <si>
    <t>Mark a target as your hated target. You can only have one target at a time.</t>
  </si>
  <si>
    <t>&lt;b&gt;Rancor: &lt;/b&gt;2 AP + weirdTJazzT</t>
  </si>
  <si>
    <t>Active</t>
  </si>
  <si>
    <t>Effect 2 Type</t>
  </si>
  <si>
    <t>Effect 2 Title</t>
  </si>
  <si>
    <t>Effect 3 Type</t>
  </si>
  <si>
    <t>Effect 3 Title</t>
  </si>
  <si>
    <t>&lt;b&gt; Scorn:&lt;/b&gt; 2 AP</t>
  </si>
  <si>
    <t>Charges</t>
  </si>
  <si>
    <t>Effect 2 Y</t>
  </si>
  <si>
    <t>Effect 3 Y</t>
  </si>
  <si>
    <t>Effect 1 Y</t>
  </si>
  <si>
    <t>Ypos</t>
  </si>
  <si>
    <t>E1BY</t>
  </si>
  <si>
    <t>E1TY</t>
  </si>
  <si>
    <t>E1Y</t>
  </si>
  <si>
    <t>E2TY</t>
  </si>
  <si>
    <t>E2BY</t>
  </si>
  <si>
    <t>E2Y</t>
  </si>
  <si>
    <t>E3TY</t>
  </si>
  <si>
    <t>E3BY</t>
  </si>
  <si>
    <t>E3Y</t>
  </si>
  <si>
    <t>Ability Offset</t>
  </si>
  <si>
    <t>Border Offset</t>
  </si>
  <si>
    <t>Title Offset</t>
  </si>
  <si>
    <t>Attack</t>
  </si>
  <si>
    <t>Slime Shooter</t>
  </si>
  <si>
    <t>Passive</t>
  </si>
  <si>
    <t>When you take a move action, you may spend weirdt to leave a trail of goo in all hexes moved out of. Moving through this goo costs 2 hexes of movement per hex.</t>
  </si>
  <si>
    <t>&lt;b&gt;Slime Glob: 2 AP</t>
  </si>
  <si>
    <t>&lt;b&gt;Damage = 2, reach.&lt;/b&gt;&lt;br&gt;Inflicts the &lt;b&gt;Entangled&lt;/b&gt; status effect on a hit.</t>
  </si>
  <si>
    <t>Bladed Fingers</t>
  </si>
  <si>
    <t>Cicada Wings</t>
  </si>
  <si>
    <t>&lt;b&gt; 1000 Cuts: &lt;/b&gt;2 AP</t>
  </si>
  <si>
    <t>&lt;b&gt;Fly: &lt;/b&gt;2 AP or  weirdT</t>
  </si>
  <si>
    <t>Make a move action with + 1 speed, ignore terrain during this move (within reason).</t>
  </si>
  <si>
    <t>&lt;b&gt;Chirp Tune: &lt;/b&gt;3 AP</t>
  </si>
  <si>
    <t>You and any number of target allies each gain up to 3 temporary composure.</t>
  </si>
  <si>
    <t>Unstable</t>
  </si>
  <si>
    <t>Form</t>
  </si>
  <si>
    <t>Linewidth</t>
  </si>
  <si>
    <t>At the end of each of your turns, take 2 damage and refresh 1 weirdT.</t>
  </si>
  <si>
    <t>Whenever you spend weirdt, adjacent beings take 2 damage.</t>
  </si>
  <si>
    <t xml:space="preserve">&lt;i&gt;&lt;b&gt;Secretions&lt;/b&gt;&lt;/i&gt;   </t>
  </si>
  <si>
    <t>Treacherous</t>
  </si>
  <si>
    <t>Impression</t>
  </si>
  <si>
    <t>&lt;b&gt;&lt;i&gt;Snigger:&lt;/b&gt;&lt;/i&gt; 1 AP or WeirdT</t>
  </si>
  <si>
    <t>Whenever you see a being take damage from a source other than you, increase that damage by 2. This does not stack.</t>
  </si>
  <si>
    <t>Reaction</t>
  </si>
  <si>
    <t>Chalk Vein</t>
  </si>
  <si>
    <t>Clay Exuder</t>
  </si>
  <si>
    <t>Clayling</t>
  </si>
  <si>
    <t>Cloven Hoof</t>
  </si>
  <si>
    <t>Crackling Geode</t>
  </si>
  <si>
    <t>Crystal of the Deep</t>
  </si>
  <si>
    <t>Dolem Piston</t>
  </si>
  <si>
    <t>Doomtouch</t>
  </si>
  <si>
    <t>Enflamed Lash</t>
  </si>
  <si>
    <t>Explosive Lesion</t>
  </si>
  <si>
    <t>Explosive Polyps</t>
  </si>
  <si>
    <t>Granite Fists</t>
  </si>
  <si>
    <t>Grasp of Mud</t>
  </si>
  <si>
    <t>Hammer and Chisel</t>
  </si>
  <si>
    <t>Horns</t>
  </si>
  <si>
    <t>Humming Moonstone</t>
  </si>
  <si>
    <t>Hungering Hand</t>
  </si>
  <si>
    <t>Lanceflower Bloom</t>
  </si>
  <si>
    <t>Lithium Geode</t>
  </si>
  <si>
    <t>Locked Screen Mouth</t>
  </si>
  <si>
    <t>Mandibles</t>
  </si>
  <si>
    <t>Mantid Scythe</t>
  </si>
  <si>
    <t>Monolith of Pain</t>
  </si>
  <si>
    <t>Needle Mouthed</t>
  </si>
  <si>
    <t>Noxious Trunk</t>
  </si>
  <si>
    <t>Oversized Claw</t>
  </si>
  <si>
    <t>Painted Slab</t>
  </si>
  <si>
    <t>&lt;b&gt;Wall of Splendor: &lt;/b&gt;1 AP&lt;br&gt;Place the slab down on an adjacent hex. It extends straight on each side to become a three hex wall, if there is space. This wall blocks vision and is indestructible.</t>
  </si>
  <si>
    <t>&lt;b&gt;Reclaim: &lt;/b&gt;3 AP or fleshtfleshtfleshT&lt;br&gt;Pick up a deployed painted slab, any adjacent being can do this.</t>
  </si>
  <si>
    <t>Pincer Grips</t>
  </si>
  <si>
    <t>&lt;i&gt;Melee Attack -&lt;/i&gt;&lt;b&gt; Nip:&lt;/b&gt; 2 AP&lt;br&gt;Damage = &lt;span style="color:#e74c3c"&gt;&lt;strong&gt;Flesh&lt;/strong&gt;&lt;/span&gt; , close range.&lt;br&gt;Critical Option:&lt;br&gt;&lt;b&gt;Restrain: &lt;/b&gt;Inflict the &lt;b&gt;Entangled&lt;/b&gt; status effect.</t>
  </si>
  <si>
    <t>Projectile Spines</t>
  </si>
  <si>
    <t>&lt;i&gt;Ranged Attack -&lt;/i&gt;&lt;b&gt; Volley:&lt;/b&gt; 2 AP&lt;br&gt;Damage = 4. &lt;br&gt;You take 1 damage when you use this attack, this damage cannot be reduced.</t>
  </si>
  <si>
    <t>Pulsing Heartstone</t>
  </si>
  <si>
    <t>&lt;b&gt;Embed:&lt;/b&gt; weirdt&lt;br&gt;Place a 1 hex sized heartstone on an adjacent hex. It will break if it takes damage.</t>
  </si>
  <si>
    <t>&lt;i&gt;Passive - &lt;b&gt; Living Rythm:&lt;/i&gt;&lt;/b&gt;&lt;br&gt;While there is at least 1 heartstone on the map, you gain up to 3 temporary composure at the end of your turn.</t>
  </si>
  <si>
    <t>Quartz Seed</t>
  </si>
  <si>
    <t>&lt;b&gt;Sprout Spire:&lt;/b&gt; 2 AP + (weirdt or charget)&lt;br&gt;Place a &lt;b&gt;crystal spire&lt;/b&gt; on an adjacent hex, it has a two hex radius aura, blocks line of sight, and is &lt;b&gt;destructible&lt;/b&gt;.&lt;br&gt;Whiskey_Xplo</t>
  </si>
  <si>
    <t>Other beings that start their turn inside a &lt;b&gt;crystal spire&lt;/b&gt; aura or enter it their turn take 3 damage.</t>
  </si>
  <si>
    <t>Rock Pouch</t>
  </si>
  <si>
    <t>&lt;i&gt;Ranged Attack - &lt;/i&gt;&lt;b&gt;Throw: &lt;/b&gt;1 AP + charget&lt;br&gt;Damage = &lt;span style="color:#e74c3c"&gt;&lt;strong&gt;Flesh&lt;/strong&gt;&lt;/span&gt;.</t>
  </si>
  <si>
    <t>&lt;b&gt;Rummage:&lt;/b&gt; 3 AP + fleshT&lt;br&gt;Recharge this item.</t>
  </si>
  <si>
    <t>Shovelling talons</t>
  </si>
  <si>
    <t>&lt;i&gt;Melee Attack -&lt;/i&gt; &lt;b&gt;Thump: &lt;/b&gt;2 AP&lt;br&gt;Damage =4, close range.&lt;br&gt;Crit Option:&lt;br&gt;&lt;b&gt;Concuss:&lt;/b&gt; Inflict the &lt;b&gt;Stunned&lt;/b&gt; status effect.</t>
  </si>
  <si>
    <t>&lt;b&gt;Dig:&lt;/b&gt; 1 AP or fleshT&lt;br&gt;Clear an adjacent hex of any terrain. This can cause beings to fall if they were on top of it.</t>
  </si>
  <si>
    <t>Sineuous Lash</t>
  </si>
  <si>
    <t>&lt;i&gt;Ranged Attack&lt;/i&gt; -&lt;b&gt; Yoink:&lt;/b&gt; 1 AP&lt;br&gt;Damage = 0.&lt;br&gt;Pull the target to an adjacent hex on a hit&lt;br&gt;Crit Option:&lt;br&gt;&lt;b&gt;Entangle:&lt;/b&gt; Inflict the &lt;b&gt;Entangled&lt;/b&gt; status effect.</t>
  </si>
  <si>
    <t>Sneak Spurs</t>
  </si>
  <si>
    <t>&lt;i&gt;Melee Attack -&lt;/i&gt;&lt;b&gt; Ping!: &lt;/b&gt;1 AP&lt;br&gt;Damage = 1, reach.&lt;br&gt;Crit Options:&lt;br&gt;&lt;b&gt;Dash:&lt;/b&gt; Take a move action for free.&lt;br&gt;&lt;b&gt;Brutal Strike:&lt;/b&gt; +2 damage.</t>
  </si>
  <si>
    <t>Stalagmite</t>
  </si>
  <si>
    <t>&lt;i&gt;Melee Attack - &lt;/i&gt;&lt;b&gt;Prod:&lt;/b&gt; 2 AP&lt;br&gt;Damage = 4, reach.&lt;br&gt;This can only target non-adjacent beings.&lt;br&gt;Crit Option:&lt;br&gt;&lt;b&gt;Strike:&lt;/b&gt; +1 damage.</t>
  </si>
  <si>
    <t>Steam Vent</t>
  </si>
  <si>
    <t>&lt;i&gt;Melee Attack - &lt;/i&gt;&lt;b&gt;Geyser:&lt;/b&gt; 2 AP&lt;br&gt;Damage = 2, reach.&lt;br&gt;On a hit, remove all &lt;b&gt;temporary composure&lt;/b&gt; from the target before dealing damage.&lt;br&gt;Crit Option:&lt;br&gt;&lt;b&gt;Armour Piercing:&lt;/b&gt; Damage from this attack cannot be reduced.</t>
  </si>
  <si>
    <t>Stone-Swivel Hinge</t>
  </si>
  <si>
    <t>&lt;i&gt;Melee Attack - &lt;/i&gt;&lt;b&gt;Smash:&lt;/b&gt; 3 AP + 2 composure&lt;br&gt;Damage = 7, reach.&lt;br&gt;</t>
  </si>
  <si>
    <t>Thermal Funnel</t>
  </si>
  <si>
    <t>&lt;i&gt;Ranged Attack - &lt;/i&gt;&lt;b&gt;Flameball:&lt;/b&gt; 3 AP&lt;br&gt;Damage = 5&lt;br&gt;On a hit, inflict the &lt;b&gt;burning&lt;/b&gt; status effect.&lt;br&gt;On a miss, inflict the &lt;b&gt;burning&lt;/b&gt; status effect on you.</t>
  </si>
  <si>
    <t>Torsion Ribs</t>
  </si>
  <si>
    <t>&lt;b&gt;Winch: 1 AP&lt;/b&gt;&lt;br&gt;Add a chargeT to this card. Activate only once each turn.</t>
  </si>
  <si>
    <t>&lt;i&gt;Ranged Attack - &lt;/i&gt;&lt;b&gt;Release:&lt;/b&gt; 5 x chargeT&lt;br&gt;Automatically activates upon reaching 5 charget.&lt;br&gt;Deal 8 damage to all beings in a straight line from you. No attack roll required.</t>
  </si>
  <si>
    <t>Twitching Talons</t>
  </si>
  <si>
    <t>&lt;i&gt;Melee Attack - &lt;/i&gt;&lt;b&gt;Scour:&lt;/b&gt; 2 AP&lt;br&gt;Damage = 4 , close range.</t>
  </si>
  <si>
    <t>&lt;i&gt;Passive - &lt;b&gt; Snatch:&lt;/i&gt;&lt;/b&gt;&lt;br&gt;Whenever a being leaves your attack range, you may spend jazzT to make an attack with any limb against them. If the attack would cost 3 or more AP, become &lt;b&gt;exhausted&lt;/b&gt;.</t>
  </si>
  <si>
    <t>Venemous Tail</t>
  </si>
  <si>
    <t>&lt;i&gt;Melee Attack - &lt;/i&gt;&lt;b&gt;Lance: &lt;/b&gt;2 AP&lt;br&gt;Damage = 3 , reach.&lt;br&gt;Crit Option:&lt;br&gt;&lt;b&gt;Venom: &lt;/b&gt;Inflict the &lt;b&gt;Stunned&lt;/b&gt; status effect.</t>
  </si>
  <si>
    <t>&lt;i&gt;Reaction - &lt;/i&gt;&lt;b&gt;Jab: &lt;/b&gt;jazzt&lt;br&gt;Use the Lance attack on a being that has entered your attack range for the first time on their turn.</t>
  </si>
  <si>
    <t>Willow Parasite</t>
  </si>
  <si>
    <t>&lt;i&gt;Melee Attack - &lt;/i&gt;&lt;b&gt;Lash Out:&lt;/b&gt; 2 AP&lt;br&gt;Damage = 4 , reach.</t>
  </si>
  <si>
    <t>&lt;b&gt;Summon Saplings:&lt;/b&gt; weirdtweirdT&lt;br&gt;Fill 3 target connected empty hexes with a willow tree which blocks movement and vision. Each hex can be individually destroyed by dealing damage.</t>
  </si>
  <si>
    <t>Withered Hand</t>
  </si>
  <si>
    <t>&lt;i&gt;Melee Attack - &lt;/i&gt;&lt;b&gt;Anhidonia:&lt;/b&gt; 3 AP&lt;br&gt;Damage = 5, close range.&lt;br&gt;Inflict the &lt;b&gt;Exhausted&lt;/b&gt; status effect on a hit.</t>
  </si>
  <si>
    <t>&lt;b&gt;Create Sigil: &lt;/b&gt;1 AP</t>
  </si>
  <si>
    <t>&lt;b&gt;Siphon: &lt;/b&gt;2 AP + weirdT</t>
  </si>
  <si>
    <t>If there are 3 sigils, deal a random wound to all creatures within the triangle of sigils (edges count). Heal a wound of your choice.</t>
  </si>
  <si>
    <t>A target gains up to 4 temporary composure and -2 speed until the end of their next turn.</t>
  </si>
  <si>
    <t>Whenever you spend weirdt, gain up to 1 temporary composure.</t>
  </si>
  <si>
    <t>&lt;b&gt;Flail: automatic&lt;/b&gt;</t>
  </si>
  <si>
    <t>&lt;b&gt;Damage = 4, close range.&lt;/b&gt;</t>
  </si>
  <si>
    <t>Draw a sigil on an adjacent tile. You may have a maximum of 3 sigils. Other players may spend 3AP to destroy an adjacent sigil</t>
  </si>
  <si>
    <t>At the end of your turn, this limb uses &lt;b&gt;Flail&lt;/b&gt; for free, it will target you if there are no other targets available.</t>
  </si>
  <si>
    <t>Whenever you spend weirdt, deal 1 damage to any target. This damage cannot be reduced.</t>
  </si>
  <si>
    <t>&lt;b&gt; Shock: 2 AP&lt;/b&gt;</t>
  </si>
  <si>
    <t>&lt;b&gt; Back-kick: 2 AP&lt;/b&gt;</t>
  </si>
  <si>
    <t>&lt;b&gt;Coat in Clay: 1 AP +  weirdT&lt;/b&gt;</t>
  </si>
  <si>
    <t>&lt;b&gt;Embed: &lt;/b&gt;weirdT</t>
  </si>
  <si>
    <t>Place a 1 hex crystal on an adjacent hex. The crystal breaks if it takes damage.</t>
  </si>
  <si>
    <t>&lt;b&gt; Smash: &lt;/b&gt;2 AP + 3 Composure</t>
  </si>
  <si>
    <t>&lt;b&gt; Thwack: &lt;/b&gt;1 AP</t>
  </si>
  <si>
    <t>&lt;b&gt;Flay:&lt;/b&gt; 2 AP</t>
  </si>
  <si>
    <t>&lt;i&gt;&lt;b&gt;Burst Block: &lt;/b&gt;Destroy this card&lt;/i&gt;</t>
  </si>
  <si>
    <t>Completely block an incoming attack and deal 5 damage to all adjacent beings.</t>
  </si>
  <si>
    <t>At the end of your turn, if you are adjacent to a crystal, choose one of the following status effects to gain:&lt;br&gt;&lt;b&gt;Monstrous, Well Rested, Imbued.</t>
  </si>
  <si>
    <t>Add +1 damage and +1 range to attacks this turn, use only once each turn.</t>
  </si>
  <si>
    <t>&lt;b&gt;Drive-Power: &lt;/b&gt;weirdt</t>
  </si>
  <si>
    <t>Inflict the &lt;b&gt;Cursed&lt;/b&gt; status effect on a target in close range.</t>
  </si>
  <si>
    <t>&lt;b&gt;Smear:&lt;/b&gt; 2 AP + weirdT weirdT</t>
  </si>
  <si>
    <t>Your attacks this turn inflict the &lt;b&gt;Burning&lt;/b&gt; status effect on a hit and have + 1 range</t>
  </si>
  <si>
    <t>&lt;b&gt;Stoke the Flames:&lt;/b&gt; WeirdT</t>
  </si>
  <si>
    <t>Place an explosive egg on an adjacent hex.</t>
  </si>
  <si>
    <t>&lt;b&gt;Lay Egg:&lt;/b&gt; 1 AP + (chargeT or  weirdT)</t>
  </si>
  <si>
    <t>&lt;i&gt;&lt;b&gt;Detonate:&lt;/b&gt; &lt;/i&gt;1 AP</t>
  </si>
  <si>
    <t>All eggs on the map explode, adjacent beings take 5 damage and terrain is destroyed, including walls.</t>
  </si>
  <si>
    <t>&lt;b&gt;Crush:&lt;/b&gt; 4 AP or (2 AP + fleshT fleshT)</t>
  </si>
  <si>
    <t>&lt;b&gt;Damage = 5 , close range.&lt;/b&gt;</t>
  </si>
  <si>
    <t>&lt;b&gt;Bludgeon:&lt;/b&gt; 3 AP</t>
  </si>
  <si>
    <t>Damage = 3 , close range.&lt;br&gt;Inflicts the &lt;b&gt;Entangled&lt;/b&gt; status effect on a hit.</t>
  </si>
  <si>
    <t>&lt;b&gt;Whelm:&lt;/b&gt; 1 AP + weirdT</t>
  </si>
  <si>
    <t>&lt;b&gt;Vandalise:&lt;/b&gt; 2 AP</t>
  </si>
  <si>
    <t>&lt;b&gt; Charge!:&lt;/b&gt; 2 AP</t>
  </si>
  <si>
    <t>&lt;b&gt;Damage = 6 , close range.&lt;/b&gt;</t>
  </si>
  <si>
    <t>&lt;b&gt;Damage = 2 , close range.&lt;/b&gt;&lt;br&gt;On a hit, the target is pushed back hexes equal to your &lt;span style="color:#e74c3c"&gt;&lt;strong&gt;Flesh&lt;/strong&gt;&lt;/span&gt;.</t>
  </si>
  <si>
    <t>&lt;b&gt; Shove :&lt;/b&gt; 1 AP + fleshT</t>
  </si>
  <si>
    <t>&lt;b&gt;Crush:&lt;/b&gt; 3 AP</t>
  </si>
  <si>
    <t>&lt;b&gt;Damage = 2 , close range.&lt;/b&gt;&lt;br&gt;On a hit, you may destroy this card to destroy any equipped Limb or Impression from the target.</t>
  </si>
  <si>
    <t>&lt;b&gt;Damage = hexes moved, close range.&lt;/b&gt;&lt;br&gt;Charge any number of hexes in a straight line as part of making the attack.&lt;br&gt; hornshexes</t>
  </si>
  <si>
    <t>You and any number of target allies gain the &lt;b&gt;Monstrous&lt;/b&gt; status effect.</t>
  </si>
  <si>
    <t>&lt;b&gt;Reverberate:&lt;/b&gt; 1 AP or weirdT</t>
  </si>
  <si>
    <t>&lt;b&gt;Damage = 4, ranged.&lt;/b&gt;&lt;br&gt;This attack can only target your hated target.</t>
  </si>
  <si>
    <t>Crit</t>
  </si>
  <si>
    <t>&lt;b&gt;Omen:&lt;/b&gt; inflict the &lt;b&gt;Cursed&lt;/b&gt; status effect.</t>
  </si>
  <si>
    <t>&lt;b&gt;Phage: &lt;/b&gt;2 AP</t>
  </si>
  <si>
    <t>&lt;b&gt;Damage = 7, ranged.&lt;/b&gt;&lt;br&gt;Throw this limb at your target as part of the attack, regardless of attack outcome, they now have Hungering Hand equipped .</t>
  </si>
  <si>
    <t>&lt;b&gt; Bite:&lt;/b&gt; 2 AP</t>
  </si>
  <si>
    <t>&lt;b&gt;Damage = 4 , close range.&lt;br&gt;&lt;/b&gt;</t>
  </si>
  <si>
    <t>&lt;b&gt;Damage = 3 , close range.&lt;/b&gt;</t>
  </si>
  <si>
    <t>&lt;b&gt;Flurry:&lt;/b&gt;Your next attack costs 1 less AP.&lt;br&gt;&lt;b&gt;Strike:&lt;/b&gt; +1 Damage.</t>
  </si>
  <si>
    <t>&lt;b&gt;Damage = 4 , close range.&lt;/b&gt;</t>
  </si>
  <si>
    <t>&lt;b&gt;Dash:&lt;/b&gt; Take a move action.&lt;br&gt;&lt;b&gt;Mighty Shove:&lt;/b&gt; Push the target 2 hexes.</t>
  </si>
  <si>
    <t>&lt;center&gt;Critical options&lt;/center&gt;</t>
  </si>
  <si>
    <t>&lt;center&gt;Critical Options&lt;/center&gt;</t>
  </si>
  <si>
    <t>&lt;center&gt;&lt;i&gt;&lt;b&gt;Radioactive&lt;/i&gt;&lt;/b&gt;&lt;/center&gt;</t>
  </si>
  <si>
    <t>The boss does not consider you a target unless you are the last alive.</t>
  </si>
  <si>
    <t>&lt;b&gt;Damage = 1 , close range.&lt;/b&gt;</t>
  </si>
  <si>
    <t>&lt;b&gt;Omen:&lt;/b&gt; Inflict the &lt;b&gt;Cursed&lt;/b&gt; status effect.</t>
  </si>
  <si>
    <t>&lt;b&gt;Burn:&lt;/b&gt; Inflict the &lt;b&gt;Burning&lt;/b&gt; status effect.</t>
  </si>
  <si>
    <t>&lt;b&gt;Damage = 8 , close range.&lt;/b&gt;</t>
  </si>
  <si>
    <t>&lt;b&gt;Concuss:&lt;/b&gt; Inflict the &lt;b&gt;Stunned&lt;/b&gt; status effect.</t>
  </si>
  <si>
    <t>&lt;b&gt;Impale: &lt;/b&gt;2 AP</t>
  </si>
  <si>
    <t>&lt;b&gt;Damage = 4 , reach.&lt;/b&gt;</t>
  </si>
  <si>
    <t>Destroy this card to completely block an incoming attack.</t>
  </si>
  <si>
    <t>&lt;i&gt;&lt;b&gt;Bloom: &lt;/b&gt; WeirdT + &lt;b&gt;exhausted&lt;/b&gt;</t>
  </si>
  <si>
    <t>For the rest of your turn, leave a conductive trail behind in any hex you move out of.</t>
  </si>
  <si>
    <t>&lt;b&gt;Splinter Trail:&lt;/b&gt; 1 AP + (chargeT or weirdT)</t>
  </si>
  <si>
    <t>Electrify an adjacent hex and all connected conductive hexes. All beings electrified take 3 damage. This damage cannot be reduced. Hexes with water are also conductive.</t>
  </si>
  <si>
    <t>&lt;b&gt;Electrify:&lt;/b&gt; 2 AP</t>
  </si>
  <si>
    <t>chargeBIG chargeBIG</t>
  </si>
  <si>
    <t>ChargeBIGchargebigchargebig</t>
  </si>
  <si>
    <t>chargebigchargebig</t>
  </si>
  <si>
    <t>&lt;b&gt;Headbut: &lt;/b&gt;2 AP</t>
  </si>
  <si>
    <t>When you hit with this limb, you may spend flesht as though it were weirdt until the end of your turn.</t>
  </si>
  <si>
    <t>Whenever you inflict a wound with Mandibles, refresh a spent token of the same type as the wound</t>
  </si>
  <si>
    <t>&lt;b&gt; Gnaw:&lt;/b&gt; 1 AP</t>
  </si>
  <si>
    <t>&lt;b&gt;Damage = 1 , close range.&lt;/b&gt;&lt;br&gt;This attack always hits, do not roll.</t>
  </si>
  <si>
    <t>&lt;b&gt; Nasty Stab:&lt;/b&gt; 3 AP</t>
  </si>
  <si>
    <t>&lt;b&gt;Armour Piercing:&lt;/b&gt; Ignore damage reduction effects.</t>
  </si>
  <si>
    <t>Whenever an adjacent creature takes a wound, you may activate this and inflict the &lt;b&gt;Stunned&lt;/b&gt; status effect on them.</t>
  </si>
  <si>
    <t>&lt;i&gt; &lt;b&gt;Salt in the wound:&lt;/b&gt;&lt;/i&gt; weirdT</t>
  </si>
  <si>
    <t>Whenever you suffer a wound, gain the &lt;b&gt;Well Rested&lt;/b&gt; status effect.</t>
  </si>
  <si>
    <t>&lt;i&gt;&lt;b&gt;Fueled by pain&lt;/i&gt;&lt;/b&gt;</t>
  </si>
  <si>
    <t>&lt;b&gt;Nip: &lt;/b&gt;2 AP</t>
  </si>
  <si>
    <t>Wounds inflicted by this limb's attacks always target the stat of your choice.</t>
  </si>
  <si>
    <t>&lt;i&gt;&lt;b&gt;Precise:&lt;/b&gt;&lt;/i&gt;</t>
  </si>
  <si>
    <t>&lt;b&gt;Strike:&lt;/b&gt; +1 damage.</t>
  </si>
  <si>
    <t>&lt;b&gt;Damage = 4 , Ranged&lt;/b&gt;&lt;br&gt;Ignores damage reduction effects.</t>
  </si>
  <si>
    <t>&lt;b&gt;Corrosive spit: &lt;/b&gt;2 AP + weirdT</t>
  </si>
  <si>
    <t>&lt;b&gt;Snap: &lt;/b&gt;3 AP + &lt;b&gt;exhausted&lt;/b&gt;</t>
  </si>
  <si>
    <t>&lt;b&gt;Damage = 6 , Reach.&lt;/b&gt;</t>
  </si>
  <si>
    <t xml:space="preserve">&lt;i&gt;&lt;b&gt;Decay&lt;/b&gt;&lt;/i&gt; </t>
  </si>
  <si>
    <t>&lt;i&gt;&lt;b&gt;Minion&lt;/b&gt;&lt;/i&gt;</t>
  </si>
  <si>
    <t>&lt;i&gt;&lt;b&gt;Spreading clay&lt;/i&gt;&lt;/b&gt;</t>
  </si>
  <si>
    <t>&lt;i&gt;&lt;b&gt; Autonomous Limb&lt;/i&gt;&lt;/b&gt;</t>
  </si>
  <si>
    <t>&lt;i&gt;&lt;b&gt; Sparks&lt;/i&gt;&lt;/b&gt;</t>
  </si>
  <si>
    <t>&lt;i&gt;&lt;b&gt; Radiance&lt;/b&gt;&lt;/i&gt;</t>
  </si>
  <si>
    <t>&lt;i&gt;&lt;b&gt;Release&lt;/i&gt;&lt;/b&gt;</t>
  </si>
  <si>
    <t>&lt;i&gt;&lt;b&gt;Snack&lt;/i&gt;&lt;/b&gt;</t>
  </si>
  <si>
    <t>&lt;b&gt;Damage = 1 , reach.&lt;/b&gt;&lt;br&gt;
This damage cannot be reduced.</t>
  </si>
  <si>
    <t>&lt;b&gt; Slam:&lt;/b&gt; 4 AP</t>
  </si>
  <si>
    <t>&lt;b&gt;Damage = 8, close range.&lt;/b&gt;&lt;br&gt;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</si>
</sst>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8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0"/>
        <bgColor rgb="FF96969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 readingOrder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 wrapText="1" readingOrder="1"/>
    </xf>
    <xf numFmtId="0" fontId="0" fillId="0" borderId="3" xfId="0" applyBorder="1" applyAlignment="1">
      <alignment horizontal="left" wrapText="1" readingOrder="1"/>
    </xf>
    <xf numFmtId="0" fontId="0" fillId="0" borderId="0" xfId="0" applyAlignment="1">
      <alignment wrapText="1"/>
    </xf>
    <xf numFmtId="0" fontId="0" fillId="0" borderId="0" xfId="0" applyAlignment="1">
      <alignment horizontal="left" wrapText="1" readingOrder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left" wrapText="1" readingOrder="1"/>
    </xf>
    <xf numFmtId="0" fontId="0" fillId="0" borderId="0" xfId="0" applyBorder="1" applyAlignment="1">
      <alignment horizontal="left" wrapText="1" readingOrder="1"/>
    </xf>
    <xf numFmtId="0" fontId="0" fillId="0" borderId="0" xfId="0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53"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1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AC57" totalsRowShown="0">
  <autoFilter ref="A1:AC57" xr:uid="{00000000-0009-0000-0100-000001000000}"/>
  <sortState xmlns:xlrd2="http://schemas.microsoft.com/office/spreadsheetml/2017/richdata2" ref="A2:AC57">
    <sortCondition ref="B1:B57"/>
  </sortState>
  <tableColumns count="29">
    <tableColumn id="1" xr3:uid="{00000000-0010-0000-0000-000001000000}" name="Name"/>
    <tableColumn id="2" xr3:uid="{00000000-0010-0000-0000-000002000000}" name="Type"/>
    <tableColumn id="4" xr3:uid="{00000000-0010-0000-0000-000004000000}" name="Charges"/>
    <tableColumn id="20" xr3:uid="{CB9824E5-A740-4FE3-BCEB-C9A8B9A20A6F}" name="Effect 1 Y" dataDxfId="52"/>
    <tableColumn id="12" xr3:uid="{61FB1168-E521-4999-B9B1-B541D01EF8B8}" name="Effect 1 Type" dataDxfId="51"/>
    <tableColumn id="11" xr3:uid="{728899FC-C50B-4AB0-8157-B2961DC174E5}" name="Effect 1 Title" dataDxfId="50"/>
    <tableColumn id="5" xr3:uid="{00000000-0010-0000-0000-000005000000}" name="Effect 1"/>
    <tableColumn id="3" xr3:uid="{B518B047-3B8D-4F7F-BF57-46653BA3E90A}" name="Effect 2 Y" dataDxfId="49">
      <calculatedColumnFormula>#REF!+0.6</calculatedColumnFormula>
    </tableColumn>
    <tableColumn id="6" xr3:uid="{00000000-0010-0000-0000-000006000000}" name="Effect 2 Type"/>
    <tableColumn id="7" xr3:uid="{00000000-0010-0000-0000-000007000000}" name="Effect 2 Title"/>
    <tableColumn id="14" xr3:uid="{754357A5-E406-4611-AB3C-20AC5A964569}" name="Effect 2" dataDxfId="48"/>
    <tableColumn id="9" xr3:uid="{19A9845D-F5E0-412D-B3D3-D2AA98F22015}" name="Effect 3 Y" dataDxfId="47">
      <calculatedColumnFormula>#REF!+Table3[[#This Row],[Effect 2 Y]]</calculatedColumnFormula>
    </tableColumn>
    <tableColumn id="13" xr3:uid="{5E84F09A-22B8-4562-A869-32D13202A8AC}" name="Effect 3 Type" dataDxfId="46"/>
    <tableColumn id="10" xr3:uid="{AA634BBF-CBD7-410B-ACFF-6BAAF336A1A5}" name="Effect 3 Title" dataDxfId="45"/>
    <tableColumn id="16" xr3:uid="{E5181A74-E9DC-4FA4-9CCF-432070B5D74B}" name="Effect 3" dataDxfId="44"/>
    <tableColumn id="26" xr3:uid="{ABB25E88-814C-43E2-A221-63BDD7999E71}" name="E1TY" dataDxfId="43">
      <calculatedColumnFormula>Table3[[#This Row],[E1Y]]+AC$2</calculatedColumnFormula>
    </tableColumn>
    <tableColumn id="25" xr3:uid="{A2998808-EB82-42E2-BE17-5858A6BB7BBC}" name="E1BY" dataDxfId="42">
      <calculatedColumnFormula>Table3[[#This Row],[E1TY]]+AB$2</calculatedColumnFormula>
    </tableColumn>
    <tableColumn id="24" xr3:uid="{BB9BA851-7E24-47AB-944C-68B78FFF12C5}" name="E1Y" dataDxfId="41">
      <calculatedColumnFormula>Y$2+Z$2*(Table3[[#This Row],[Effect 1 Y]]-1)</calculatedColumnFormula>
    </tableColumn>
    <tableColumn id="31" xr3:uid="{759B7CF3-A7ED-4E33-9797-2863FC36319A}" name="E2TY" dataDxfId="40">
      <calculatedColumnFormula>Table3[[#This Row],[E2Y]]+AC$2</calculatedColumnFormula>
    </tableColumn>
    <tableColumn id="30" xr3:uid="{F8FEDFEC-0D17-4A94-80DF-078563DFCFD4}" name="E2BY" dataDxfId="39">
      <calculatedColumnFormula>Table3[[#This Row],[E2TY]]+AB$2</calculatedColumnFormula>
    </tableColumn>
    <tableColumn id="29" xr3:uid="{6E54FF94-FCB4-4293-BCFE-535CDEAC1B5E}" name="E2Y" dataDxfId="1">
      <calculatedColumnFormula>Y$2+Table3[[#This Row],[Linewidth]]*(Table3[[#This Row],[Effect 2 Y]]-1)+AA$2</calculatedColumnFormula>
    </tableColumn>
    <tableColumn id="28" xr3:uid="{77ECECFD-32BE-4763-8AB7-1E3FC5CE4019}" name="E3TY" dataDxfId="38">
      <calculatedColumnFormula>Table3[[#This Row],[E3Y]]+AC$2</calculatedColumnFormula>
    </tableColumn>
    <tableColumn id="27" xr3:uid="{140B097E-9EEB-471A-900F-3BBD696BA528}" name="E3BY" dataDxfId="37">
      <calculatedColumnFormula>Table3[[#This Row],[E3TY]]+AB$2</calculatedColumnFormula>
    </tableColumn>
    <tableColumn id="18" xr3:uid="{2A07D97B-1E57-417D-A0CA-568147DB1F72}" name="E3Y" dataDxfId="0">
      <calculatedColumnFormula>Y$2+Table3[[#This Row],[Linewidth]]*(Table3[[#This Row],[Effect 3 Y]]-1)+2*AA$2</calculatedColumnFormula>
    </tableColumn>
    <tableColumn id="8" xr3:uid="{2301A507-B4CC-49E9-AA0E-F02F7BD173E1}" name="Ypos" dataDxfId="36"/>
    <tableColumn id="15" xr3:uid="{E3A6F2A9-C4EB-4B5C-840B-71065D1C710B}" name="Linewidth" dataDxfId="35"/>
    <tableColumn id="17" xr3:uid="{0F072005-E263-48D5-BD19-43687FB9AFC2}" name="Ability Offset" dataDxfId="34"/>
    <tableColumn id="19" xr3:uid="{AA9B8FDF-203B-4F09-987C-BF9C70CE1C9F}" name="Border Offset" dataDxfId="33"/>
    <tableColumn id="21" xr3:uid="{E9808F47-9124-48BD-9338-0B3B2C37778D}" name="Title Offset" dataDxfId="3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"/>
  <sheetViews>
    <sheetView tabSelected="1" topLeftCell="A31" zoomScale="115" zoomScaleNormal="115" workbookViewId="0">
      <selection activeCell="G34" sqref="G34"/>
    </sheetView>
  </sheetViews>
  <sheetFormatPr defaultColWidth="8.5703125" defaultRowHeight="15" x14ac:dyDescent="0.25"/>
  <cols>
    <col min="1" max="1" width="11" customWidth="1"/>
    <col min="2" max="2" width="8.28515625" customWidth="1"/>
    <col min="3" max="3" width="5.28515625" customWidth="1"/>
    <col min="4" max="4" width="4.28515625" customWidth="1"/>
    <col min="5" max="5" width="8.28515625" customWidth="1"/>
    <col min="6" max="6" width="33" customWidth="1"/>
    <col min="7" max="7" width="38.7109375" customWidth="1"/>
    <col min="8" max="8" width="5.85546875" customWidth="1"/>
    <col min="9" max="9" width="9" customWidth="1"/>
    <col min="10" max="10" width="22.85546875" customWidth="1"/>
    <col min="11" max="11" width="40.140625" customWidth="1"/>
    <col min="12" max="12" width="5.7109375" customWidth="1"/>
    <col min="13" max="13" width="11.7109375" customWidth="1"/>
    <col min="14" max="14" width="16.28515625" customWidth="1"/>
    <col min="15" max="15" width="45" customWidth="1"/>
    <col min="16" max="23" width="10.5703125" customWidth="1"/>
    <col min="24" max="24" width="8.5703125" customWidth="1"/>
    <col min="25" max="25" width="15.42578125" customWidth="1"/>
    <col min="26" max="26" width="16" customWidth="1"/>
  </cols>
  <sheetData>
    <row r="1" spans="1:29" ht="35.25" customHeight="1" x14ac:dyDescent="0.25">
      <c r="A1" s="1" t="s">
        <v>0</v>
      </c>
      <c r="B1" s="2" t="s">
        <v>1</v>
      </c>
      <c r="C1" s="1" t="s">
        <v>17</v>
      </c>
      <c r="D1" s="1" t="s">
        <v>20</v>
      </c>
      <c r="E1" s="1" t="s">
        <v>8</v>
      </c>
      <c r="F1" s="1" t="s">
        <v>7</v>
      </c>
      <c r="G1" s="1" t="s">
        <v>2</v>
      </c>
      <c r="H1" s="3" t="s">
        <v>18</v>
      </c>
      <c r="I1" s="1" t="s">
        <v>12</v>
      </c>
      <c r="J1" s="1" t="s">
        <v>13</v>
      </c>
      <c r="K1" s="1" t="s">
        <v>3</v>
      </c>
      <c r="L1" s="1" t="s">
        <v>19</v>
      </c>
      <c r="M1" s="1" t="s">
        <v>14</v>
      </c>
      <c r="N1" s="1" t="s">
        <v>15</v>
      </c>
      <c r="O1" s="1" t="s">
        <v>4</v>
      </c>
      <c r="P1" t="s">
        <v>23</v>
      </c>
      <c r="Q1" t="s">
        <v>22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s="4" t="s">
        <v>21</v>
      </c>
      <c r="Z1" s="4" t="s">
        <v>49</v>
      </c>
      <c r="AA1" s="7" t="s">
        <v>31</v>
      </c>
      <c r="AB1" s="7" t="s">
        <v>32</v>
      </c>
      <c r="AC1" s="7" t="s">
        <v>33</v>
      </c>
    </row>
    <row r="2" spans="1:29" ht="30" x14ac:dyDescent="0.25">
      <c r="A2" s="4" t="s">
        <v>47</v>
      </c>
      <c r="B2" s="4" t="s">
        <v>48</v>
      </c>
      <c r="C2" s="4"/>
      <c r="D2" s="4">
        <v>1</v>
      </c>
      <c r="E2" s="4" t="s">
        <v>36</v>
      </c>
      <c r="F2" s="4" t="s">
        <v>188</v>
      </c>
      <c r="G2" s="4" t="s">
        <v>51</v>
      </c>
      <c r="H2" s="4">
        <v>4</v>
      </c>
      <c r="I2" s="5" t="s">
        <v>36</v>
      </c>
      <c r="J2" s="5" t="s">
        <v>225</v>
      </c>
      <c r="K2" s="4" t="s">
        <v>50</v>
      </c>
      <c r="L2" s="4"/>
      <c r="M2" s="4"/>
      <c r="N2" s="4"/>
      <c r="O2" s="4"/>
      <c r="P2" s="7">
        <f>Table3[[#This Row],[E1Y]]+AC$2</f>
        <v>2.36</v>
      </c>
      <c r="Q2" s="7">
        <f>Table3[[#This Row],[E1TY]]+AB$2</f>
        <v>2.2399999999999998</v>
      </c>
      <c r="R2" s="7">
        <f>Y$2+Z$2*(Table3[[#This Row],[Effect 1 Y]]-1)</f>
        <v>2.96</v>
      </c>
      <c r="S2" s="7">
        <f>Table3[[#This Row],[E2Y]]+AC$2</f>
        <v>4.03</v>
      </c>
      <c r="T2" s="7">
        <f>Table3[[#This Row],[E2TY]]+AB$2</f>
        <v>3.91</v>
      </c>
      <c r="U2" s="7">
        <f>Y$2+Table3[[#This Row],[Linewidth]]*(Table3[[#This Row],[Effect 2 Y]]-1)+AA$2</f>
        <v>4.63</v>
      </c>
      <c r="V2" s="7">
        <f>Table3[[#This Row],[E3Y]]+AC$2</f>
        <v>2.2699999999999996</v>
      </c>
      <c r="W2" s="7">
        <f>Table3[[#This Row],[E3TY]]+AB$2</f>
        <v>2.1499999999999995</v>
      </c>
      <c r="X2" s="6">
        <f>Y$2+Table3[[#This Row],[Linewidth]]*(Table3[[#This Row],[Effect 3 Y]]-1)+2*AA$2</f>
        <v>2.8699999999999997</v>
      </c>
      <c r="Y2" s="4">
        <v>2.96</v>
      </c>
      <c r="Z2" s="4">
        <v>0.49</v>
      </c>
      <c r="AA2" s="4">
        <v>0.2</v>
      </c>
      <c r="AB2" s="4">
        <v>-0.12</v>
      </c>
      <c r="AC2" s="4">
        <v>-0.6</v>
      </c>
    </row>
    <row r="3" spans="1:29" ht="45" x14ac:dyDescent="0.25">
      <c r="A3" s="4" t="s">
        <v>53</v>
      </c>
      <c r="B3" s="4" t="s">
        <v>54</v>
      </c>
      <c r="C3" s="4"/>
      <c r="D3" s="4">
        <v>1</v>
      </c>
      <c r="E3" s="4" t="s">
        <v>57</v>
      </c>
      <c r="F3" s="5" t="s">
        <v>55</v>
      </c>
      <c r="G3" s="4" t="s">
        <v>56</v>
      </c>
      <c r="H3" s="4">
        <v>6</v>
      </c>
      <c r="I3" s="4" t="s">
        <v>36</v>
      </c>
      <c r="J3" s="4" t="s">
        <v>226</v>
      </c>
      <c r="K3" s="4" t="s">
        <v>189</v>
      </c>
      <c r="L3" s="4"/>
      <c r="M3" s="4"/>
      <c r="N3" s="4"/>
      <c r="O3" s="4"/>
      <c r="P3" s="7">
        <f>Table3[[#This Row],[E1Y]]+AC$2</f>
        <v>2.36</v>
      </c>
      <c r="Q3" s="7">
        <f>Table3[[#This Row],[E1TY]]+AB$2</f>
        <v>2.2399999999999998</v>
      </c>
      <c r="R3" s="7">
        <f>Y$2+Z$2*(Table3[[#This Row],[Effect 1 Y]]-1)</f>
        <v>2.96</v>
      </c>
      <c r="S3" s="7">
        <f>Table3[[#This Row],[E2Y]]+AC$2</f>
        <v>2.56</v>
      </c>
      <c r="T3" s="7">
        <f>Table3[[#This Row],[E2TY]]+AB$2</f>
        <v>2.44</v>
      </c>
      <c r="U3" s="7">
        <f>Y$2+Table3[[#This Row],[Linewidth]]*(Table3[[#This Row],[Effect 2 Y]]-1)+AA$2</f>
        <v>3.16</v>
      </c>
      <c r="V3" s="7">
        <f>Table3[[#This Row],[E3Y]]+AC$2</f>
        <v>2.76</v>
      </c>
      <c r="W3" s="7">
        <f>Table3[[#This Row],[E3TY]]+AB$2</f>
        <v>2.6399999999999997</v>
      </c>
      <c r="X3" s="6">
        <f>Y$2+Table3[[#This Row],[Linewidth]]*(Table3[[#This Row],[Effect 3 Y]]-1)+2*AA$2</f>
        <v>3.36</v>
      </c>
      <c r="Y3" s="4"/>
      <c r="Z3" s="4"/>
      <c r="AA3" s="4"/>
      <c r="AB3" s="4"/>
      <c r="AC3" s="4"/>
    </row>
    <row r="4" spans="1:29" ht="30" x14ac:dyDescent="0.25">
      <c r="A4" s="4" t="s">
        <v>5</v>
      </c>
      <c r="B4" s="4" t="s">
        <v>6</v>
      </c>
      <c r="C4" s="4"/>
      <c r="D4" s="4">
        <v>1</v>
      </c>
      <c r="E4" s="4" t="s">
        <v>11</v>
      </c>
      <c r="F4" s="4" t="s">
        <v>10</v>
      </c>
      <c r="G4" s="4" t="s">
        <v>9</v>
      </c>
      <c r="H4" s="4">
        <v>5</v>
      </c>
      <c r="I4" s="4" t="s">
        <v>34</v>
      </c>
      <c r="J4" s="4" t="s">
        <v>16</v>
      </c>
      <c r="K4" s="4" t="s">
        <v>175</v>
      </c>
      <c r="L4" s="4">
        <v>9.5</v>
      </c>
      <c r="M4" s="4" t="s">
        <v>176</v>
      </c>
      <c r="N4" s="4" t="s">
        <v>187</v>
      </c>
      <c r="O4" s="4" t="s">
        <v>177</v>
      </c>
      <c r="P4" s="7">
        <f>Table3[[#This Row],[E1Y]]+AC$2</f>
        <v>2.36</v>
      </c>
      <c r="Q4" s="7">
        <f>Table3[[#This Row],[E1TY]]+AB$2</f>
        <v>2.2399999999999998</v>
      </c>
      <c r="R4" s="7">
        <f>Y$2+Z$2*(Table3[[#This Row],[Effect 1 Y]]-1)</f>
        <v>2.96</v>
      </c>
      <c r="S4" s="7">
        <f>Table3[[#This Row],[E2Y]]+AC$2</f>
        <v>2.56</v>
      </c>
      <c r="T4" s="7">
        <f>Table3[[#This Row],[E2TY]]+AB$2</f>
        <v>2.44</v>
      </c>
      <c r="U4" s="7">
        <f>Y$2+Table3[[#This Row],[Linewidth]]*(Table3[[#This Row],[Effect 2 Y]]-1)+AA$2</f>
        <v>3.16</v>
      </c>
      <c r="V4" s="7">
        <f>Table3[[#This Row],[E3Y]]+AC$2</f>
        <v>2.76</v>
      </c>
      <c r="W4" s="7">
        <f>Table3[[#This Row],[E3TY]]+AB$2</f>
        <v>2.6399999999999997</v>
      </c>
      <c r="X4" s="6">
        <f>Y$2+Table3[[#This Row],[Linewidth]]*(Table3[[#This Row],[Effect 3 Y]]-1)+2*AA$2</f>
        <v>3.36</v>
      </c>
      <c r="Y4" s="4"/>
      <c r="Z4" s="4"/>
      <c r="AA4" s="4"/>
      <c r="AB4" s="4"/>
      <c r="AC4" s="4"/>
    </row>
    <row r="5" spans="1:29" ht="30" x14ac:dyDescent="0.25">
      <c r="A5" s="4" t="s">
        <v>40</v>
      </c>
      <c r="B5" s="4" t="s">
        <v>6</v>
      </c>
      <c r="C5" s="4"/>
      <c r="D5" s="4">
        <v>1</v>
      </c>
      <c r="E5" s="4" t="s">
        <v>34</v>
      </c>
      <c r="F5" s="4" t="s">
        <v>42</v>
      </c>
      <c r="G5" s="4" t="s">
        <v>182</v>
      </c>
      <c r="H5" s="4">
        <v>9</v>
      </c>
      <c r="I5" s="13" t="s">
        <v>176</v>
      </c>
      <c r="J5" s="13" t="s">
        <v>187</v>
      </c>
      <c r="K5" s="4" t="s">
        <v>183</v>
      </c>
      <c r="L5" s="4">
        <v>5</v>
      </c>
      <c r="M5" s="4"/>
      <c r="N5" s="4"/>
      <c r="O5" s="4"/>
      <c r="P5" s="7">
        <f>Table3[[#This Row],[E1Y]]+AC$2</f>
        <v>2.36</v>
      </c>
      <c r="Q5" s="7">
        <f>Table3[[#This Row],[E1TY]]+AB$2</f>
        <v>2.2399999999999998</v>
      </c>
      <c r="R5" s="7">
        <f>Y$2+Z$2*(Table3[[#This Row],[Effect 1 Y]]-1)</f>
        <v>2.96</v>
      </c>
      <c r="S5" s="7">
        <f>Table3[[#This Row],[E2Y]]+AC$2</f>
        <v>2.56</v>
      </c>
      <c r="T5" s="7">
        <f>Table3[[#This Row],[E2TY]]+AB$2</f>
        <v>2.44</v>
      </c>
      <c r="U5" s="7">
        <f>Y$2+Table3[[#This Row],[Linewidth]]*(Table3[[#This Row],[Effect 2 Y]]-1)+AA$2</f>
        <v>3.16</v>
      </c>
      <c r="V5" s="7">
        <f>Table3[[#This Row],[E3Y]]+AC$2</f>
        <v>2.76</v>
      </c>
      <c r="W5" s="7">
        <f>Table3[[#This Row],[E3TY]]+AB$2</f>
        <v>2.6399999999999997</v>
      </c>
      <c r="X5" s="6">
        <f>Y$2+Table3[[#This Row],[Linewidth]]*(Table3[[#This Row],[Effect 3 Y]]-1)+2*AA$2</f>
        <v>3.36</v>
      </c>
      <c r="Y5" s="13"/>
      <c r="Z5" s="13"/>
      <c r="AA5" s="4"/>
      <c r="AB5" s="4"/>
      <c r="AC5" s="4"/>
    </row>
    <row r="6" spans="1:29" ht="60" x14ac:dyDescent="0.25">
      <c r="A6" s="4" t="s">
        <v>58</v>
      </c>
      <c r="B6" s="4" t="s">
        <v>6</v>
      </c>
      <c r="C6" s="4"/>
      <c r="D6" s="4">
        <v>1</v>
      </c>
      <c r="E6" s="5" t="s">
        <v>11</v>
      </c>
      <c r="F6" s="5" t="s">
        <v>129</v>
      </c>
      <c r="G6" s="4" t="s">
        <v>136</v>
      </c>
      <c r="H6" s="4">
        <v>6</v>
      </c>
      <c r="I6" s="4" t="s">
        <v>11</v>
      </c>
      <c r="J6" s="4" t="s">
        <v>130</v>
      </c>
      <c r="K6" s="4" t="s">
        <v>131</v>
      </c>
      <c r="L6" s="4"/>
      <c r="M6" s="4"/>
      <c r="N6" s="4"/>
      <c r="O6" s="4"/>
      <c r="P6" s="7">
        <f>Table3[[#This Row],[E1Y]]+AC$2</f>
        <v>2.36</v>
      </c>
      <c r="Q6" s="7">
        <f>Table3[[#This Row],[E1TY]]+AB$2</f>
        <v>2.2399999999999998</v>
      </c>
      <c r="R6" s="7">
        <f>Y$2+Z$2*(Table3[[#This Row],[Effect 1 Y]]-1)</f>
        <v>2.96</v>
      </c>
      <c r="S6" s="7">
        <f>Table3[[#This Row],[E2Y]]+AC$2</f>
        <v>2.56</v>
      </c>
      <c r="T6" s="7">
        <f>Table3[[#This Row],[E2TY]]+AB$2</f>
        <v>2.44</v>
      </c>
      <c r="U6" s="7">
        <f>Y$2+Table3[[#This Row],[Linewidth]]*(Table3[[#This Row],[Effect 2 Y]]-1)+AA$2</f>
        <v>3.16</v>
      </c>
      <c r="V6" s="7">
        <f>Table3[[#This Row],[E3Y]]+AC$2</f>
        <v>2.76</v>
      </c>
      <c r="W6" s="7">
        <f>Table3[[#This Row],[E3TY]]+AB$2</f>
        <v>2.6399999999999997</v>
      </c>
      <c r="X6" s="6">
        <f>Y$2+Table3[[#This Row],[Linewidth]]*(Table3[[#This Row],[Effect 3 Y]]-1)+2*AA$2</f>
        <v>3.36</v>
      </c>
      <c r="Y6" s="13"/>
      <c r="Z6" s="13"/>
      <c r="AA6" s="4"/>
      <c r="AB6" s="4"/>
      <c r="AC6" s="4"/>
    </row>
    <row r="7" spans="1:29" ht="30" x14ac:dyDescent="0.25">
      <c r="A7" s="13" t="s">
        <v>41</v>
      </c>
      <c r="B7" s="4" t="s">
        <v>6</v>
      </c>
      <c r="C7" s="4"/>
      <c r="D7" s="4">
        <v>1</v>
      </c>
      <c r="E7" s="13" t="s">
        <v>11</v>
      </c>
      <c r="F7" s="4" t="s">
        <v>43</v>
      </c>
      <c r="G7" s="13" t="s">
        <v>44</v>
      </c>
      <c r="H7" s="4">
        <v>5</v>
      </c>
      <c r="I7" s="4" t="s">
        <v>11</v>
      </c>
      <c r="J7" s="4" t="s">
        <v>45</v>
      </c>
      <c r="K7" s="13" t="s">
        <v>46</v>
      </c>
      <c r="L7" s="4">
        <v>5</v>
      </c>
      <c r="M7" s="4"/>
      <c r="N7" s="4"/>
      <c r="O7" s="4"/>
      <c r="P7" s="7">
        <f>Table3[[#This Row],[E1Y]]+AC$2</f>
        <v>2.36</v>
      </c>
      <c r="Q7" s="7">
        <f>Table3[[#This Row],[E1TY]]+AB$2</f>
        <v>2.2399999999999998</v>
      </c>
      <c r="R7" s="7">
        <f>Y$2+Z$2*(Table3[[#This Row],[Effect 1 Y]]-1)</f>
        <v>2.96</v>
      </c>
      <c r="S7" s="7">
        <f>Table3[[#This Row],[E2Y]]+AC$2</f>
        <v>2.56</v>
      </c>
      <c r="T7" s="7">
        <f>Table3[[#This Row],[E2TY]]+AB$2</f>
        <v>2.44</v>
      </c>
      <c r="U7" s="7">
        <f>Y$2+Table3[[#This Row],[Linewidth]]*(Table3[[#This Row],[Effect 2 Y]]-1)+AA$2</f>
        <v>3.16</v>
      </c>
      <c r="V7" s="7">
        <f>Table3[[#This Row],[E3Y]]+AC$2</f>
        <v>2.76</v>
      </c>
      <c r="W7" s="7">
        <f>Table3[[#This Row],[E3TY]]+AB$2</f>
        <v>2.6399999999999997</v>
      </c>
      <c r="X7" s="6">
        <f>Y$2+Table3[[#This Row],[Linewidth]]*(Table3[[#This Row],[Effect 3 Y]]-1)+2*AA$2</f>
        <v>3.36</v>
      </c>
      <c r="Y7" s="4"/>
      <c r="Z7" s="4"/>
      <c r="AA7" s="4"/>
      <c r="AB7" s="4"/>
      <c r="AC7" s="4"/>
    </row>
    <row r="8" spans="1:29" ht="45" x14ac:dyDescent="0.25">
      <c r="A8" s="4" t="s">
        <v>59</v>
      </c>
      <c r="B8" s="4" t="s">
        <v>6</v>
      </c>
      <c r="C8" s="4"/>
      <c r="D8" s="4">
        <v>1</v>
      </c>
      <c r="E8" s="5" t="s">
        <v>11</v>
      </c>
      <c r="F8" s="5" t="s">
        <v>141</v>
      </c>
      <c r="G8" s="4" t="s">
        <v>132</v>
      </c>
      <c r="H8" s="4">
        <v>5</v>
      </c>
      <c r="I8" s="4" t="s">
        <v>36</v>
      </c>
      <c r="J8" s="4" t="s">
        <v>227</v>
      </c>
      <c r="K8" s="4" t="s">
        <v>133</v>
      </c>
      <c r="L8" s="4"/>
      <c r="M8" s="4"/>
      <c r="N8" s="4"/>
      <c r="O8" s="4"/>
      <c r="P8" s="7">
        <f>Table3[[#This Row],[E1Y]]+AC$2</f>
        <v>2.36</v>
      </c>
      <c r="Q8" s="7">
        <f>Table3[[#This Row],[E1TY]]+AB$2</f>
        <v>2.2399999999999998</v>
      </c>
      <c r="R8" s="7">
        <f>Y$2+Z$2*(Table3[[#This Row],[Effect 1 Y]]-1)</f>
        <v>2.96</v>
      </c>
      <c r="S8" s="7">
        <f>Table3[[#This Row],[E2Y]]+AC$2</f>
        <v>2.56</v>
      </c>
      <c r="T8" s="7">
        <f>Table3[[#This Row],[E2TY]]+AB$2</f>
        <v>2.44</v>
      </c>
      <c r="U8" s="7">
        <f>Y$2+Table3[[#This Row],[Linewidth]]*(Table3[[#This Row],[Effect 2 Y]]-1)+AA$2</f>
        <v>3.16</v>
      </c>
      <c r="V8" s="7">
        <f>Table3[[#This Row],[E3Y]]+AC$2</f>
        <v>2.76</v>
      </c>
      <c r="W8" s="7">
        <f>Table3[[#This Row],[E3TY]]+AB$2</f>
        <v>2.6399999999999997</v>
      </c>
      <c r="X8" s="6">
        <f>Y$2+Table3[[#This Row],[Linewidth]]*(Table3[[#This Row],[Effect 3 Y]]-1)+2*AA$2</f>
        <v>3.36</v>
      </c>
      <c r="Y8" s="4"/>
      <c r="Z8" s="4"/>
      <c r="AA8" s="4"/>
      <c r="AB8" s="4"/>
      <c r="AC8" s="4"/>
    </row>
    <row r="9" spans="1:29" ht="45" x14ac:dyDescent="0.25">
      <c r="A9" s="4" t="s">
        <v>60</v>
      </c>
      <c r="B9" s="4" t="s">
        <v>6</v>
      </c>
      <c r="C9" s="4"/>
      <c r="D9" s="4">
        <v>1</v>
      </c>
      <c r="E9" s="5" t="s">
        <v>34</v>
      </c>
      <c r="F9" s="5" t="s">
        <v>134</v>
      </c>
      <c r="G9" s="15" t="s">
        <v>135</v>
      </c>
      <c r="H9" s="4">
        <v>3</v>
      </c>
      <c r="I9" s="5" t="s">
        <v>36</v>
      </c>
      <c r="J9" s="5" t="s">
        <v>228</v>
      </c>
      <c r="K9" s="4" t="s">
        <v>137</v>
      </c>
      <c r="L9" s="4"/>
      <c r="M9" s="4"/>
      <c r="N9" s="4"/>
      <c r="O9" s="4"/>
      <c r="P9" s="7">
        <f>Table3[[#This Row],[E1Y]]+AC$2</f>
        <v>2.36</v>
      </c>
      <c r="Q9" s="7">
        <f>Table3[[#This Row],[E1TY]]+AB$2</f>
        <v>2.2399999999999998</v>
      </c>
      <c r="R9" s="7">
        <f>Y$2+Z$2*(Table3[[#This Row],[Effect 1 Y]]-1)</f>
        <v>2.96</v>
      </c>
      <c r="S9" s="7">
        <f>Table3[[#This Row],[E2Y]]+AC$2</f>
        <v>2.56</v>
      </c>
      <c r="T9" s="7">
        <f>Table3[[#This Row],[E2TY]]+AB$2</f>
        <v>2.44</v>
      </c>
      <c r="U9" s="7">
        <f>Y$2+Table3[[#This Row],[Linewidth]]*(Table3[[#This Row],[Effect 2 Y]]-1)+AA$2</f>
        <v>3.16</v>
      </c>
      <c r="V9" s="7">
        <f>Table3[[#This Row],[E3Y]]+AC$2</f>
        <v>2.76</v>
      </c>
      <c r="W9" s="7">
        <f>Table3[[#This Row],[E3TY]]+AB$2</f>
        <v>2.6399999999999997</v>
      </c>
      <c r="X9" s="6">
        <f>Y$2+Table3[[#This Row],[Linewidth]]*(Table3[[#This Row],[Effect 3 Y]]-1)+2*AA$2</f>
        <v>3.36</v>
      </c>
      <c r="Y9" s="4"/>
      <c r="Z9" s="4"/>
      <c r="AA9" s="4"/>
      <c r="AB9" s="4"/>
      <c r="AC9" s="4"/>
    </row>
    <row r="10" spans="1:29" ht="45" x14ac:dyDescent="0.25">
      <c r="A10" s="4" t="s">
        <v>61</v>
      </c>
      <c r="B10" s="4" t="s">
        <v>6</v>
      </c>
      <c r="C10" s="4"/>
      <c r="D10" s="4">
        <v>1</v>
      </c>
      <c r="E10" s="5" t="s">
        <v>34</v>
      </c>
      <c r="F10" s="5" t="s">
        <v>140</v>
      </c>
      <c r="G10" s="4" t="s">
        <v>184</v>
      </c>
      <c r="H10" s="4">
        <v>9</v>
      </c>
      <c r="I10" s="4" t="s">
        <v>176</v>
      </c>
      <c r="J10" s="4" t="s">
        <v>186</v>
      </c>
      <c r="K10" s="4" t="s">
        <v>185</v>
      </c>
      <c r="L10" s="4"/>
      <c r="M10" s="4"/>
      <c r="N10" s="4"/>
      <c r="O10" s="4"/>
      <c r="P10" s="7">
        <f>Table3[[#This Row],[E1Y]]+AC$2</f>
        <v>2.36</v>
      </c>
      <c r="Q10" s="7">
        <f>Table3[[#This Row],[E1TY]]+AB$2</f>
        <v>2.2399999999999998</v>
      </c>
      <c r="R10" s="7">
        <f>Y$2+Z$2*(Table3[[#This Row],[Effect 1 Y]]-1)</f>
        <v>2.96</v>
      </c>
      <c r="S10" s="7">
        <f>Table3[[#This Row],[E2Y]]+AC$2</f>
        <v>2.56</v>
      </c>
      <c r="T10" s="7">
        <f>Table3[[#This Row],[E2TY]]+AB$2</f>
        <v>2.44</v>
      </c>
      <c r="U10" s="7">
        <f>Y$2+Table3[[#This Row],[Linewidth]]*(Table3[[#This Row],[Effect 2 Y]]-1)+AA$2</f>
        <v>3.16</v>
      </c>
      <c r="V10" s="7">
        <f>Table3[[#This Row],[E3Y]]+AC$2</f>
        <v>2.76</v>
      </c>
      <c r="W10" s="7">
        <f>Table3[[#This Row],[E3TY]]+AB$2</f>
        <v>2.6399999999999997</v>
      </c>
      <c r="X10" s="6">
        <f>Y$2+Table3[[#This Row],[Linewidth]]*(Table3[[#This Row],[Effect 3 Y]]-1)+2*AA$2</f>
        <v>3.36</v>
      </c>
      <c r="Y10" s="4"/>
      <c r="Z10" s="4"/>
      <c r="AA10" s="4"/>
      <c r="AB10" s="4"/>
      <c r="AC10" s="4"/>
    </row>
    <row r="11" spans="1:29" ht="45" x14ac:dyDescent="0.25">
      <c r="A11" s="4" t="s">
        <v>62</v>
      </c>
      <c r="B11" s="4" t="s">
        <v>6</v>
      </c>
      <c r="C11" s="4"/>
      <c r="D11" s="4">
        <v>1</v>
      </c>
      <c r="E11" s="5" t="s">
        <v>34</v>
      </c>
      <c r="F11" s="5" t="s">
        <v>139</v>
      </c>
      <c r="G11" s="11" t="s">
        <v>233</v>
      </c>
      <c r="H11" s="4">
        <v>5</v>
      </c>
      <c r="I11" s="4" t="s">
        <v>36</v>
      </c>
      <c r="J11" s="4" t="s">
        <v>229</v>
      </c>
      <c r="K11" s="4" t="s">
        <v>138</v>
      </c>
      <c r="L11" s="4"/>
      <c r="M11" s="4"/>
      <c r="N11" s="4"/>
      <c r="O11" s="4"/>
      <c r="P11" s="7">
        <f>Table3[[#This Row],[E1Y]]+AC$2</f>
        <v>2.36</v>
      </c>
      <c r="Q11" s="7">
        <f>Table3[[#This Row],[E1TY]]+AB$2</f>
        <v>2.2399999999999998</v>
      </c>
      <c r="R11" s="7">
        <f>Y$2+Z$2*(Table3[[#This Row],[Effect 1 Y]]-1)</f>
        <v>2.96</v>
      </c>
      <c r="S11" s="7">
        <f>Table3[[#This Row],[E2Y]]+AC$2</f>
        <v>2.56</v>
      </c>
      <c r="T11" s="7">
        <f>Table3[[#This Row],[E2TY]]+AB$2</f>
        <v>2.44</v>
      </c>
      <c r="U11" s="7">
        <f>Y$2+Table3[[#This Row],[Linewidth]]*(Table3[[#This Row],[Effect 2 Y]]-1)+AA$2</f>
        <v>3.16</v>
      </c>
      <c r="V11" s="7">
        <f>Table3[[#This Row],[E3Y]]+AC$2</f>
        <v>2.76</v>
      </c>
      <c r="W11" s="7">
        <f>Table3[[#This Row],[E3TY]]+AB$2</f>
        <v>2.6399999999999997</v>
      </c>
      <c r="X11" s="6">
        <f>Y$2+Table3[[#This Row],[Linewidth]]*(Table3[[#This Row],[Effect 3 Y]]-1)+2*AA$2</f>
        <v>3.36</v>
      </c>
      <c r="Y11" s="4"/>
      <c r="Z11" s="4"/>
      <c r="AA11" s="4"/>
      <c r="AB11" s="4"/>
      <c r="AC11" s="4"/>
    </row>
    <row r="12" spans="1:29" ht="60" x14ac:dyDescent="0.25">
      <c r="A12" s="4" t="s">
        <v>63</v>
      </c>
      <c r="B12" s="4" t="s">
        <v>6</v>
      </c>
      <c r="C12" s="4"/>
      <c r="D12" s="4">
        <v>1</v>
      </c>
      <c r="E12" s="5" t="s">
        <v>11</v>
      </c>
      <c r="F12" s="5" t="s">
        <v>142</v>
      </c>
      <c r="G12" s="4" t="s">
        <v>143</v>
      </c>
      <c r="H12" s="11">
        <v>5</v>
      </c>
      <c r="I12" s="4" t="s">
        <v>36</v>
      </c>
      <c r="J12" s="4" t="s">
        <v>230</v>
      </c>
      <c r="K12" s="4" t="s">
        <v>149</v>
      </c>
      <c r="L12" s="4"/>
      <c r="M12" s="4"/>
      <c r="N12" s="4"/>
      <c r="O12" s="4"/>
      <c r="P12" s="7">
        <f>Table3[[#This Row],[E1Y]]+AC$2</f>
        <v>2.36</v>
      </c>
      <c r="Q12" s="7">
        <f>Table3[[#This Row],[E1TY]]+AB$2</f>
        <v>2.2399999999999998</v>
      </c>
      <c r="R12" s="7">
        <f>Y$2+Z$2*(Table3[[#This Row],[Effect 1 Y]]-1)</f>
        <v>2.96</v>
      </c>
      <c r="S12" s="7">
        <f>Table3[[#This Row],[E2Y]]+AC$2</f>
        <v>2.56</v>
      </c>
      <c r="T12" s="7">
        <f>Table3[[#This Row],[E2TY]]+AB$2</f>
        <v>2.44</v>
      </c>
      <c r="U12" s="7">
        <f>Y$2+Table3[[#This Row],[Linewidth]]*(Table3[[#This Row],[Effect 2 Y]]-1)+AA$2</f>
        <v>3.16</v>
      </c>
      <c r="V12" s="7">
        <f>Table3[[#This Row],[E3Y]]+AC$2</f>
        <v>2.76</v>
      </c>
      <c r="W12" s="7">
        <f>Table3[[#This Row],[E3TY]]+AB$2</f>
        <v>2.6399999999999997</v>
      </c>
      <c r="X12" s="6">
        <f>Y$2+Table3[[#This Row],[Linewidth]]*(Table3[[#This Row],[Effect 3 Y]]-1)+2*AA$2</f>
        <v>3.36</v>
      </c>
      <c r="Y12" s="4"/>
      <c r="Z12" s="4"/>
      <c r="AA12" s="4"/>
      <c r="AB12" s="4"/>
      <c r="AC12" s="4"/>
    </row>
    <row r="13" spans="1:29" ht="30" x14ac:dyDescent="0.25">
      <c r="A13" s="4" t="s">
        <v>64</v>
      </c>
      <c r="B13" s="4" t="s">
        <v>6</v>
      </c>
      <c r="C13" s="4"/>
      <c r="D13" s="4">
        <v>1</v>
      </c>
      <c r="E13" s="5" t="s">
        <v>34</v>
      </c>
      <c r="F13" s="5" t="s">
        <v>144</v>
      </c>
      <c r="G13" s="13" t="s">
        <v>161</v>
      </c>
      <c r="H13" s="4">
        <v>3</v>
      </c>
      <c r="I13" s="4" t="s">
        <v>11</v>
      </c>
      <c r="J13" s="4" t="s">
        <v>151</v>
      </c>
      <c r="K13" s="4" t="s">
        <v>150</v>
      </c>
      <c r="L13" s="4"/>
      <c r="M13" s="4"/>
      <c r="N13" s="4"/>
      <c r="O13" s="4"/>
      <c r="P13" s="7">
        <f>Table3[[#This Row],[E1Y]]+AC$2</f>
        <v>2.36</v>
      </c>
      <c r="Q13" s="7">
        <f>Table3[[#This Row],[E1TY]]+AB$2</f>
        <v>2.2399999999999998</v>
      </c>
      <c r="R13" s="7">
        <f>Y$2+Z$2*(Table3[[#This Row],[Effect 1 Y]]-1)</f>
        <v>2.96</v>
      </c>
      <c r="S13" s="7">
        <f>Table3[[#This Row],[E2Y]]+AC$2</f>
        <v>2.56</v>
      </c>
      <c r="T13" s="7">
        <f>Table3[[#This Row],[E2TY]]+AB$2</f>
        <v>2.44</v>
      </c>
      <c r="U13" s="7">
        <f>Y$2+Table3[[#This Row],[Linewidth]]*(Table3[[#This Row],[Effect 2 Y]]-1)+AA$2</f>
        <v>3.16</v>
      </c>
      <c r="V13" s="7">
        <f>Table3[[#This Row],[E3Y]]+AC$2</f>
        <v>2.76</v>
      </c>
      <c r="W13" s="7">
        <f>Table3[[#This Row],[E3TY]]+AB$2</f>
        <v>2.6399999999999997</v>
      </c>
      <c r="X13" s="6">
        <f>Y$2+Table3[[#This Row],[Linewidth]]*(Table3[[#This Row],[Effect 3 Y]]-1)+2*AA$2</f>
        <v>3.36</v>
      </c>
      <c r="Y13" s="4"/>
      <c r="Z13" s="4"/>
      <c r="AA13" s="4"/>
      <c r="AB13" s="4"/>
      <c r="AC13" s="4"/>
    </row>
    <row r="14" spans="1:29" ht="30" x14ac:dyDescent="0.25">
      <c r="A14" s="4" t="s">
        <v>65</v>
      </c>
      <c r="B14" s="4" t="s">
        <v>6</v>
      </c>
      <c r="C14" s="4"/>
      <c r="D14" s="4">
        <v>1</v>
      </c>
      <c r="E14" s="5" t="s">
        <v>34</v>
      </c>
      <c r="F14" s="5" t="s">
        <v>145</v>
      </c>
      <c r="G14" s="4" t="s">
        <v>190</v>
      </c>
      <c r="H14" s="11">
        <v>3</v>
      </c>
      <c r="I14" s="4" t="s">
        <v>11</v>
      </c>
      <c r="J14" s="4" t="s">
        <v>153</v>
      </c>
      <c r="K14" s="4" t="s">
        <v>152</v>
      </c>
      <c r="L14" s="4">
        <v>9.5</v>
      </c>
      <c r="M14" s="4" t="s">
        <v>176</v>
      </c>
      <c r="N14" s="4" t="s">
        <v>187</v>
      </c>
      <c r="O14" s="4" t="s">
        <v>191</v>
      </c>
      <c r="P14" s="7">
        <f>Table3[[#This Row],[E1Y]]+AC$2</f>
        <v>2.36</v>
      </c>
      <c r="Q14" s="7">
        <f>Table3[[#This Row],[E1TY]]+AB$2</f>
        <v>2.2399999999999998</v>
      </c>
      <c r="R14" s="7">
        <f>Y$2+Z$2*(Table3[[#This Row],[Effect 1 Y]]-1)</f>
        <v>2.96</v>
      </c>
      <c r="S14" s="7">
        <f>Table3[[#This Row],[E2Y]]+AC$2</f>
        <v>2.56</v>
      </c>
      <c r="T14" s="7">
        <f>Table3[[#This Row],[E2TY]]+AB$2</f>
        <v>2.44</v>
      </c>
      <c r="U14" s="7">
        <f>Y$2+Table3[[#This Row],[Linewidth]]*(Table3[[#This Row],[Effect 2 Y]]-1)+AA$2</f>
        <v>3.16</v>
      </c>
      <c r="V14" s="7">
        <f>Table3[[#This Row],[E3Y]]+AC$2</f>
        <v>2.76</v>
      </c>
      <c r="W14" s="7">
        <f>Table3[[#This Row],[E3TY]]+AB$2</f>
        <v>2.6399999999999997</v>
      </c>
      <c r="X14" s="6">
        <f>Y$2+Table3[[#This Row],[Linewidth]]*(Table3[[#This Row],[Effect 3 Y]]-1)+2*AA$2</f>
        <v>3.36</v>
      </c>
      <c r="Y14" s="4"/>
      <c r="Z14" s="4"/>
      <c r="AA14" s="4"/>
      <c r="AB14" s="4"/>
      <c r="AC14" s="4"/>
    </row>
    <row r="15" spans="1:29" ht="45" x14ac:dyDescent="0.25">
      <c r="A15" s="4" t="s">
        <v>66</v>
      </c>
      <c r="B15" s="4" t="s">
        <v>6</v>
      </c>
      <c r="C15" s="4"/>
      <c r="D15" s="4">
        <v>1</v>
      </c>
      <c r="E15" s="5" t="s">
        <v>34</v>
      </c>
      <c r="F15" s="5" t="s">
        <v>146</v>
      </c>
      <c r="G15" s="4" t="s">
        <v>182</v>
      </c>
      <c r="H15" s="4">
        <v>3</v>
      </c>
      <c r="I15" s="4" t="s">
        <v>11</v>
      </c>
      <c r="J15" s="4" t="s">
        <v>155</v>
      </c>
      <c r="K15" s="4" t="s">
        <v>154</v>
      </c>
      <c r="L15" s="4">
        <v>9.5</v>
      </c>
      <c r="M15" s="4" t="s">
        <v>176</v>
      </c>
      <c r="N15" s="4" t="s">
        <v>187</v>
      </c>
      <c r="O15" s="4" t="s">
        <v>192</v>
      </c>
      <c r="P15" s="7">
        <f>Table3[[#This Row],[E1Y]]+AC$2</f>
        <v>2.36</v>
      </c>
      <c r="Q15" s="7">
        <f>Table3[[#This Row],[E1TY]]+AB$2</f>
        <v>2.2399999999999998</v>
      </c>
      <c r="R15" s="7">
        <f>Y$2+Z$2*(Table3[[#This Row],[Effect 1 Y]]-1)</f>
        <v>2.96</v>
      </c>
      <c r="S15" s="7">
        <f>Table3[[#This Row],[E2Y]]+AC$2</f>
        <v>2.56</v>
      </c>
      <c r="T15" s="7">
        <f>Table3[[#This Row],[E2TY]]+AB$2</f>
        <v>2.44</v>
      </c>
      <c r="U15" s="7">
        <f>Y$2+Table3[[#This Row],[Linewidth]]*(Table3[[#This Row],[Effect 2 Y]]-1)+AA$2</f>
        <v>3.16</v>
      </c>
      <c r="V15" s="7">
        <f>Table3[[#This Row],[E3Y]]+AC$2</f>
        <v>2.76</v>
      </c>
      <c r="W15" s="7">
        <f>Table3[[#This Row],[E3TY]]+AB$2</f>
        <v>2.6399999999999997</v>
      </c>
      <c r="X15" s="6">
        <f>Y$2+Table3[[#This Row],[Linewidth]]*(Table3[[#This Row],[Effect 3 Y]]-1)+2*AA$2</f>
        <v>3.36</v>
      </c>
      <c r="Y15" s="4"/>
      <c r="Z15" s="4"/>
      <c r="AA15" s="4"/>
      <c r="AB15" s="4"/>
      <c r="AC15" s="4"/>
    </row>
    <row r="16" spans="1:29" ht="30" x14ac:dyDescent="0.25">
      <c r="A16" s="4" t="s">
        <v>67</v>
      </c>
      <c r="B16" s="4" t="s">
        <v>6</v>
      </c>
      <c r="C16" s="4"/>
      <c r="D16" s="4">
        <v>1</v>
      </c>
      <c r="E16" s="5" t="s">
        <v>57</v>
      </c>
      <c r="F16" s="5" t="s">
        <v>147</v>
      </c>
      <c r="G16" s="4" t="s">
        <v>148</v>
      </c>
      <c r="H16" s="4"/>
      <c r="I16" s="4"/>
      <c r="J16" s="4"/>
      <c r="K16" s="4"/>
      <c r="L16" s="4"/>
      <c r="M16" s="4"/>
      <c r="N16" s="4"/>
      <c r="O16" s="4"/>
      <c r="P16" s="7">
        <f>Table3[[#This Row],[E1Y]]+AC$2</f>
        <v>2.36</v>
      </c>
      <c r="Q16" s="7">
        <f>Table3[[#This Row],[E1TY]]+AB$2</f>
        <v>2.2399999999999998</v>
      </c>
      <c r="R16" s="7">
        <f>Y$2+Z$2*(Table3[[#This Row],[Effect 1 Y]]-1)</f>
        <v>2.96</v>
      </c>
      <c r="S16" s="7">
        <f>Table3[[#This Row],[E2Y]]+AC$2</f>
        <v>2.56</v>
      </c>
      <c r="T16" s="7">
        <f>Table3[[#This Row],[E2TY]]+AB$2</f>
        <v>2.44</v>
      </c>
      <c r="U16" s="7">
        <f>Y$2+Table3[[#This Row],[Linewidth]]*(Table3[[#This Row],[Effect 2 Y]]-1)+AA$2</f>
        <v>3.16</v>
      </c>
      <c r="V16" s="7">
        <f>Table3[[#This Row],[E3Y]]+AC$2</f>
        <v>2.76</v>
      </c>
      <c r="W16" s="7">
        <f>Table3[[#This Row],[E3TY]]+AB$2</f>
        <v>2.6399999999999997</v>
      </c>
      <c r="X16" s="6">
        <f>Y$2+Table3[[#This Row],[Linewidth]]*(Table3[[#This Row],[Effect 3 Y]]-1)+2*AA$2</f>
        <v>3.36</v>
      </c>
      <c r="Y16" s="4"/>
      <c r="Z16" s="4"/>
      <c r="AA16" s="4"/>
      <c r="AB16" s="4"/>
      <c r="AC16" s="4"/>
    </row>
    <row r="17" spans="1:29" ht="90" x14ac:dyDescent="0.25">
      <c r="A17" s="4" t="s">
        <v>68</v>
      </c>
      <c r="B17" s="4" t="s">
        <v>6</v>
      </c>
      <c r="C17" s="4" t="s">
        <v>203</v>
      </c>
      <c r="D17" s="4">
        <v>1</v>
      </c>
      <c r="E17" s="5" t="s">
        <v>11</v>
      </c>
      <c r="F17" s="5" t="s">
        <v>157</v>
      </c>
      <c r="G17" s="4" t="s">
        <v>156</v>
      </c>
      <c r="H17" s="4">
        <v>4</v>
      </c>
      <c r="I17" s="4" t="s">
        <v>57</v>
      </c>
      <c r="J17" s="4" t="s">
        <v>158</v>
      </c>
      <c r="K17" s="4" t="s">
        <v>159</v>
      </c>
      <c r="L17" s="4"/>
      <c r="M17" s="4"/>
      <c r="N17" s="4"/>
      <c r="O17" s="4"/>
      <c r="P17" s="7">
        <f>Table3[[#This Row],[E1Y]]+AC$2</f>
        <v>2.36</v>
      </c>
      <c r="Q17" s="7">
        <f>Table3[[#This Row],[E1TY]]+AB$2</f>
        <v>2.2399999999999998</v>
      </c>
      <c r="R17" s="7">
        <f>Y$2+Z$2*(Table3[[#This Row],[Effect 1 Y]]-1)</f>
        <v>2.96</v>
      </c>
      <c r="S17" s="7">
        <f>Table3[[#This Row],[E2Y]]+AC$2</f>
        <v>2.56</v>
      </c>
      <c r="T17" s="7">
        <f>Table3[[#This Row],[E2TY]]+AB$2</f>
        <v>2.44</v>
      </c>
      <c r="U17" s="7">
        <f>Y$2+Table3[[#This Row],[Linewidth]]*(Table3[[#This Row],[Effect 2 Y]]-1)+AA$2</f>
        <v>3.16</v>
      </c>
      <c r="V17" s="7">
        <f>Table3[[#This Row],[E3Y]]+AC$2</f>
        <v>2.76</v>
      </c>
      <c r="W17" s="7">
        <f>Table3[[#This Row],[E3TY]]+AB$2</f>
        <v>2.6399999999999997</v>
      </c>
      <c r="X17" s="6">
        <f>Y$2+Table3[[#This Row],[Linewidth]]*(Table3[[#This Row],[Effect 3 Y]]-1)+2*AA$2</f>
        <v>3.36</v>
      </c>
      <c r="Y17" s="4"/>
      <c r="Z17" s="4"/>
      <c r="AA17" s="4"/>
      <c r="AB17" s="4"/>
      <c r="AC17" s="4"/>
    </row>
    <row r="18" spans="1:29" ht="30" x14ac:dyDescent="0.25">
      <c r="A18" s="4" t="s">
        <v>69</v>
      </c>
      <c r="B18" s="4" t="s">
        <v>6</v>
      </c>
      <c r="C18" s="4"/>
      <c r="D18" s="4">
        <v>1</v>
      </c>
      <c r="E18" s="5" t="s">
        <v>34</v>
      </c>
      <c r="F18" s="5" t="s">
        <v>160</v>
      </c>
      <c r="G18" s="4" t="s">
        <v>193</v>
      </c>
      <c r="H18" s="11">
        <v>9.5</v>
      </c>
      <c r="I18" s="4" t="s">
        <v>176</v>
      </c>
      <c r="J18" s="4" t="s">
        <v>187</v>
      </c>
      <c r="K18" s="4" t="s">
        <v>194</v>
      </c>
      <c r="L18" s="4"/>
      <c r="M18" s="4"/>
      <c r="N18" s="4"/>
      <c r="O18" s="4"/>
      <c r="P18" s="7">
        <f>Table3[[#This Row],[E1Y]]+AC$2</f>
        <v>2.36</v>
      </c>
      <c r="Q18" s="7">
        <f>Table3[[#This Row],[E1TY]]+AB$2</f>
        <v>2.2399999999999998</v>
      </c>
      <c r="R18" s="7">
        <f>Y$2+Z$2*(Table3[[#This Row],[Effect 1 Y]]-1)</f>
        <v>2.96</v>
      </c>
      <c r="S18" s="7">
        <f>Table3[[#This Row],[E2Y]]+AC$2</f>
        <v>2.56</v>
      </c>
      <c r="T18" s="7">
        <f>Table3[[#This Row],[E2TY]]+AB$2</f>
        <v>2.44</v>
      </c>
      <c r="U18" s="7">
        <f>Y$2+Table3[[#This Row],[Linewidth]]*(Table3[[#This Row],[Effect 2 Y]]-1)+AA$2</f>
        <v>3.16</v>
      </c>
      <c r="V18" s="7">
        <f>Table3[[#This Row],[E3Y]]+AC$2</f>
        <v>2.76</v>
      </c>
      <c r="W18" s="7">
        <f>Table3[[#This Row],[E3TY]]+AB$2</f>
        <v>2.6399999999999997</v>
      </c>
      <c r="X18" s="6">
        <f>Y$2+Table3[[#This Row],[Linewidth]]*(Table3[[#This Row],[Effect 3 Y]]-1)+2*AA$2</f>
        <v>3.36</v>
      </c>
      <c r="Y18" s="4"/>
      <c r="Z18" s="4"/>
      <c r="AA18" s="4"/>
      <c r="AB18" s="4"/>
      <c r="AC18" s="4"/>
    </row>
    <row r="19" spans="1:29" ht="30" x14ac:dyDescent="0.25">
      <c r="A19" s="4" t="s">
        <v>70</v>
      </c>
      <c r="B19" s="4" t="s">
        <v>6</v>
      </c>
      <c r="C19" s="4"/>
      <c r="D19" s="4">
        <v>1</v>
      </c>
      <c r="E19" s="5" t="s">
        <v>34</v>
      </c>
      <c r="F19" s="5" t="s">
        <v>162</v>
      </c>
      <c r="G19" s="13" t="s">
        <v>167</v>
      </c>
      <c r="H19" s="4">
        <v>3</v>
      </c>
      <c r="I19" s="4" t="s">
        <v>34</v>
      </c>
      <c r="J19" s="4" t="s">
        <v>164</v>
      </c>
      <c r="K19" s="13" t="s">
        <v>163</v>
      </c>
      <c r="L19" s="4"/>
      <c r="M19" s="4"/>
      <c r="N19" s="4"/>
      <c r="O19" s="4"/>
      <c r="P19" s="7">
        <f>Table3[[#This Row],[E1Y]]+AC$2</f>
        <v>2.36</v>
      </c>
      <c r="Q19" s="7">
        <f>Table3[[#This Row],[E1TY]]+AB$2</f>
        <v>2.2399999999999998</v>
      </c>
      <c r="R19" s="7">
        <f>Y$2+Z$2*(Table3[[#This Row],[Effect 1 Y]]-1)</f>
        <v>2.96</v>
      </c>
      <c r="S19" s="7">
        <f>Table3[[#This Row],[E2Y]]+AC$2</f>
        <v>2.56</v>
      </c>
      <c r="T19" s="7">
        <f>Table3[[#This Row],[E2TY]]+AB$2</f>
        <v>2.44</v>
      </c>
      <c r="U19" s="7">
        <f>Y$2+Table3[[#This Row],[Linewidth]]*(Table3[[#This Row],[Effect 2 Y]]-1)+AA$2</f>
        <v>3.16</v>
      </c>
      <c r="V19" s="7">
        <f>Table3[[#This Row],[E3Y]]+AC$2</f>
        <v>2.76</v>
      </c>
      <c r="W19" s="7">
        <f>Table3[[#This Row],[E3TY]]+AB$2</f>
        <v>2.6399999999999997</v>
      </c>
      <c r="X19" s="6">
        <f>Y$2+Table3[[#This Row],[Linewidth]]*(Table3[[#This Row],[Effect 3 Y]]-1)+2*AA$2</f>
        <v>3.36</v>
      </c>
      <c r="Y19" s="4"/>
      <c r="Z19" s="4"/>
      <c r="AA19" s="4"/>
      <c r="AB19" s="4"/>
      <c r="AC19" s="4"/>
    </row>
    <row r="20" spans="1:29" ht="60" x14ac:dyDescent="0.25">
      <c r="A20" s="11" t="s">
        <v>71</v>
      </c>
      <c r="B20" s="11" t="s">
        <v>6</v>
      </c>
      <c r="C20" s="11"/>
      <c r="D20" s="4">
        <v>1</v>
      </c>
      <c r="E20" s="5" t="s">
        <v>34</v>
      </c>
      <c r="F20" s="5" t="s">
        <v>165</v>
      </c>
      <c r="G20" s="11" t="s">
        <v>171</v>
      </c>
      <c r="H20" s="4"/>
      <c r="I20" s="4"/>
      <c r="J20" s="4"/>
      <c r="K20" s="11"/>
      <c r="L20" s="4"/>
      <c r="M20" s="4"/>
      <c r="N20" s="4"/>
      <c r="O20" s="11"/>
      <c r="P20" s="7">
        <f>Table3[[#This Row],[E1Y]]+AC$2</f>
        <v>2.36</v>
      </c>
      <c r="Q20" s="7">
        <f>Table3[[#This Row],[E1TY]]+AB$2</f>
        <v>2.2399999999999998</v>
      </c>
      <c r="R20" s="7">
        <f>Y$2+Z$2*(Table3[[#This Row],[Effect 1 Y]]-1)</f>
        <v>2.96</v>
      </c>
      <c r="S20" s="7">
        <f>Table3[[#This Row],[E2Y]]+AC$2</f>
        <v>2.56</v>
      </c>
      <c r="T20" s="7">
        <f>Table3[[#This Row],[E2TY]]+AB$2</f>
        <v>2.44</v>
      </c>
      <c r="U20" s="7">
        <f>Y$2+Table3[[#This Row],[Linewidth]]*(Table3[[#This Row],[Effect 2 Y]]-1)+AA$2</f>
        <v>3.16</v>
      </c>
      <c r="V20" s="7">
        <f>Table3[[#This Row],[E3Y]]+AC$2</f>
        <v>2.76</v>
      </c>
      <c r="W20" s="7">
        <f>Table3[[#This Row],[E3TY]]+AB$2</f>
        <v>2.6399999999999997</v>
      </c>
      <c r="X20" s="6">
        <f>Y$2+Table3[[#This Row],[Linewidth]]*(Table3[[#This Row],[Effect 3 Y]]-1)+2*AA$2</f>
        <v>3.36</v>
      </c>
      <c r="Y20" s="4"/>
      <c r="Z20" s="4"/>
      <c r="AA20" s="4"/>
      <c r="AB20" s="4"/>
      <c r="AC20" s="4"/>
    </row>
    <row r="21" spans="1:29" ht="75" x14ac:dyDescent="0.25">
      <c r="A21" s="4" t="s">
        <v>72</v>
      </c>
      <c r="B21" s="4" t="s">
        <v>6</v>
      </c>
      <c r="C21" s="4"/>
      <c r="D21" s="4">
        <v>1</v>
      </c>
      <c r="E21" s="5" t="s">
        <v>34</v>
      </c>
      <c r="F21" s="5" t="s">
        <v>166</v>
      </c>
      <c r="G21" s="12" t="s">
        <v>172</v>
      </c>
      <c r="H21" s="4">
        <v>8.5</v>
      </c>
      <c r="I21" s="4" t="s">
        <v>34</v>
      </c>
      <c r="J21" s="4" t="s">
        <v>169</v>
      </c>
      <c r="K21" s="12" t="s">
        <v>168</v>
      </c>
      <c r="L21" s="4"/>
      <c r="M21" s="4"/>
      <c r="N21" s="4"/>
      <c r="O21" s="4"/>
      <c r="P21" s="7">
        <f>Table3[[#This Row],[E1Y]]+AC$2</f>
        <v>2.36</v>
      </c>
      <c r="Q21" s="7">
        <f>Table3[[#This Row],[E1TY]]+AB$2</f>
        <v>2.2399999999999998</v>
      </c>
      <c r="R21" s="7">
        <f>Y$2+Z$2*(Table3[[#This Row],[Effect 1 Y]]-1)</f>
        <v>2.96</v>
      </c>
      <c r="S21" s="7">
        <f>Table3[[#This Row],[E2Y]]+AC$2</f>
        <v>2.56</v>
      </c>
      <c r="T21" s="7">
        <f>Table3[[#This Row],[E2TY]]+AB$2</f>
        <v>2.44</v>
      </c>
      <c r="U21" s="7">
        <f>Y$2+Table3[[#This Row],[Linewidth]]*(Table3[[#This Row],[Effect 2 Y]]-1)+AA$2</f>
        <v>3.16</v>
      </c>
      <c r="V21" s="7">
        <f>Table3[[#This Row],[E3Y]]+AC$2</f>
        <v>2.76</v>
      </c>
      <c r="W21" s="7">
        <f>Table3[[#This Row],[E3TY]]+AB$2</f>
        <v>2.6399999999999997</v>
      </c>
      <c r="X21" s="6">
        <f>Y$2+Table3[[#This Row],[Linewidth]]*(Table3[[#This Row],[Effect 3 Y]]-1)+2*AA$2</f>
        <v>3.36</v>
      </c>
      <c r="Y21" s="4"/>
      <c r="Z21" s="4"/>
      <c r="AA21" s="4"/>
      <c r="AB21" s="4"/>
      <c r="AC21" s="4"/>
    </row>
    <row r="22" spans="1:29" ht="30" x14ac:dyDescent="0.25">
      <c r="A22" s="4" t="s">
        <v>73</v>
      </c>
      <c r="B22" s="4" t="s">
        <v>6</v>
      </c>
      <c r="C22" s="11"/>
      <c r="D22" s="4">
        <v>1</v>
      </c>
      <c r="E22" s="5" t="s">
        <v>34</v>
      </c>
      <c r="F22" s="5" t="s">
        <v>170</v>
      </c>
      <c r="G22" s="4" t="s">
        <v>167</v>
      </c>
      <c r="H22" s="4">
        <v>3</v>
      </c>
      <c r="I22" s="4" t="s">
        <v>11</v>
      </c>
      <c r="J22" s="4" t="s">
        <v>174</v>
      </c>
      <c r="K22" s="4" t="s">
        <v>173</v>
      </c>
      <c r="L22" s="4"/>
      <c r="M22" s="4"/>
      <c r="N22" s="4"/>
      <c r="O22" s="11"/>
      <c r="P22" s="7">
        <f>Table3[[#This Row],[E1Y]]+AC$2</f>
        <v>2.36</v>
      </c>
      <c r="Q22" s="7">
        <f>Table3[[#This Row],[E1TY]]+AB$2</f>
        <v>2.2399999999999998</v>
      </c>
      <c r="R22" s="7">
        <f>Y$2+Z$2*(Table3[[#This Row],[Effect 1 Y]]-1)</f>
        <v>2.96</v>
      </c>
      <c r="S22" s="7">
        <f>Table3[[#This Row],[E2Y]]+AC$2</f>
        <v>2.56</v>
      </c>
      <c r="T22" s="7">
        <f>Table3[[#This Row],[E2TY]]+AB$2</f>
        <v>2.44</v>
      </c>
      <c r="U22" s="7">
        <f>Y$2+Table3[[#This Row],[Linewidth]]*(Table3[[#This Row],[Effect 2 Y]]-1)+AA$2</f>
        <v>3.16</v>
      </c>
      <c r="V22" s="7">
        <f>Table3[[#This Row],[E3Y]]+AC$2</f>
        <v>2.76</v>
      </c>
      <c r="W22" s="7">
        <f>Table3[[#This Row],[E3TY]]+AB$2</f>
        <v>2.6399999999999997</v>
      </c>
      <c r="X22" s="6">
        <f>Y$2+Table3[[#This Row],[Linewidth]]*(Table3[[#This Row],[Effect 3 Y]]-1)+2*AA$2</f>
        <v>3.36</v>
      </c>
      <c r="Y22" s="4"/>
      <c r="Z22" s="4"/>
      <c r="AA22" s="4"/>
      <c r="AB22" s="4"/>
      <c r="AC22" s="4"/>
    </row>
    <row r="23" spans="1:29" ht="60" x14ac:dyDescent="0.25">
      <c r="A23" s="4" t="s">
        <v>74</v>
      </c>
      <c r="B23" s="4" t="s">
        <v>6</v>
      </c>
      <c r="C23" s="4"/>
      <c r="D23" s="4">
        <v>1</v>
      </c>
      <c r="E23" s="5" t="s">
        <v>34</v>
      </c>
      <c r="F23" s="5" t="s">
        <v>180</v>
      </c>
      <c r="G23" s="4" t="s">
        <v>181</v>
      </c>
      <c r="H23" s="4">
        <v>3</v>
      </c>
      <c r="I23" s="4" t="s">
        <v>34</v>
      </c>
      <c r="J23" s="4" t="s">
        <v>178</v>
      </c>
      <c r="K23" s="4" t="s">
        <v>179</v>
      </c>
      <c r="L23" s="4"/>
      <c r="M23" s="4"/>
      <c r="N23" s="4"/>
      <c r="O23" s="4"/>
      <c r="P23" s="7">
        <f>Table3[[#This Row],[E1Y]]+AC$2</f>
        <v>2.36</v>
      </c>
      <c r="Q23" s="7">
        <f>Table3[[#This Row],[E1TY]]+AB$2</f>
        <v>2.2399999999999998</v>
      </c>
      <c r="R23" s="7">
        <f>Y$2+Z$2*(Table3[[#This Row],[Effect 1 Y]]-1)</f>
        <v>2.96</v>
      </c>
      <c r="S23" s="7">
        <f>Table3[[#This Row],[E2Y]]+AC$2</f>
        <v>2.56</v>
      </c>
      <c r="T23" s="7">
        <f>Table3[[#This Row],[E2TY]]+AB$2</f>
        <v>2.44</v>
      </c>
      <c r="U23" s="7">
        <f>Y$2+Table3[[#This Row],[Linewidth]]*(Table3[[#This Row],[Effect 2 Y]]-1)+AA$2</f>
        <v>3.16</v>
      </c>
      <c r="V23" s="7">
        <f>Table3[[#This Row],[E3Y]]+AC$2</f>
        <v>2.76</v>
      </c>
      <c r="W23" s="7">
        <f>Table3[[#This Row],[E3TY]]+AB$2</f>
        <v>2.6399999999999997</v>
      </c>
      <c r="X23" s="6">
        <f>Y$2+Table3[[#This Row],[Linewidth]]*(Table3[[#This Row],[Effect 3 Y]]-1)+2*AA$2</f>
        <v>3.36</v>
      </c>
      <c r="Y23" s="4"/>
      <c r="Z23" s="4"/>
      <c r="AA23" s="4"/>
      <c r="AB23" s="4"/>
      <c r="AC23" s="4"/>
    </row>
    <row r="24" spans="1:29" ht="45" x14ac:dyDescent="0.25">
      <c r="A24" s="4" t="s">
        <v>75</v>
      </c>
      <c r="B24" s="4" t="s">
        <v>6</v>
      </c>
      <c r="C24" s="4"/>
      <c r="D24" s="4">
        <v>1</v>
      </c>
      <c r="E24" s="5" t="s">
        <v>34</v>
      </c>
      <c r="F24" s="5" t="s">
        <v>195</v>
      </c>
      <c r="G24" s="4" t="s">
        <v>196</v>
      </c>
      <c r="H24" s="4">
        <v>3</v>
      </c>
      <c r="I24" s="4" t="s">
        <v>57</v>
      </c>
      <c r="J24" s="4" t="s">
        <v>198</v>
      </c>
      <c r="K24" s="4" t="s">
        <v>197</v>
      </c>
      <c r="L24" s="4"/>
      <c r="M24" s="4"/>
      <c r="N24" s="4"/>
      <c r="O24" s="4"/>
      <c r="P24" s="7">
        <f>Table3[[#This Row],[E1Y]]+AC$2</f>
        <v>2.36</v>
      </c>
      <c r="Q24" s="7">
        <f>Table3[[#This Row],[E1TY]]+AB$2</f>
        <v>2.2399999999999998</v>
      </c>
      <c r="R24" s="7">
        <f>Y$2+Z$2*(Table3[[#This Row],[Effect 1 Y]]-1)</f>
        <v>2.96</v>
      </c>
      <c r="S24" s="7">
        <f>Table3[[#This Row],[E2Y]]+AC$2</f>
        <v>2.56</v>
      </c>
      <c r="T24" s="7">
        <f>Table3[[#This Row],[E2TY]]+AB$2</f>
        <v>2.44</v>
      </c>
      <c r="U24" s="7">
        <f>Y$2+Table3[[#This Row],[Linewidth]]*(Table3[[#This Row],[Effect 2 Y]]-1)+AA$2</f>
        <v>3.16</v>
      </c>
      <c r="V24" s="7">
        <f>Table3[[#This Row],[E3Y]]+AC$2</f>
        <v>2.76</v>
      </c>
      <c r="W24" s="7">
        <f>Table3[[#This Row],[E3TY]]+AB$2</f>
        <v>2.6399999999999997</v>
      </c>
      <c r="X24" s="6">
        <f>Y$2+Table3[[#This Row],[Linewidth]]*(Table3[[#This Row],[Effect 3 Y]]-1)+2*AA$2</f>
        <v>3.36</v>
      </c>
      <c r="Y24" s="4"/>
      <c r="Z24" s="4"/>
      <c r="AA24" s="4"/>
      <c r="AB24" s="4"/>
      <c r="AC24" s="4"/>
    </row>
    <row r="25" spans="1:29" ht="105" x14ac:dyDescent="0.25">
      <c r="A25" s="4" t="s">
        <v>76</v>
      </c>
      <c r="B25" s="4" t="s">
        <v>6</v>
      </c>
      <c r="C25" s="4" t="s">
        <v>204</v>
      </c>
      <c r="D25" s="4">
        <v>1</v>
      </c>
      <c r="E25" s="5" t="s">
        <v>11</v>
      </c>
      <c r="F25" s="5" t="s">
        <v>200</v>
      </c>
      <c r="G25" s="4" t="s">
        <v>199</v>
      </c>
      <c r="H25" s="4">
        <v>5</v>
      </c>
      <c r="I25" s="4" t="s">
        <v>11</v>
      </c>
      <c r="J25" s="4" t="s">
        <v>202</v>
      </c>
      <c r="K25" s="4" t="s">
        <v>201</v>
      </c>
      <c r="L25" s="4"/>
      <c r="M25" s="4"/>
      <c r="N25" s="4"/>
      <c r="O25" s="4"/>
      <c r="P25" s="7">
        <f>Table3[[#This Row],[E1Y]]+AC$2</f>
        <v>2.36</v>
      </c>
      <c r="Q25" s="7">
        <f>Table3[[#This Row],[E1TY]]+AB$2</f>
        <v>2.2399999999999998</v>
      </c>
      <c r="R25" s="7">
        <f>Y$2+Z$2*(Table3[[#This Row],[Effect 1 Y]]-1)</f>
        <v>2.96</v>
      </c>
      <c r="S25" s="7">
        <f>Table3[[#This Row],[E2Y]]+AC$2</f>
        <v>2.56</v>
      </c>
      <c r="T25" s="7">
        <f>Table3[[#This Row],[E2TY]]+AB$2</f>
        <v>2.44</v>
      </c>
      <c r="U25" s="7">
        <f>Y$2+Table3[[#This Row],[Linewidth]]*(Table3[[#This Row],[Effect 2 Y]]-1)+AA$2</f>
        <v>3.16</v>
      </c>
      <c r="V25" s="7">
        <f>Table3[[#This Row],[E3Y]]+AC$2</f>
        <v>2.76</v>
      </c>
      <c r="W25" s="7">
        <f>Table3[[#This Row],[E3TY]]+AB$2</f>
        <v>2.6399999999999997</v>
      </c>
      <c r="X25" s="6">
        <f>Y$2+Table3[[#This Row],[Linewidth]]*(Table3[[#This Row],[Effect 3 Y]]-1)+2*AA$2</f>
        <v>3.36</v>
      </c>
      <c r="Y25" s="4"/>
      <c r="Z25" s="4"/>
      <c r="AA25" s="4"/>
      <c r="AB25" s="4"/>
      <c r="AC25" s="4"/>
    </row>
    <row r="26" spans="1:29" ht="45" x14ac:dyDescent="0.25">
      <c r="A26" s="11" t="s">
        <v>77</v>
      </c>
      <c r="B26" s="4" t="s">
        <v>6</v>
      </c>
      <c r="C26" s="11"/>
      <c r="D26" s="4">
        <v>1</v>
      </c>
      <c r="E26" s="5" t="s">
        <v>34</v>
      </c>
      <c r="F26" s="5" t="s">
        <v>206</v>
      </c>
      <c r="G26" s="11" t="s">
        <v>184</v>
      </c>
      <c r="H26" s="4">
        <v>3</v>
      </c>
      <c r="I26" s="4" t="s">
        <v>36</v>
      </c>
      <c r="J26" s="4" t="s">
        <v>231</v>
      </c>
      <c r="K26" s="11" t="s">
        <v>207</v>
      </c>
      <c r="L26" s="4"/>
      <c r="M26" s="4"/>
      <c r="N26" s="4"/>
      <c r="O26" s="11"/>
      <c r="P26" s="7">
        <f>Table3[[#This Row],[E1Y]]+AC$2</f>
        <v>2.36</v>
      </c>
      <c r="Q26" s="7">
        <f>Table3[[#This Row],[E1TY]]+AB$2</f>
        <v>2.2399999999999998</v>
      </c>
      <c r="R26" s="7">
        <f>Y$2+Z$2*(Table3[[#This Row],[Effect 1 Y]]-1)</f>
        <v>2.96</v>
      </c>
      <c r="S26" s="7">
        <f>Table3[[#This Row],[E2Y]]+AC$2</f>
        <v>2.56</v>
      </c>
      <c r="T26" s="7">
        <f>Table3[[#This Row],[E2TY]]+AB$2</f>
        <v>2.44</v>
      </c>
      <c r="U26" s="7">
        <f>Y$2+Table3[[#This Row],[Linewidth]]*(Table3[[#This Row],[Effect 2 Y]]-1)+AA$2</f>
        <v>3.16</v>
      </c>
      <c r="V26" s="7">
        <f>Table3[[#This Row],[E3Y]]+AC$2</f>
        <v>2.76</v>
      </c>
      <c r="W26" s="7">
        <f>Table3[[#This Row],[E3TY]]+AB$2</f>
        <v>2.6399999999999997</v>
      </c>
      <c r="X26" s="6">
        <f>Y$2+Table3[[#This Row],[Linewidth]]*(Table3[[#This Row],[Effect 3 Y]]-1)+2*AA$2</f>
        <v>3.36</v>
      </c>
      <c r="Y26" s="4"/>
      <c r="Z26" s="4"/>
      <c r="AA26" s="4"/>
      <c r="AB26" s="4"/>
      <c r="AC26" s="4"/>
    </row>
    <row r="27" spans="1:29" ht="45" x14ac:dyDescent="0.25">
      <c r="A27" s="4" t="s">
        <v>78</v>
      </c>
      <c r="B27" s="4" t="s">
        <v>6</v>
      </c>
      <c r="C27" s="4"/>
      <c r="D27" s="4">
        <v>1</v>
      </c>
      <c r="E27" s="5" t="s">
        <v>34</v>
      </c>
      <c r="F27" s="5" t="s">
        <v>209</v>
      </c>
      <c r="G27" s="4" t="s">
        <v>210</v>
      </c>
      <c r="H27" s="4">
        <v>5</v>
      </c>
      <c r="I27" s="4" t="s">
        <v>36</v>
      </c>
      <c r="J27" s="4" t="s">
        <v>232</v>
      </c>
      <c r="K27" s="4" t="s">
        <v>208</v>
      </c>
      <c r="L27" s="4"/>
      <c r="M27" s="4"/>
      <c r="N27" s="4"/>
      <c r="O27" s="4"/>
      <c r="P27" s="7">
        <f>Table3[[#This Row],[E1Y]]+AC$2</f>
        <v>2.36</v>
      </c>
      <c r="Q27" s="7">
        <f>Table3[[#This Row],[E1TY]]+AB$2</f>
        <v>2.2399999999999998</v>
      </c>
      <c r="R27" s="7">
        <f>Y$2+Z$2*(Table3[[#This Row],[Effect 1 Y]]-1)</f>
        <v>2.96</v>
      </c>
      <c r="S27" s="7">
        <f>Table3[[#This Row],[E2Y]]+AC$2</f>
        <v>2.56</v>
      </c>
      <c r="T27" s="7">
        <f>Table3[[#This Row],[E2TY]]+AB$2</f>
        <v>2.44</v>
      </c>
      <c r="U27" s="7">
        <f>Y$2+Table3[[#This Row],[Linewidth]]*(Table3[[#This Row],[Effect 2 Y]]-1)+AA$2</f>
        <v>3.16</v>
      </c>
      <c r="V27" s="7">
        <f>Table3[[#This Row],[E3Y]]+AC$2</f>
        <v>2.76</v>
      </c>
      <c r="W27" s="7">
        <f>Table3[[#This Row],[E3TY]]+AB$2</f>
        <v>2.6399999999999997</v>
      </c>
      <c r="X27" s="6">
        <f>Y$2+Table3[[#This Row],[Linewidth]]*(Table3[[#This Row],[Effect 3 Y]]-1)+2*AA$2</f>
        <v>3.36</v>
      </c>
      <c r="Y27" s="4"/>
      <c r="Z27" s="4"/>
      <c r="AA27" s="4"/>
      <c r="AB27" s="4"/>
      <c r="AC27" s="4"/>
    </row>
    <row r="28" spans="1:29" ht="30" x14ac:dyDescent="0.25">
      <c r="A28" s="4" t="s">
        <v>79</v>
      </c>
      <c r="B28" s="4" t="s">
        <v>6</v>
      </c>
      <c r="C28" s="4"/>
      <c r="D28" s="4">
        <v>1</v>
      </c>
      <c r="E28" s="5" t="s">
        <v>34</v>
      </c>
      <c r="F28" s="5" t="s">
        <v>211</v>
      </c>
      <c r="G28" s="4" t="s">
        <v>167</v>
      </c>
      <c r="H28" s="4">
        <v>10</v>
      </c>
      <c r="I28" s="4" t="s">
        <v>176</v>
      </c>
      <c r="J28" s="4" t="s">
        <v>187</v>
      </c>
      <c r="K28" s="4" t="s">
        <v>212</v>
      </c>
      <c r="L28" s="4"/>
      <c r="M28" s="4"/>
      <c r="N28" s="4"/>
      <c r="O28" s="4"/>
      <c r="P28" s="7">
        <f>Table3[[#This Row],[E1Y]]+AC$2</f>
        <v>2.36</v>
      </c>
      <c r="Q28" s="7">
        <f>Table3[[#This Row],[E1TY]]+AB$2</f>
        <v>2.2399999999999998</v>
      </c>
      <c r="R28" s="7">
        <f>Y$2+Z$2*(Table3[[#This Row],[Effect 1 Y]]-1)</f>
        <v>2.96</v>
      </c>
      <c r="S28" s="7">
        <f>Table3[[#This Row],[E2Y]]+AC$2</f>
        <v>2.56</v>
      </c>
      <c r="T28" s="7">
        <f>Table3[[#This Row],[E2TY]]+AB$2</f>
        <v>2.44</v>
      </c>
      <c r="U28" s="7">
        <f>Y$2+Table3[[#This Row],[Linewidth]]*(Table3[[#This Row],[Effect 2 Y]]-1)+AA$2</f>
        <v>3.16</v>
      </c>
      <c r="V28" s="7">
        <f>Table3[[#This Row],[E3Y]]+AC$2</f>
        <v>2.76</v>
      </c>
      <c r="W28" s="7">
        <f>Table3[[#This Row],[E3TY]]+AB$2</f>
        <v>2.6399999999999997</v>
      </c>
      <c r="X28" s="6">
        <f>Y$2+Table3[[#This Row],[Linewidth]]*(Table3[[#This Row],[Effect 3 Y]]-1)+2*AA$2</f>
        <v>3.36</v>
      </c>
      <c r="Y28" s="4"/>
      <c r="Z28" s="4"/>
      <c r="AA28" s="4"/>
      <c r="AB28" s="4"/>
      <c r="AC28" s="4"/>
    </row>
    <row r="29" spans="1:29" ht="45" x14ac:dyDescent="0.25">
      <c r="A29" s="4" t="s">
        <v>80</v>
      </c>
      <c r="B29" s="4" t="s">
        <v>6</v>
      </c>
      <c r="C29" s="4"/>
      <c r="D29" s="4">
        <v>1</v>
      </c>
      <c r="E29" s="5" t="s">
        <v>57</v>
      </c>
      <c r="F29" s="5" t="s">
        <v>214</v>
      </c>
      <c r="G29" s="4" t="s">
        <v>213</v>
      </c>
      <c r="H29" s="4">
        <v>6</v>
      </c>
      <c r="I29" s="4" t="s">
        <v>36</v>
      </c>
      <c r="J29" s="4" t="s">
        <v>216</v>
      </c>
      <c r="K29" s="4" t="s">
        <v>215</v>
      </c>
      <c r="L29" s="4"/>
      <c r="M29" s="4"/>
      <c r="N29" s="4"/>
      <c r="O29" s="4"/>
      <c r="P29" s="7">
        <f>Table3[[#This Row],[E1Y]]+AC$2</f>
        <v>2.36</v>
      </c>
      <c r="Q29" s="7">
        <f>Table3[[#This Row],[E1TY]]+AB$2</f>
        <v>2.2399999999999998</v>
      </c>
      <c r="R29" s="7">
        <f>Y$2+Z$2*(Table3[[#This Row],[Effect 1 Y]]-1)</f>
        <v>2.96</v>
      </c>
      <c r="S29" s="7">
        <f>Table3[[#This Row],[E2Y]]+AC$2</f>
        <v>2.56</v>
      </c>
      <c r="T29" s="7">
        <f>Table3[[#This Row],[E2TY]]+AB$2</f>
        <v>2.44</v>
      </c>
      <c r="U29" s="7">
        <f>Y$2+Table3[[#This Row],[Linewidth]]*(Table3[[#This Row],[Effect 2 Y]]-1)+AA$2</f>
        <v>3.16</v>
      </c>
      <c r="V29" s="7">
        <f>Table3[[#This Row],[E3Y]]+AC$2</f>
        <v>2.76</v>
      </c>
      <c r="W29" s="7">
        <f>Table3[[#This Row],[E3TY]]+AB$2</f>
        <v>2.6399999999999997</v>
      </c>
      <c r="X29" s="6">
        <f>Y$2+Table3[[#This Row],[Linewidth]]*(Table3[[#This Row],[Effect 3 Y]]-1)+2*AA$2</f>
        <v>3.36</v>
      </c>
      <c r="Y29" s="4"/>
      <c r="Z29" s="4"/>
      <c r="AA29" s="4"/>
      <c r="AB29" s="4"/>
      <c r="AC29" s="4"/>
    </row>
    <row r="30" spans="1:29" ht="30" x14ac:dyDescent="0.25">
      <c r="A30" s="4" t="s">
        <v>81</v>
      </c>
      <c r="B30" s="4" t="s">
        <v>6</v>
      </c>
      <c r="C30" s="4"/>
      <c r="D30" s="4">
        <v>1</v>
      </c>
      <c r="E30" s="5" t="s">
        <v>34</v>
      </c>
      <c r="F30" s="5" t="s">
        <v>217</v>
      </c>
      <c r="G30" s="4" t="s">
        <v>182</v>
      </c>
      <c r="H30" s="4">
        <v>3</v>
      </c>
      <c r="I30" s="4" t="s">
        <v>36</v>
      </c>
      <c r="J30" s="4" t="s">
        <v>219</v>
      </c>
      <c r="K30" s="4" t="s">
        <v>218</v>
      </c>
      <c r="L30" s="4">
        <v>10.5</v>
      </c>
      <c r="M30" s="4" t="s">
        <v>176</v>
      </c>
      <c r="N30" s="4" t="s">
        <v>187</v>
      </c>
      <c r="O30" s="4" t="s">
        <v>220</v>
      </c>
      <c r="P30" s="7">
        <f>Table3[[#This Row],[E1Y]]+AC$2</f>
        <v>2.36</v>
      </c>
      <c r="Q30" s="7">
        <f>Table3[[#This Row],[E1TY]]+AB$2</f>
        <v>2.2399999999999998</v>
      </c>
      <c r="R30" s="7">
        <f>Y$2+Z$2*(Table3[[#This Row],[Effect 1 Y]]-1)</f>
        <v>2.96</v>
      </c>
      <c r="S30" s="7">
        <f>Table3[[#This Row],[E2Y]]+AC$2</f>
        <v>2.56</v>
      </c>
      <c r="T30" s="7">
        <f>Table3[[#This Row],[E2TY]]+AB$2</f>
        <v>2.44</v>
      </c>
      <c r="U30" s="7">
        <f>Y$2+Table3[[#This Row],[Linewidth]]*(Table3[[#This Row],[Effect 2 Y]]-1)+AA$2</f>
        <v>3.16</v>
      </c>
      <c r="V30" s="7">
        <f>Table3[[#This Row],[E3Y]]+AC$2</f>
        <v>2.76</v>
      </c>
      <c r="W30" s="7">
        <f>Table3[[#This Row],[E3TY]]+AB$2</f>
        <v>2.6399999999999997</v>
      </c>
      <c r="X30" s="6">
        <f>Y$2+Table3[[#This Row],[Linewidth]]*(Table3[[#This Row],[Effect 3 Y]]-1)+2*AA$2</f>
        <v>3.36</v>
      </c>
      <c r="Y30" s="4"/>
      <c r="Z30" s="4"/>
      <c r="AA30" s="4"/>
      <c r="AB30" s="4"/>
      <c r="AC30" s="4"/>
    </row>
    <row r="31" spans="1:29" ht="30" x14ac:dyDescent="0.25">
      <c r="A31" s="4" t="s">
        <v>82</v>
      </c>
      <c r="B31" s="4" t="s">
        <v>6</v>
      </c>
      <c r="C31" s="4"/>
      <c r="D31" s="4">
        <v>1</v>
      </c>
      <c r="E31" s="5" t="s">
        <v>34</v>
      </c>
      <c r="F31" s="5" t="s">
        <v>222</v>
      </c>
      <c r="G31" s="4" t="s">
        <v>221</v>
      </c>
      <c r="H31" s="4"/>
      <c r="I31" s="4"/>
      <c r="J31" s="4"/>
      <c r="K31" s="4"/>
      <c r="L31" s="4"/>
      <c r="M31" s="4"/>
      <c r="N31" s="4"/>
      <c r="O31" s="4"/>
      <c r="P31" s="7">
        <f>Table3[[#This Row],[E1Y]]+AC$2</f>
        <v>2.36</v>
      </c>
      <c r="Q31" s="7">
        <f>Table3[[#This Row],[E1TY]]+AB$2</f>
        <v>2.2399999999999998</v>
      </c>
      <c r="R31" s="7">
        <f>Y$2+Z$2*(Table3[[#This Row],[Effect 1 Y]]-1)</f>
        <v>2.96</v>
      </c>
      <c r="S31" s="7">
        <f>Table3[[#This Row],[E2Y]]+AC$2</f>
        <v>2.56</v>
      </c>
      <c r="T31" s="7">
        <f>Table3[[#This Row],[E2TY]]+AB$2</f>
        <v>2.44</v>
      </c>
      <c r="U31" s="7">
        <f>Y$2+Table3[[#This Row],[Linewidth]]*(Table3[[#This Row],[Effect 2 Y]]-1)+AA$2</f>
        <v>3.16</v>
      </c>
      <c r="V31" s="7">
        <f>Table3[[#This Row],[E3Y]]+AC$2</f>
        <v>2.76</v>
      </c>
      <c r="W31" s="7">
        <f>Table3[[#This Row],[E3TY]]+AB$2</f>
        <v>2.6399999999999997</v>
      </c>
      <c r="X31" s="6">
        <f>Y$2+Table3[[#This Row],[Linewidth]]*(Table3[[#This Row],[Effect 3 Y]]-1)+2*AA$2</f>
        <v>3.36</v>
      </c>
      <c r="Y31" s="4"/>
      <c r="Z31" s="4"/>
      <c r="AA31" s="4"/>
      <c r="AB31" s="4"/>
      <c r="AC31" s="4"/>
    </row>
    <row r="32" spans="1:29" ht="30" x14ac:dyDescent="0.25">
      <c r="A32" s="11" t="s">
        <v>83</v>
      </c>
      <c r="B32" s="11" t="s">
        <v>6</v>
      </c>
      <c r="C32" s="11"/>
      <c r="D32" s="4">
        <v>1</v>
      </c>
      <c r="E32" s="5" t="s">
        <v>34</v>
      </c>
      <c r="F32" s="5" t="s">
        <v>223</v>
      </c>
      <c r="G32" s="11" t="s">
        <v>224</v>
      </c>
      <c r="H32" s="4"/>
      <c r="I32" s="4"/>
      <c r="J32" s="4"/>
      <c r="K32" s="11"/>
      <c r="L32" s="4"/>
      <c r="M32" s="4"/>
      <c r="N32" s="4"/>
      <c r="O32" s="11"/>
      <c r="P32" s="7">
        <f>Table3[[#This Row],[E1Y]]+AC$2</f>
        <v>2.36</v>
      </c>
      <c r="Q32" s="7">
        <f>Table3[[#This Row],[E1TY]]+AB$2</f>
        <v>2.2399999999999998</v>
      </c>
      <c r="R32" s="7">
        <f>Y$2+Z$2*(Table3[[#This Row],[Effect 1 Y]]-1)</f>
        <v>2.96</v>
      </c>
      <c r="S32" s="7">
        <f>Table3[[#This Row],[E2Y]]+AC$2</f>
        <v>2.56</v>
      </c>
      <c r="T32" s="7">
        <f>Table3[[#This Row],[E2TY]]+AB$2</f>
        <v>2.44</v>
      </c>
      <c r="U32" s="7">
        <f>Y$2+Table3[[#This Row],[Linewidth]]*(Table3[[#This Row],[Effect 2 Y]]-1)+AA$2</f>
        <v>3.16</v>
      </c>
      <c r="V32" s="7">
        <f>Table3[[#This Row],[E3Y]]+AC$2</f>
        <v>2.76</v>
      </c>
      <c r="W32" s="7">
        <f>Table3[[#This Row],[E3TY]]+AB$2</f>
        <v>2.6399999999999997</v>
      </c>
      <c r="X32" s="6">
        <f>Y$2+Table3[[#This Row],[Linewidth]]*(Table3[[#This Row],[Effect 3 Y]]-1)+2*AA$2</f>
        <v>3.36</v>
      </c>
      <c r="Y32" s="4"/>
      <c r="Z32" s="4"/>
      <c r="AA32" s="4"/>
      <c r="AB32" s="4"/>
      <c r="AC32" s="4"/>
    </row>
    <row r="33" spans="1:29" ht="75" x14ac:dyDescent="0.25">
      <c r="A33" s="4" t="s">
        <v>84</v>
      </c>
      <c r="B33" s="4" t="s">
        <v>6</v>
      </c>
      <c r="C33" s="4"/>
      <c r="D33" s="4">
        <v>1</v>
      </c>
      <c r="E33" s="5" t="s">
        <v>34</v>
      </c>
      <c r="F33" s="5" t="s">
        <v>234</v>
      </c>
      <c r="G33" s="4" t="s">
        <v>235</v>
      </c>
      <c r="H33" s="4"/>
      <c r="I33" s="4" t="s">
        <v>11</v>
      </c>
      <c r="J33" s="4"/>
      <c r="K33" s="4" t="s">
        <v>85</v>
      </c>
      <c r="L33" s="4"/>
      <c r="M33" s="4"/>
      <c r="N33" s="4"/>
      <c r="O33" s="4" t="s">
        <v>86</v>
      </c>
      <c r="P33" s="7">
        <f>Table3[[#This Row],[E1Y]]+AC$2</f>
        <v>2.36</v>
      </c>
      <c r="Q33" s="7">
        <f>Table3[[#This Row],[E1TY]]+AB$2</f>
        <v>2.2399999999999998</v>
      </c>
      <c r="R33" s="7">
        <f>Y$2+Z$2*(Table3[[#This Row],[Effect 1 Y]]-1)</f>
        <v>2.96</v>
      </c>
      <c r="S33" s="7">
        <f>Table3[[#This Row],[E2Y]]+AC$2</f>
        <v>2.56</v>
      </c>
      <c r="T33" s="7">
        <f>Table3[[#This Row],[E2TY]]+AB$2</f>
        <v>2.44</v>
      </c>
      <c r="U33" s="7">
        <f>Y$2+Table3[[#This Row],[Linewidth]]*(Table3[[#This Row],[Effect 2 Y]]-1)+AA$2</f>
        <v>3.16</v>
      </c>
      <c r="V33" s="7">
        <f>Table3[[#This Row],[E3Y]]+AC$2</f>
        <v>2.76</v>
      </c>
      <c r="W33" s="7">
        <f>Table3[[#This Row],[E3TY]]+AB$2</f>
        <v>2.6399999999999997</v>
      </c>
      <c r="X33" s="6">
        <f>Y$2+Table3[[#This Row],[Linewidth]]*(Table3[[#This Row],[Effect 3 Y]]-1)+2*AA$2</f>
        <v>3.36</v>
      </c>
      <c r="Y33" s="4"/>
      <c r="Z33" s="4"/>
      <c r="AA33" s="4"/>
      <c r="AB33" s="4"/>
      <c r="AC33" s="4"/>
    </row>
    <row r="34" spans="1:29" ht="90" x14ac:dyDescent="0.25">
      <c r="A34" s="4" t="s">
        <v>87</v>
      </c>
      <c r="B34" s="4" t="s">
        <v>6</v>
      </c>
      <c r="C34" s="4"/>
      <c r="D34" s="4">
        <v>1</v>
      </c>
      <c r="E34" s="5" t="s">
        <v>34</v>
      </c>
      <c r="F34" s="5"/>
      <c r="G34" s="4" t="s">
        <v>88</v>
      </c>
      <c r="H34" s="4"/>
      <c r="I34" s="4"/>
      <c r="J34" s="4"/>
      <c r="K34" s="4"/>
      <c r="L34" s="4"/>
      <c r="M34" s="4"/>
      <c r="N34" s="4"/>
      <c r="O34" s="4"/>
      <c r="P34" s="7">
        <f>Table3[[#This Row],[E1Y]]+AC$2</f>
        <v>2.36</v>
      </c>
      <c r="Q34" s="7">
        <f>Table3[[#This Row],[E1TY]]+AB$2</f>
        <v>2.2399999999999998</v>
      </c>
      <c r="R34" s="7">
        <f>Y$2+Z$2*(Table3[[#This Row],[Effect 1 Y]]-1)</f>
        <v>2.96</v>
      </c>
      <c r="S34" s="7">
        <f>Table3[[#This Row],[E2Y]]+AC$2</f>
        <v>2.56</v>
      </c>
      <c r="T34" s="7">
        <f>Table3[[#This Row],[E2TY]]+AB$2</f>
        <v>2.44</v>
      </c>
      <c r="U34" s="7">
        <f>Y$2+Table3[[#This Row],[Linewidth]]*(Table3[[#This Row],[Effect 2 Y]]-1)+AA$2</f>
        <v>3.16</v>
      </c>
      <c r="V34" s="7">
        <f>Table3[[#This Row],[E3Y]]+AC$2</f>
        <v>2.76</v>
      </c>
      <c r="W34" s="7">
        <f>Table3[[#This Row],[E3TY]]+AB$2</f>
        <v>2.6399999999999997</v>
      </c>
      <c r="X34" s="6">
        <f>Y$2+Table3[[#This Row],[Linewidth]]*(Table3[[#This Row],[Effect 3 Y]]-1)+2*AA$2</f>
        <v>3.36</v>
      </c>
      <c r="Y34" s="4"/>
      <c r="Z34" s="4"/>
      <c r="AA34" s="4"/>
      <c r="AB34" s="4"/>
      <c r="AC34" s="4"/>
    </row>
    <row r="35" spans="1:29" ht="60" x14ac:dyDescent="0.25">
      <c r="A35" s="4" t="s">
        <v>89</v>
      </c>
      <c r="B35" s="4" t="s">
        <v>6</v>
      </c>
      <c r="C35" s="4"/>
      <c r="D35" s="4">
        <v>1</v>
      </c>
      <c r="E35" s="5" t="s">
        <v>34</v>
      </c>
      <c r="F35" s="5"/>
      <c r="G35" s="4" t="s">
        <v>90</v>
      </c>
      <c r="H35" s="4"/>
      <c r="I35" s="4"/>
      <c r="J35" s="4"/>
      <c r="K35" s="4"/>
      <c r="L35" s="4"/>
      <c r="M35" s="4"/>
      <c r="N35" s="4"/>
      <c r="O35" s="4"/>
      <c r="P35" s="7">
        <f>Table3[[#This Row],[E1Y]]+AC$2</f>
        <v>2.36</v>
      </c>
      <c r="Q35" s="7">
        <f>Table3[[#This Row],[E1TY]]+AB$2</f>
        <v>2.2399999999999998</v>
      </c>
      <c r="R35" s="7">
        <f>Y$2+Z$2*(Table3[[#This Row],[Effect 1 Y]]-1)</f>
        <v>2.96</v>
      </c>
      <c r="S35" s="7">
        <f>Table3[[#This Row],[E2Y]]+AC$2</f>
        <v>2.56</v>
      </c>
      <c r="T35" s="7">
        <f>Table3[[#This Row],[E2TY]]+AB$2</f>
        <v>2.44</v>
      </c>
      <c r="U35" s="7">
        <f>Y$2+Table3[[#This Row],[Linewidth]]*(Table3[[#This Row],[Effect 2 Y]]-1)+AA$2</f>
        <v>3.16</v>
      </c>
      <c r="V35" s="7">
        <f>Table3[[#This Row],[E3Y]]+AC$2</f>
        <v>2.76</v>
      </c>
      <c r="W35" s="7">
        <f>Table3[[#This Row],[E3TY]]+AB$2</f>
        <v>2.6399999999999997</v>
      </c>
      <c r="X35" s="6">
        <f>Y$2+Table3[[#This Row],[Linewidth]]*(Table3[[#This Row],[Effect 3 Y]]-1)+2*AA$2</f>
        <v>3.36</v>
      </c>
      <c r="Y35" s="4"/>
      <c r="Z35" s="4"/>
      <c r="AA35" s="4"/>
      <c r="AB35" s="4"/>
      <c r="AC35" s="4"/>
    </row>
    <row r="36" spans="1:29" ht="75" x14ac:dyDescent="0.25">
      <c r="A36" s="4" t="s">
        <v>91</v>
      </c>
      <c r="B36" s="4" t="s">
        <v>6</v>
      </c>
      <c r="C36" s="4"/>
      <c r="D36" s="4">
        <v>1</v>
      </c>
      <c r="E36" s="5" t="s">
        <v>11</v>
      </c>
      <c r="F36" s="5"/>
      <c r="G36" s="4" t="s">
        <v>92</v>
      </c>
      <c r="H36" s="4"/>
      <c r="I36" s="4" t="s">
        <v>36</v>
      </c>
      <c r="J36" s="4"/>
      <c r="K36" s="4" t="s">
        <v>93</v>
      </c>
      <c r="L36" s="4"/>
      <c r="M36" s="4"/>
      <c r="N36" s="4"/>
      <c r="O36" s="4"/>
      <c r="P36" s="7">
        <f>Table3[[#This Row],[E1Y]]+AC$2</f>
        <v>2.36</v>
      </c>
      <c r="Q36" s="7">
        <f>Table3[[#This Row],[E1TY]]+AB$2</f>
        <v>2.2399999999999998</v>
      </c>
      <c r="R36" s="7">
        <f>Y$2+Z$2*(Table3[[#This Row],[Effect 1 Y]]-1)</f>
        <v>2.96</v>
      </c>
      <c r="S36" s="7">
        <f>Table3[[#This Row],[E2Y]]+AC$2</f>
        <v>2.56</v>
      </c>
      <c r="T36" s="7">
        <f>Table3[[#This Row],[E2TY]]+AB$2</f>
        <v>2.44</v>
      </c>
      <c r="U36" s="7">
        <f>Y$2+Table3[[#This Row],[Linewidth]]*(Table3[[#This Row],[Effect 2 Y]]-1)+AA$2</f>
        <v>3.16</v>
      </c>
      <c r="V36" s="7">
        <f>Table3[[#This Row],[E3Y]]+AC$2</f>
        <v>2.76</v>
      </c>
      <c r="W36" s="7">
        <f>Table3[[#This Row],[E3TY]]+AB$2</f>
        <v>2.6399999999999997</v>
      </c>
      <c r="X36" s="6">
        <f>Y$2+Table3[[#This Row],[Linewidth]]*(Table3[[#This Row],[Effect 3 Y]]-1)+2*AA$2</f>
        <v>3.36</v>
      </c>
      <c r="Y36" s="4"/>
      <c r="Z36" s="4"/>
      <c r="AA36" s="4"/>
      <c r="AB36" s="4"/>
      <c r="AC36" s="4"/>
    </row>
    <row r="37" spans="1:29" ht="75" x14ac:dyDescent="0.25">
      <c r="A37" s="11" t="s">
        <v>94</v>
      </c>
      <c r="B37" s="11" t="s">
        <v>6</v>
      </c>
      <c r="C37" s="11" t="s">
        <v>205</v>
      </c>
      <c r="D37" s="4">
        <v>1</v>
      </c>
      <c r="E37" s="5" t="s">
        <v>11</v>
      </c>
      <c r="F37" s="5"/>
      <c r="G37" s="11" t="s">
        <v>95</v>
      </c>
      <c r="H37" s="4"/>
      <c r="I37" s="4" t="s">
        <v>36</v>
      </c>
      <c r="J37" s="4"/>
      <c r="K37" s="11" t="s">
        <v>96</v>
      </c>
      <c r="L37" s="4"/>
      <c r="M37" s="4"/>
      <c r="N37" s="4"/>
      <c r="O37" s="11"/>
      <c r="P37" s="7">
        <f>Table3[[#This Row],[E1Y]]+AC$2</f>
        <v>2.36</v>
      </c>
      <c r="Q37" s="7">
        <f>Table3[[#This Row],[E1TY]]+AB$2</f>
        <v>2.2399999999999998</v>
      </c>
      <c r="R37" s="7">
        <f>Y$2+Z$2*(Table3[[#This Row],[Effect 1 Y]]-1)</f>
        <v>2.96</v>
      </c>
      <c r="S37" s="7">
        <f>Table3[[#This Row],[E2Y]]+AC$2</f>
        <v>2.56</v>
      </c>
      <c r="T37" s="7">
        <f>Table3[[#This Row],[E2TY]]+AB$2</f>
        <v>2.44</v>
      </c>
      <c r="U37" s="7">
        <f>Y$2+Table3[[#This Row],[Linewidth]]*(Table3[[#This Row],[Effect 2 Y]]-1)+AA$2</f>
        <v>3.16</v>
      </c>
      <c r="V37" s="7">
        <f>Table3[[#This Row],[E3Y]]+AC$2</f>
        <v>2.76</v>
      </c>
      <c r="W37" s="7">
        <f>Table3[[#This Row],[E3TY]]+AB$2</f>
        <v>2.6399999999999997</v>
      </c>
      <c r="X37" s="6">
        <f>Y$2+Table3[[#This Row],[Linewidth]]*(Table3[[#This Row],[Effect 3 Y]]-1)+2*AA$2</f>
        <v>3.36</v>
      </c>
      <c r="Y37" s="4"/>
      <c r="Z37" s="4"/>
      <c r="AA37" s="4"/>
      <c r="AB37" s="4"/>
      <c r="AC37" s="4"/>
    </row>
    <row r="38" spans="1:29" ht="75" x14ac:dyDescent="0.25">
      <c r="A38" s="4" t="s">
        <v>97</v>
      </c>
      <c r="B38" s="4" t="s">
        <v>6</v>
      </c>
      <c r="C38" s="4" t="s">
        <v>205</v>
      </c>
      <c r="D38" s="4">
        <v>1</v>
      </c>
      <c r="E38" s="5" t="s">
        <v>34</v>
      </c>
      <c r="F38" s="5"/>
      <c r="G38" s="4" t="s">
        <v>98</v>
      </c>
      <c r="H38" s="4"/>
      <c r="I38" s="4" t="s">
        <v>11</v>
      </c>
      <c r="J38" s="4"/>
      <c r="K38" s="4" t="s">
        <v>99</v>
      </c>
      <c r="L38" s="4"/>
      <c r="M38" s="4"/>
      <c r="N38" s="4"/>
      <c r="O38" s="4"/>
      <c r="P38" s="7">
        <f>Table3[[#This Row],[E1Y]]+AC$2</f>
        <v>2.36</v>
      </c>
      <c r="Q38" s="7">
        <f>Table3[[#This Row],[E1TY]]+AB$2</f>
        <v>2.2399999999999998</v>
      </c>
      <c r="R38" s="7">
        <f>Y$2+Z$2*(Table3[[#This Row],[Effect 1 Y]]-1)</f>
        <v>2.96</v>
      </c>
      <c r="S38" s="7">
        <f>Table3[[#This Row],[E2Y]]+AC$2</f>
        <v>2.56</v>
      </c>
      <c r="T38" s="7">
        <f>Table3[[#This Row],[E2TY]]+AB$2</f>
        <v>2.44</v>
      </c>
      <c r="U38" s="7">
        <f>Y$2+Table3[[#This Row],[Linewidth]]*(Table3[[#This Row],[Effect 2 Y]]-1)+AA$2</f>
        <v>3.16</v>
      </c>
      <c r="V38" s="7">
        <f>Table3[[#This Row],[E3Y]]+AC$2</f>
        <v>2.76</v>
      </c>
      <c r="W38" s="7">
        <f>Table3[[#This Row],[E3TY]]+AB$2</f>
        <v>2.6399999999999997</v>
      </c>
      <c r="X38" s="6">
        <f>Y$2+Table3[[#This Row],[Linewidth]]*(Table3[[#This Row],[Effect 3 Y]]-1)+2*AA$2</f>
        <v>3.36</v>
      </c>
      <c r="Y38" s="4"/>
      <c r="Z38" s="4"/>
      <c r="AA38" s="4"/>
      <c r="AB38" s="4"/>
      <c r="AC38" s="4"/>
    </row>
    <row r="39" spans="1:29" ht="60" x14ac:dyDescent="0.25">
      <c r="A39" s="4" t="s">
        <v>100</v>
      </c>
      <c r="B39" s="4" t="s">
        <v>6</v>
      </c>
      <c r="C39" s="4"/>
      <c r="D39" s="4">
        <v>1</v>
      </c>
      <c r="E39" s="5" t="s">
        <v>34</v>
      </c>
      <c r="F39" s="5"/>
      <c r="G39" s="4" t="s">
        <v>101</v>
      </c>
      <c r="H39" s="4"/>
      <c r="I39" s="4" t="s">
        <v>11</v>
      </c>
      <c r="J39" s="4"/>
      <c r="K39" s="4" t="s">
        <v>102</v>
      </c>
      <c r="L39" s="4"/>
      <c r="M39" s="4"/>
      <c r="N39" s="4"/>
      <c r="O39" s="4"/>
      <c r="P39" s="7">
        <f>Table3[[#This Row],[E1Y]]+AC$2</f>
        <v>2.36</v>
      </c>
      <c r="Q39" s="7">
        <f>Table3[[#This Row],[E1TY]]+AB$2</f>
        <v>2.2399999999999998</v>
      </c>
      <c r="R39" s="7">
        <f>Y$2+Z$2*(Table3[[#This Row],[Effect 1 Y]]-1)</f>
        <v>2.96</v>
      </c>
      <c r="S39" s="7">
        <f>Table3[[#This Row],[E2Y]]+AC$2</f>
        <v>2.56</v>
      </c>
      <c r="T39" s="7">
        <f>Table3[[#This Row],[E2TY]]+AB$2</f>
        <v>2.44</v>
      </c>
      <c r="U39" s="7">
        <f>Y$2+Table3[[#This Row],[Linewidth]]*(Table3[[#This Row],[Effect 2 Y]]-1)+AA$2</f>
        <v>3.16</v>
      </c>
      <c r="V39" s="7">
        <f>Table3[[#This Row],[E3Y]]+AC$2</f>
        <v>2.76</v>
      </c>
      <c r="W39" s="7">
        <f>Table3[[#This Row],[E3TY]]+AB$2</f>
        <v>2.6399999999999997</v>
      </c>
      <c r="X39" s="6">
        <f>Y$2+Table3[[#This Row],[Linewidth]]*(Table3[[#This Row],[Effect 3 Y]]-1)+2*AA$2</f>
        <v>3.36</v>
      </c>
      <c r="Y39" s="4"/>
      <c r="Z39" s="4"/>
      <c r="AA39" s="4"/>
      <c r="AB39" s="4"/>
      <c r="AC39" s="4"/>
    </row>
    <row r="40" spans="1:29" ht="75" x14ac:dyDescent="0.25">
      <c r="A40" s="4" t="s">
        <v>103</v>
      </c>
      <c r="B40" s="4" t="s">
        <v>6</v>
      </c>
      <c r="C40" s="4"/>
      <c r="D40" s="4">
        <v>1</v>
      </c>
      <c r="E40" s="5" t="s">
        <v>34</v>
      </c>
      <c r="F40" s="5"/>
      <c r="G40" s="4" t="s">
        <v>104</v>
      </c>
      <c r="H40" s="4"/>
      <c r="I40" s="4"/>
      <c r="J40" s="4"/>
      <c r="K40" s="4"/>
      <c r="L40" s="4"/>
      <c r="M40" s="4"/>
      <c r="N40" s="4"/>
      <c r="O40" s="4"/>
      <c r="P40" s="7">
        <f>Table3[[#This Row],[E1Y]]+AC$2</f>
        <v>2.36</v>
      </c>
      <c r="Q40" s="7">
        <f>Table3[[#This Row],[E1TY]]+AB$2</f>
        <v>2.2399999999999998</v>
      </c>
      <c r="R40" s="7">
        <f>Y$2+Z$2*(Table3[[#This Row],[Effect 1 Y]]-1)</f>
        <v>2.96</v>
      </c>
      <c r="S40" s="7">
        <f>Table3[[#This Row],[E2Y]]+AC$2</f>
        <v>2.56</v>
      </c>
      <c r="T40" s="7">
        <f>Table3[[#This Row],[E2TY]]+AB$2</f>
        <v>2.44</v>
      </c>
      <c r="U40" s="7">
        <f>Y$2+Table3[[#This Row],[Linewidth]]*(Table3[[#This Row],[Effect 2 Y]]-1)+AA$2</f>
        <v>3.16</v>
      </c>
      <c r="V40" s="7">
        <f>Table3[[#This Row],[E3Y]]+AC$2</f>
        <v>2.76</v>
      </c>
      <c r="W40" s="7">
        <f>Table3[[#This Row],[E3TY]]+AB$2</f>
        <v>2.6399999999999997</v>
      </c>
      <c r="X40" s="6">
        <f>Y$2+Table3[[#This Row],[Linewidth]]*(Table3[[#This Row],[Effect 3 Y]]-1)+2*AA$2</f>
        <v>3.36</v>
      </c>
      <c r="Y40" s="4"/>
      <c r="Z40" s="4"/>
      <c r="AA40" s="4"/>
      <c r="AB40" s="4"/>
      <c r="AC40" s="4"/>
    </row>
    <row r="41" spans="1:29" ht="60" x14ac:dyDescent="0.25">
      <c r="A41" s="4" t="s">
        <v>35</v>
      </c>
      <c r="B41" s="4" t="s">
        <v>6</v>
      </c>
      <c r="C41" s="4"/>
      <c r="D41" s="4">
        <v>1</v>
      </c>
      <c r="E41" s="4" t="s">
        <v>34</v>
      </c>
      <c r="F41" s="4" t="s">
        <v>38</v>
      </c>
      <c r="G41" s="4" t="s">
        <v>39</v>
      </c>
      <c r="H41" s="4">
        <v>5</v>
      </c>
      <c r="I41" s="4" t="s">
        <v>36</v>
      </c>
      <c r="J41" s="4" t="s">
        <v>52</v>
      </c>
      <c r="K41" s="4" t="s">
        <v>37</v>
      </c>
      <c r="L41" s="4">
        <v>5</v>
      </c>
      <c r="M41" s="4"/>
      <c r="N41" s="4"/>
      <c r="O41" s="4"/>
      <c r="P41" s="7">
        <f>Table3[[#This Row],[E1Y]]+AC$2</f>
        <v>2.36</v>
      </c>
      <c r="Q41" s="7">
        <f>Table3[[#This Row],[E1TY]]+AB$2</f>
        <v>2.2399999999999998</v>
      </c>
      <c r="R41" s="7">
        <f>Y$2+Z$2*(Table3[[#This Row],[Effect 1 Y]]-1)</f>
        <v>2.96</v>
      </c>
      <c r="S41" s="7">
        <f>Table3[[#This Row],[E2Y]]+AC$2</f>
        <v>2.56</v>
      </c>
      <c r="T41" s="7">
        <f>Table3[[#This Row],[E2TY]]+AB$2</f>
        <v>2.44</v>
      </c>
      <c r="U41" s="7">
        <f>Y$2+Table3[[#This Row],[Linewidth]]*(Table3[[#This Row],[Effect 2 Y]]-1)+AA$2</f>
        <v>3.16</v>
      </c>
      <c r="V41" s="7">
        <f>Table3[[#This Row],[E3Y]]+AC$2</f>
        <v>2.76</v>
      </c>
      <c r="W41" s="7">
        <f>Table3[[#This Row],[E3TY]]+AB$2</f>
        <v>2.6399999999999997</v>
      </c>
      <c r="X41" s="6">
        <f>Y$2+Table3[[#This Row],[Linewidth]]*(Table3[[#This Row],[Effect 3 Y]]-1)+2*AA$2</f>
        <v>3.36</v>
      </c>
      <c r="Y41" s="5"/>
      <c r="Z41" s="5"/>
      <c r="AA41" s="4"/>
      <c r="AB41" s="4"/>
      <c r="AC41" s="4"/>
    </row>
    <row r="42" spans="1:29" ht="75" x14ac:dyDescent="0.25">
      <c r="A42" s="11" t="s">
        <v>105</v>
      </c>
      <c r="B42" s="4" t="s">
        <v>6</v>
      </c>
      <c r="C42" s="11"/>
      <c r="D42" s="4">
        <v>1</v>
      </c>
      <c r="E42" s="5" t="s">
        <v>34</v>
      </c>
      <c r="F42" s="5"/>
      <c r="G42" s="11" t="s">
        <v>106</v>
      </c>
      <c r="H42" s="4"/>
      <c r="I42" s="4"/>
      <c r="J42" s="4"/>
      <c r="K42" s="11"/>
      <c r="L42" s="4"/>
      <c r="M42" s="4"/>
      <c r="N42" s="4"/>
      <c r="O42" s="11"/>
      <c r="P42" s="7">
        <f>Table3[[#This Row],[E1Y]]+AC$2</f>
        <v>2.36</v>
      </c>
      <c r="Q42" s="7">
        <f>Table3[[#This Row],[E1TY]]+AB$2</f>
        <v>2.2399999999999998</v>
      </c>
      <c r="R42" s="7">
        <f>Y$2+Z$2*(Table3[[#This Row],[Effect 1 Y]]-1)</f>
        <v>2.96</v>
      </c>
      <c r="S42" s="7">
        <f>Table3[[#This Row],[E2Y]]+AC$2</f>
        <v>2.56</v>
      </c>
      <c r="T42" s="7">
        <f>Table3[[#This Row],[E2TY]]+AB$2</f>
        <v>2.44</v>
      </c>
      <c r="U42" s="7">
        <f>Y$2+Table3[[#This Row],[Linewidth]]*(Table3[[#This Row],[Effect 2 Y]]-1)+AA$2</f>
        <v>3.16</v>
      </c>
      <c r="V42" s="7">
        <f>Table3[[#This Row],[E3Y]]+AC$2</f>
        <v>2.76</v>
      </c>
      <c r="W42" s="7">
        <f>Table3[[#This Row],[E3TY]]+AB$2</f>
        <v>2.6399999999999997</v>
      </c>
      <c r="X42" s="6">
        <f>Y$2+Table3[[#This Row],[Linewidth]]*(Table3[[#This Row],[Effect 3 Y]]-1)+2*AA$2</f>
        <v>3.36</v>
      </c>
      <c r="Y42" s="4"/>
      <c r="Z42" s="4"/>
      <c r="AA42" s="4"/>
      <c r="AB42" s="4"/>
      <c r="AC42" s="4"/>
    </row>
    <row r="43" spans="1:29" ht="60" x14ac:dyDescent="0.25">
      <c r="A43" s="4" t="s">
        <v>107</v>
      </c>
      <c r="B43" s="4" t="s">
        <v>6</v>
      </c>
      <c r="C43" s="11"/>
      <c r="D43" s="4">
        <v>1</v>
      </c>
      <c r="E43" s="5" t="s">
        <v>34</v>
      </c>
      <c r="F43" s="5"/>
      <c r="G43" s="4" t="s">
        <v>108</v>
      </c>
      <c r="H43" s="4"/>
      <c r="I43" s="4"/>
      <c r="J43" s="4"/>
      <c r="K43" s="11"/>
      <c r="L43" s="4"/>
      <c r="M43" s="4"/>
      <c r="N43" s="4"/>
      <c r="O43" s="11"/>
      <c r="P43" s="7">
        <f>Table3[[#This Row],[E1Y]]+AC$2</f>
        <v>2.36</v>
      </c>
      <c r="Q43" s="7">
        <f>Table3[[#This Row],[E1TY]]+AB$2</f>
        <v>2.2399999999999998</v>
      </c>
      <c r="R43" s="7">
        <f>Y$2+Z$2*(Table3[[#This Row],[Effect 1 Y]]-1)</f>
        <v>2.96</v>
      </c>
      <c r="S43" s="7">
        <f>Table3[[#This Row],[E2Y]]+AC$2</f>
        <v>2.56</v>
      </c>
      <c r="T43" s="7">
        <f>Table3[[#This Row],[E2TY]]+AB$2</f>
        <v>2.44</v>
      </c>
      <c r="U43" s="7">
        <f>Y$2+Table3[[#This Row],[Linewidth]]*(Table3[[#This Row],[Effect 2 Y]]-1)+AA$2</f>
        <v>3.16</v>
      </c>
      <c r="V43" s="7">
        <f>Table3[[#This Row],[E3Y]]+AC$2</f>
        <v>2.76</v>
      </c>
      <c r="W43" s="7">
        <f>Table3[[#This Row],[E3TY]]+AB$2</f>
        <v>2.6399999999999997</v>
      </c>
      <c r="X43" s="6">
        <f>Y$2+Table3[[#This Row],[Linewidth]]*(Table3[[#This Row],[Effect 3 Y]]-1)+2*AA$2</f>
        <v>3.36</v>
      </c>
      <c r="Y43" s="4"/>
      <c r="Z43" s="4"/>
      <c r="AA43" s="4"/>
      <c r="AB43" s="4"/>
      <c r="AC43" s="4"/>
    </row>
    <row r="44" spans="1:29" ht="105" x14ac:dyDescent="0.25">
      <c r="A44" s="14" t="s">
        <v>109</v>
      </c>
      <c r="B44" s="4" t="s">
        <v>6</v>
      </c>
      <c r="C44" s="11"/>
      <c r="D44" s="4">
        <v>1</v>
      </c>
      <c r="E44" s="5" t="s">
        <v>34</v>
      </c>
      <c r="F44" s="5"/>
      <c r="G44" s="14" t="s">
        <v>110</v>
      </c>
      <c r="H44" s="4"/>
      <c r="I44" s="4"/>
      <c r="J44" s="4"/>
      <c r="K44" s="11"/>
      <c r="L44" s="4"/>
      <c r="M44" s="4"/>
      <c r="N44" s="4"/>
      <c r="O44" s="11"/>
      <c r="P44" s="7">
        <f>Table3[[#This Row],[E1Y]]+AC$2</f>
        <v>2.36</v>
      </c>
      <c r="Q44" s="7">
        <f>Table3[[#This Row],[E1TY]]+AB$2</f>
        <v>2.2399999999999998</v>
      </c>
      <c r="R44" s="7">
        <f>Y$2+Z$2*(Table3[[#This Row],[Effect 1 Y]]-1)</f>
        <v>2.96</v>
      </c>
      <c r="S44" s="7">
        <f>Table3[[#This Row],[E2Y]]+AC$2</f>
        <v>2.56</v>
      </c>
      <c r="T44" s="7">
        <f>Table3[[#This Row],[E2TY]]+AB$2</f>
        <v>2.44</v>
      </c>
      <c r="U44" s="7">
        <f>Y$2+Table3[[#This Row],[Linewidth]]*(Table3[[#This Row],[Effect 2 Y]]-1)+AA$2</f>
        <v>3.16</v>
      </c>
      <c r="V44" s="7">
        <f>Table3[[#This Row],[E3Y]]+AC$2</f>
        <v>2.76</v>
      </c>
      <c r="W44" s="7">
        <f>Table3[[#This Row],[E3TY]]+AB$2</f>
        <v>2.6399999999999997</v>
      </c>
      <c r="X44" s="6">
        <f>Y$2+Table3[[#This Row],[Linewidth]]*(Table3[[#This Row],[Effect 3 Y]]-1)+2*AA$2</f>
        <v>3.36</v>
      </c>
      <c r="Y44" s="4"/>
      <c r="Z44" s="4"/>
      <c r="AA44" s="4"/>
      <c r="AB44" s="4"/>
      <c r="AC44" s="4"/>
    </row>
    <row r="45" spans="1:29" ht="45" x14ac:dyDescent="0.25">
      <c r="A45" s="14" t="s">
        <v>111</v>
      </c>
      <c r="B45" s="4" t="s">
        <v>6</v>
      </c>
      <c r="C45" s="11"/>
      <c r="D45" s="4">
        <v>1</v>
      </c>
      <c r="E45" s="5" t="s">
        <v>34</v>
      </c>
      <c r="F45" s="5"/>
      <c r="G45" s="11" t="s">
        <v>112</v>
      </c>
      <c r="H45" s="4"/>
      <c r="I45" s="4"/>
      <c r="J45" s="4"/>
      <c r="K45" s="11"/>
      <c r="L45" s="4"/>
      <c r="M45" s="4"/>
      <c r="N45" s="4"/>
      <c r="O45" s="11"/>
      <c r="P45" s="7">
        <f>Table3[[#This Row],[E1Y]]+AC$2</f>
        <v>2.36</v>
      </c>
      <c r="Q45" s="7">
        <f>Table3[[#This Row],[E1TY]]+AB$2</f>
        <v>2.2399999999999998</v>
      </c>
      <c r="R45" s="7">
        <f>Y$2+Z$2*(Table3[[#This Row],[Effect 1 Y]]-1)</f>
        <v>2.96</v>
      </c>
      <c r="S45" s="7">
        <f>Table3[[#This Row],[E2Y]]+AC$2</f>
        <v>2.56</v>
      </c>
      <c r="T45" s="7">
        <f>Table3[[#This Row],[E2TY]]+AB$2</f>
        <v>2.44</v>
      </c>
      <c r="U45" s="7">
        <f>Y$2+Table3[[#This Row],[Linewidth]]*(Table3[[#This Row],[Effect 2 Y]]-1)+AA$2</f>
        <v>3.16</v>
      </c>
      <c r="V45" s="7">
        <f>Table3[[#This Row],[E3Y]]+AC$2</f>
        <v>2.76</v>
      </c>
      <c r="W45" s="7">
        <f>Table3[[#This Row],[E3TY]]+AB$2</f>
        <v>2.6399999999999997</v>
      </c>
      <c r="X45" s="6">
        <f>Y$2+Table3[[#This Row],[Linewidth]]*(Table3[[#This Row],[Effect 3 Y]]-1)+2*AA$2</f>
        <v>3.36</v>
      </c>
      <c r="Y45" s="4"/>
      <c r="Z45" s="4"/>
      <c r="AA45" s="4"/>
      <c r="AB45" s="4"/>
      <c r="AC45" s="4"/>
    </row>
    <row r="46" spans="1:29" ht="75" x14ac:dyDescent="0.25">
      <c r="A46" s="9" t="s">
        <v>113</v>
      </c>
      <c r="B46" s="4" t="s">
        <v>6</v>
      </c>
      <c r="C46" s="11"/>
      <c r="D46" s="4">
        <v>1</v>
      </c>
      <c r="E46" s="5" t="s">
        <v>34</v>
      </c>
      <c r="F46" s="5"/>
      <c r="G46" s="11" t="s">
        <v>114</v>
      </c>
      <c r="H46" s="4"/>
      <c r="I46" s="4"/>
      <c r="J46" s="4"/>
      <c r="K46" s="11"/>
      <c r="L46" s="4"/>
      <c r="M46" s="4"/>
      <c r="N46" s="4"/>
      <c r="O46" s="11"/>
      <c r="P46" s="7">
        <f>Table3[[#This Row],[E1Y]]+AC$2</f>
        <v>2.36</v>
      </c>
      <c r="Q46" s="7">
        <f>Table3[[#This Row],[E1TY]]+AB$2</f>
        <v>2.2399999999999998</v>
      </c>
      <c r="R46" s="7">
        <f>Y$2+Z$2*(Table3[[#This Row],[Effect 1 Y]]-1)</f>
        <v>2.96</v>
      </c>
      <c r="S46" s="7">
        <f>Table3[[#This Row],[E2Y]]+AC$2</f>
        <v>2.56</v>
      </c>
      <c r="T46" s="7">
        <f>Table3[[#This Row],[E2TY]]+AB$2</f>
        <v>2.44</v>
      </c>
      <c r="U46" s="7">
        <f>Y$2+Table3[[#This Row],[Linewidth]]*(Table3[[#This Row],[Effect 2 Y]]-1)+AA$2</f>
        <v>3.16</v>
      </c>
      <c r="V46" s="7">
        <f>Table3[[#This Row],[E3Y]]+AC$2</f>
        <v>2.76</v>
      </c>
      <c r="W46" s="7">
        <f>Table3[[#This Row],[E3TY]]+AB$2</f>
        <v>2.6399999999999997</v>
      </c>
      <c r="X46" s="6">
        <f>Y$2+Table3[[#This Row],[Linewidth]]*(Table3[[#This Row],[Effect 3 Y]]-1)+2*AA$2</f>
        <v>3.36</v>
      </c>
      <c r="Y46" s="4"/>
      <c r="Z46" s="4"/>
      <c r="AA46" s="4"/>
      <c r="AB46" s="4"/>
      <c r="AC46" s="4"/>
    </row>
    <row r="47" spans="1:29" ht="75" x14ac:dyDescent="0.25">
      <c r="A47" s="14" t="s">
        <v>115</v>
      </c>
      <c r="B47" s="4" t="s">
        <v>6</v>
      </c>
      <c r="C47" s="11"/>
      <c r="D47" s="4">
        <v>1</v>
      </c>
      <c r="E47" s="5" t="s">
        <v>11</v>
      </c>
      <c r="F47" s="5"/>
      <c r="G47" s="11" t="s">
        <v>116</v>
      </c>
      <c r="H47" s="4"/>
      <c r="I47" s="4" t="s">
        <v>34</v>
      </c>
      <c r="J47" s="4"/>
      <c r="K47" s="11" t="s">
        <v>117</v>
      </c>
      <c r="L47" s="4"/>
      <c r="M47" s="4"/>
      <c r="N47" s="4"/>
      <c r="O47" s="11"/>
      <c r="P47" s="7">
        <f>Table3[[#This Row],[E1Y]]+AC$2</f>
        <v>2.36</v>
      </c>
      <c r="Q47" s="7">
        <f>Table3[[#This Row],[E1TY]]+AB$2</f>
        <v>2.2399999999999998</v>
      </c>
      <c r="R47" s="7">
        <f>Y$2+Z$2*(Table3[[#This Row],[Effect 1 Y]]-1)</f>
        <v>2.96</v>
      </c>
      <c r="S47" s="7">
        <f>Table3[[#This Row],[E2Y]]+AC$2</f>
        <v>2.56</v>
      </c>
      <c r="T47" s="7">
        <f>Table3[[#This Row],[E2TY]]+AB$2</f>
        <v>2.44</v>
      </c>
      <c r="U47" s="7">
        <f>Y$2+Table3[[#This Row],[Linewidth]]*(Table3[[#This Row],[Effect 2 Y]]-1)+AA$2</f>
        <v>3.16</v>
      </c>
      <c r="V47" s="7">
        <f>Table3[[#This Row],[E3Y]]+AC$2</f>
        <v>2.76</v>
      </c>
      <c r="W47" s="7">
        <f>Table3[[#This Row],[E3TY]]+AB$2</f>
        <v>2.6399999999999997</v>
      </c>
      <c r="X47" s="6">
        <f>Y$2+Table3[[#This Row],[Linewidth]]*(Table3[[#This Row],[Effect 3 Y]]-1)+2*AA$2</f>
        <v>3.36</v>
      </c>
      <c r="Y47" s="4"/>
      <c r="Z47" s="4"/>
      <c r="AA47" s="4"/>
      <c r="AB47" s="4"/>
      <c r="AC47" s="4"/>
    </row>
    <row r="48" spans="1:29" ht="90" x14ac:dyDescent="0.25">
      <c r="A48" s="14" t="s">
        <v>118</v>
      </c>
      <c r="B48" s="4" t="s">
        <v>6</v>
      </c>
      <c r="C48" s="11"/>
      <c r="D48" s="4">
        <v>1</v>
      </c>
      <c r="E48" s="5" t="s">
        <v>34</v>
      </c>
      <c r="F48" s="5"/>
      <c r="G48" s="14" t="s">
        <v>119</v>
      </c>
      <c r="H48" s="4"/>
      <c r="I48" s="4" t="s">
        <v>36</v>
      </c>
      <c r="J48" s="4"/>
      <c r="K48" s="14" t="s">
        <v>120</v>
      </c>
      <c r="L48" s="4"/>
      <c r="M48" s="4"/>
      <c r="N48" s="4"/>
      <c r="O48" s="11"/>
      <c r="P48" s="7">
        <f>Table3[[#This Row],[E1Y]]+AC$2</f>
        <v>2.36</v>
      </c>
      <c r="Q48" s="7">
        <f>Table3[[#This Row],[E1TY]]+AB$2</f>
        <v>2.2399999999999998</v>
      </c>
      <c r="R48" s="7">
        <f>Y$2+Z$2*(Table3[[#This Row],[Effect 1 Y]]-1)</f>
        <v>2.96</v>
      </c>
      <c r="S48" s="7">
        <f>Table3[[#This Row],[E2Y]]+AC$2</f>
        <v>2.56</v>
      </c>
      <c r="T48" s="7">
        <f>Table3[[#This Row],[E2TY]]+AB$2</f>
        <v>2.44</v>
      </c>
      <c r="U48" s="7">
        <f>Y$2+Table3[[#This Row],[Linewidth]]*(Table3[[#This Row],[Effect 2 Y]]-1)+AA$2</f>
        <v>3.16</v>
      </c>
      <c r="V48" s="7">
        <f>Table3[[#This Row],[E3Y]]+AC$2</f>
        <v>2.76</v>
      </c>
      <c r="W48" s="7">
        <f>Table3[[#This Row],[E3TY]]+AB$2</f>
        <v>2.6399999999999997</v>
      </c>
      <c r="X48" s="6">
        <f>Y$2+Table3[[#This Row],[Linewidth]]*(Table3[[#This Row],[Effect 3 Y]]-1)+2*AA$2</f>
        <v>3.36</v>
      </c>
      <c r="Y48" s="4"/>
      <c r="Z48" s="4"/>
      <c r="AA48" s="4"/>
      <c r="AB48" s="4"/>
      <c r="AC48" s="4"/>
    </row>
    <row r="49" spans="1:29" ht="60" x14ac:dyDescent="0.25">
      <c r="A49" s="13" t="s">
        <v>121</v>
      </c>
      <c r="B49" s="4" t="s">
        <v>6</v>
      </c>
      <c r="C49" s="11"/>
      <c r="D49" s="4">
        <v>1</v>
      </c>
      <c r="E49" s="5" t="s">
        <v>34</v>
      </c>
      <c r="F49" s="5"/>
      <c r="G49" s="4" t="s">
        <v>122</v>
      </c>
      <c r="H49" s="4"/>
      <c r="I49" s="4" t="s">
        <v>57</v>
      </c>
      <c r="J49" s="4"/>
      <c r="K49" s="4" t="s">
        <v>123</v>
      </c>
      <c r="L49" s="4"/>
      <c r="M49" s="4"/>
      <c r="N49" s="4"/>
      <c r="O49" s="11"/>
      <c r="P49" s="7">
        <f>Table3[[#This Row],[E1Y]]+AC$2</f>
        <v>2.36</v>
      </c>
      <c r="Q49" s="7">
        <f>Table3[[#This Row],[E1TY]]+AB$2</f>
        <v>2.2399999999999998</v>
      </c>
      <c r="R49" s="7">
        <f>Y$2+Z$2*(Table3[[#This Row],[Effect 1 Y]]-1)</f>
        <v>2.96</v>
      </c>
      <c r="S49" s="7">
        <f>Table3[[#This Row],[E2Y]]+AC$2</f>
        <v>2.56</v>
      </c>
      <c r="T49" s="7">
        <f>Table3[[#This Row],[E2TY]]+AB$2</f>
        <v>2.44</v>
      </c>
      <c r="U49" s="7">
        <f>Y$2+Table3[[#This Row],[Linewidth]]*(Table3[[#This Row],[Effect 2 Y]]-1)+AA$2</f>
        <v>3.16</v>
      </c>
      <c r="V49" s="7">
        <f>Table3[[#This Row],[E3Y]]+AC$2</f>
        <v>2.76</v>
      </c>
      <c r="W49" s="7">
        <f>Table3[[#This Row],[E3TY]]+AB$2</f>
        <v>2.6399999999999997</v>
      </c>
      <c r="X49" s="6">
        <f>Y$2+Table3[[#This Row],[Linewidth]]*(Table3[[#This Row],[Effect 3 Y]]-1)+2*AA$2</f>
        <v>3.36</v>
      </c>
      <c r="Y49" s="4"/>
      <c r="Z49" s="4"/>
      <c r="AA49" s="4"/>
      <c r="AB49" s="4"/>
      <c r="AC49" s="4"/>
    </row>
    <row r="50" spans="1:29" ht="90" x14ac:dyDescent="0.25">
      <c r="A50" s="13" t="s">
        <v>124</v>
      </c>
      <c r="B50" s="4" t="s">
        <v>6</v>
      </c>
      <c r="C50" s="11"/>
      <c r="D50" s="4">
        <v>1</v>
      </c>
      <c r="E50" s="5" t="s">
        <v>34</v>
      </c>
      <c r="F50" s="5"/>
      <c r="G50" s="4" t="s">
        <v>125</v>
      </c>
      <c r="H50" s="4"/>
      <c r="I50" s="4" t="s">
        <v>11</v>
      </c>
      <c r="J50" s="4"/>
      <c r="K50" s="4" t="s">
        <v>126</v>
      </c>
      <c r="L50" s="4"/>
      <c r="M50" s="4"/>
      <c r="N50" s="4"/>
      <c r="O50" s="11"/>
      <c r="P50" s="7">
        <f>Table3[[#This Row],[E1Y]]+AC$2</f>
        <v>2.36</v>
      </c>
      <c r="Q50" s="7">
        <f>Table3[[#This Row],[E1TY]]+AB$2</f>
        <v>2.2399999999999998</v>
      </c>
      <c r="R50" s="7">
        <f>Y$2+Z$2*(Table3[[#This Row],[Effect 1 Y]]-1)</f>
        <v>2.96</v>
      </c>
      <c r="S50" s="7">
        <f>Table3[[#This Row],[E2Y]]+AC$2</f>
        <v>2.56</v>
      </c>
      <c r="T50" s="7">
        <f>Table3[[#This Row],[E2TY]]+AB$2</f>
        <v>2.44</v>
      </c>
      <c r="U50" s="7">
        <f>Y$2+Table3[[#This Row],[Linewidth]]*(Table3[[#This Row],[Effect 2 Y]]-1)+AA$2</f>
        <v>3.16</v>
      </c>
      <c r="V50" s="7">
        <f>Table3[[#This Row],[E3Y]]+AC$2</f>
        <v>2.76</v>
      </c>
      <c r="W50" s="7">
        <f>Table3[[#This Row],[E3TY]]+AB$2</f>
        <v>2.6399999999999997</v>
      </c>
      <c r="X50" s="6">
        <f>Y$2+Table3[[#This Row],[Linewidth]]*(Table3[[#This Row],[Effect 3 Y]]-1)+2*AA$2</f>
        <v>3.36</v>
      </c>
      <c r="Y50" s="4"/>
      <c r="Z50" s="4"/>
      <c r="AA50" s="4"/>
      <c r="AB50" s="4"/>
      <c r="AC50" s="4"/>
    </row>
    <row r="51" spans="1:29" ht="60" x14ac:dyDescent="0.25">
      <c r="A51" s="9" t="s">
        <v>127</v>
      </c>
      <c r="B51" s="4" t="s">
        <v>6</v>
      </c>
      <c r="C51" s="11"/>
      <c r="D51" s="4">
        <v>1</v>
      </c>
      <c r="E51" s="5" t="s">
        <v>34</v>
      </c>
      <c r="F51" s="5"/>
      <c r="G51" s="9" t="s">
        <v>128</v>
      </c>
      <c r="H51" s="4"/>
      <c r="I51" s="4"/>
      <c r="J51" s="4"/>
      <c r="K51" s="9"/>
      <c r="L51" s="4"/>
      <c r="M51" s="4"/>
      <c r="N51" s="4"/>
      <c r="O51" s="11"/>
      <c r="P51" s="7">
        <f>Table3[[#This Row],[E1Y]]+AC$2</f>
        <v>2.36</v>
      </c>
      <c r="Q51" s="7">
        <f>Table3[[#This Row],[E1TY]]+AB$2</f>
        <v>2.2399999999999998</v>
      </c>
      <c r="R51" s="7">
        <f>Y$2+Z$2*(Table3[[#This Row],[Effect 1 Y]]-1)</f>
        <v>2.96</v>
      </c>
      <c r="S51" s="7">
        <f>Table3[[#This Row],[E2Y]]+AC$2</f>
        <v>2.56</v>
      </c>
      <c r="T51" s="7">
        <f>Table3[[#This Row],[E2TY]]+AB$2</f>
        <v>2.44</v>
      </c>
      <c r="U51" s="7">
        <f>Y$2+Table3[[#This Row],[Linewidth]]*(Table3[[#This Row],[Effect 2 Y]]-1)+AA$2</f>
        <v>3.16</v>
      </c>
      <c r="V51" s="7">
        <f>Table3[[#This Row],[E3Y]]+AC$2</f>
        <v>2.76</v>
      </c>
      <c r="W51" s="7">
        <f>Table3[[#This Row],[E3TY]]+AB$2</f>
        <v>2.6399999999999997</v>
      </c>
      <c r="X51" s="6">
        <f>Y$2+Table3[[#This Row],[Linewidth]]*(Table3[[#This Row],[Effect 3 Y]]-1)+2*AA$2</f>
        <v>3.36</v>
      </c>
      <c r="Y51" s="4"/>
      <c r="Z51" s="4"/>
      <c r="AA51" s="4"/>
      <c r="AB51" s="4"/>
      <c r="AC51" s="4"/>
    </row>
    <row r="52" spans="1:29" x14ac:dyDescent="0.25">
      <c r="A52" s="10"/>
      <c r="B52" s="4"/>
      <c r="C52" s="4"/>
      <c r="D52" s="4"/>
      <c r="E52" s="5"/>
      <c r="F52" s="5"/>
      <c r="G52" s="10"/>
      <c r="H52" s="4"/>
      <c r="I52" s="4"/>
      <c r="J52" s="4"/>
      <c r="K52" s="10"/>
      <c r="L52" s="4"/>
      <c r="M52" s="4"/>
      <c r="N52" s="4"/>
      <c r="O52" s="4"/>
      <c r="P52" s="7">
        <f>Table3[[#This Row],[E1Y]]+AC$2</f>
        <v>1.8699999999999997</v>
      </c>
      <c r="Q52" s="7">
        <f>Table3[[#This Row],[E1TY]]+AB$2</f>
        <v>1.7499999999999996</v>
      </c>
      <c r="R52" s="7">
        <f>Y$2+Z$2*(Table3[[#This Row],[Effect 1 Y]]-1)</f>
        <v>2.4699999999999998</v>
      </c>
      <c r="S52" s="7">
        <f>Table3[[#This Row],[E2Y]]+AC$2</f>
        <v>2.56</v>
      </c>
      <c r="T52" s="7">
        <f>Table3[[#This Row],[E2TY]]+AB$2</f>
        <v>2.44</v>
      </c>
      <c r="U52" s="7">
        <f>Y$2+Table3[[#This Row],[Linewidth]]*(Table3[[#This Row],[Effect 2 Y]]-1)+AA$2</f>
        <v>3.16</v>
      </c>
      <c r="V52" s="7">
        <f>Table3[[#This Row],[E3Y]]+AC$2</f>
        <v>2.76</v>
      </c>
      <c r="W52" s="7">
        <f>Table3[[#This Row],[E3TY]]+AB$2</f>
        <v>2.6399999999999997</v>
      </c>
      <c r="X52" s="6">
        <f>Y$2+Table3[[#This Row],[Linewidth]]*(Table3[[#This Row],[Effect 3 Y]]-1)+2*AA$2</f>
        <v>3.36</v>
      </c>
      <c r="Y52" s="4"/>
      <c r="Z52" s="4"/>
      <c r="AA52" s="4"/>
      <c r="AB52" s="4"/>
      <c r="AC52" s="4"/>
    </row>
    <row r="53" spans="1:29" x14ac:dyDescent="0.25">
      <c r="A53" s="10"/>
      <c r="B53" s="4"/>
      <c r="C53" s="4"/>
      <c r="D53" s="4"/>
      <c r="E53" s="5"/>
      <c r="F53" s="5"/>
      <c r="G53" s="4"/>
      <c r="H53" s="4"/>
      <c r="I53" s="4"/>
      <c r="J53" s="4"/>
      <c r="K53" s="4"/>
      <c r="L53" s="4"/>
      <c r="M53" s="4"/>
      <c r="N53" s="4"/>
      <c r="O53" s="4"/>
      <c r="P53" s="7">
        <f>Table3[[#This Row],[E1Y]]+AC$2</f>
        <v>1.8699999999999997</v>
      </c>
      <c r="Q53" s="7">
        <f>Table3[[#This Row],[E1TY]]+AB$2</f>
        <v>1.7499999999999996</v>
      </c>
      <c r="R53" s="7">
        <f>Y$2+Z$2*(Table3[[#This Row],[Effect 1 Y]]-1)</f>
        <v>2.4699999999999998</v>
      </c>
      <c r="S53" s="7">
        <f>Table3[[#This Row],[E2Y]]+AC$2</f>
        <v>2.56</v>
      </c>
      <c r="T53" s="7">
        <f>Table3[[#This Row],[E2TY]]+AB$2</f>
        <v>2.44</v>
      </c>
      <c r="U53" s="7">
        <f>Y$2+Table3[[#This Row],[Linewidth]]*(Table3[[#This Row],[Effect 2 Y]]-1)+AA$2</f>
        <v>3.16</v>
      </c>
      <c r="V53" s="7">
        <f>Table3[[#This Row],[E3Y]]+AC$2</f>
        <v>2.76</v>
      </c>
      <c r="W53" s="7">
        <f>Table3[[#This Row],[E3TY]]+AB$2</f>
        <v>2.6399999999999997</v>
      </c>
      <c r="X53" s="6">
        <f>Y$2+Table3[[#This Row],[Linewidth]]*(Table3[[#This Row],[Effect 3 Y]]-1)+2*AA$2</f>
        <v>3.36</v>
      </c>
      <c r="Y53" s="4"/>
      <c r="Z53" s="4"/>
      <c r="AA53" s="4"/>
      <c r="AB53" s="4"/>
      <c r="AC53" s="4"/>
    </row>
    <row r="54" spans="1:29" x14ac:dyDescent="0.25">
      <c r="A54" s="4"/>
      <c r="B54" s="4"/>
      <c r="C54" s="4"/>
      <c r="D54" s="4"/>
      <c r="E54" s="4"/>
      <c r="F54" s="4"/>
      <c r="H54" s="4"/>
      <c r="I54" s="4"/>
      <c r="J54" s="4"/>
      <c r="K54" s="4"/>
      <c r="L54" s="4"/>
      <c r="M54" s="4"/>
      <c r="N54" s="4"/>
      <c r="O54" s="4"/>
      <c r="P54" s="7">
        <f>Table3[[#This Row],[E1Y]]+AC$2</f>
        <v>1.8699999999999997</v>
      </c>
      <c r="Q54" s="7">
        <f>Table3[[#This Row],[E1TY]]+AB$2</f>
        <v>1.7499999999999996</v>
      </c>
      <c r="R54" s="7">
        <f>Y$2+Z$2*(Table3[[#This Row],[Effect 1 Y]]-1)</f>
        <v>2.4699999999999998</v>
      </c>
      <c r="S54" s="7">
        <f>Table3[[#This Row],[E2Y]]+AC$2</f>
        <v>2.56</v>
      </c>
      <c r="T54" s="7">
        <f>Table3[[#This Row],[E2TY]]+AB$2</f>
        <v>2.44</v>
      </c>
      <c r="U54" s="7">
        <f>Y$2+Table3[[#This Row],[Linewidth]]*(Table3[[#This Row],[Effect 2 Y]]-1)+AA$2</f>
        <v>3.16</v>
      </c>
      <c r="V54" s="7">
        <f>Table3[[#This Row],[E3Y]]+AC$2</f>
        <v>2.76</v>
      </c>
      <c r="W54" s="7">
        <f>Table3[[#This Row],[E3TY]]+AB$2</f>
        <v>2.6399999999999997</v>
      </c>
      <c r="X54" s="6">
        <f>Y$2+Table3[[#This Row],[Linewidth]]*(Table3[[#This Row],[Effect 3 Y]]-1)+2*AA$2</f>
        <v>3.36</v>
      </c>
      <c r="Y54" s="4"/>
      <c r="Z54" s="4"/>
      <c r="AA54" s="4"/>
      <c r="AB54" s="4"/>
      <c r="AC54" s="4"/>
    </row>
    <row r="55" spans="1:29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7">
        <f>Table3[[#This Row],[E1Y]]+AC$2</f>
        <v>1.8699999999999997</v>
      </c>
      <c r="Q55" s="7">
        <f>Table3[[#This Row],[E1TY]]+AB$2</f>
        <v>1.7499999999999996</v>
      </c>
      <c r="R55" s="7">
        <f>Y$2+Z$2*(Table3[[#This Row],[Effect 1 Y]]-1)</f>
        <v>2.4699999999999998</v>
      </c>
      <c r="S55" s="7">
        <f>Table3[[#This Row],[E2Y]]+AC$2</f>
        <v>2.56</v>
      </c>
      <c r="T55" s="7">
        <f>Table3[[#This Row],[E2TY]]+AB$2</f>
        <v>2.44</v>
      </c>
      <c r="U55" s="7">
        <f>Y$2+Table3[[#This Row],[Linewidth]]*(Table3[[#This Row],[Effect 2 Y]]-1)+AA$2</f>
        <v>3.16</v>
      </c>
      <c r="V55" s="7">
        <f>Table3[[#This Row],[E3Y]]+AC$2</f>
        <v>2.76</v>
      </c>
      <c r="W55" s="7">
        <f>Table3[[#This Row],[E3TY]]+AB$2</f>
        <v>2.6399999999999997</v>
      </c>
      <c r="X55" s="6">
        <f>Y$2+Table3[[#This Row],[Linewidth]]*(Table3[[#This Row],[Effect 3 Y]]-1)+2*AA$2</f>
        <v>3.36</v>
      </c>
      <c r="Y55" s="4"/>
      <c r="Z55" s="4"/>
      <c r="AA55" s="4"/>
      <c r="AB55" s="4"/>
      <c r="AC55" s="4"/>
    </row>
    <row r="56" spans="1:29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7">
        <f>Table3[[#This Row],[E1Y]]+AC$2</f>
        <v>1.8699999999999997</v>
      </c>
      <c r="Q56" s="7">
        <f>Table3[[#This Row],[E1TY]]+AB$2</f>
        <v>1.7499999999999996</v>
      </c>
      <c r="R56" s="7">
        <f>Y$2+Z$2*(Table3[[#This Row],[Effect 1 Y]]-1)</f>
        <v>2.4699999999999998</v>
      </c>
      <c r="S56" s="7">
        <f>Table3[[#This Row],[E2Y]]+AC$2</f>
        <v>2.56</v>
      </c>
      <c r="T56" s="7">
        <f>Table3[[#This Row],[E2TY]]+AB$2</f>
        <v>2.44</v>
      </c>
      <c r="U56" s="7">
        <f>Y$2+Table3[[#This Row],[Linewidth]]*(Table3[[#This Row],[Effect 2 Y]]-1)+AA$2</f>
        <v>3.16</v>
      </c>
      <c r="V56" s="7">
        <f>Table3[[#This Row],[E3Y]]+AC$2</f>
        <v>2.76</v>
      </c>
      <c r="W56" s="7">
        <f>Table3[[#This Row],[E3TY]]+AB$2</f>
        <v>2.6399999999999997</v>
      </c>
      <c r="X56" s="6">
        <f>Y$2+Table3[[#This Row],[Linewidth]]*(Table3[[#This Row],[Effect 3 Y]]-1)+2*AA$2</f>
        <v>3.36</v>
      </c>
      <c r="Y56" s="4"/>
      <c r="Z56" s="4"/>
      <c r="AA56" s="4"/>
      <c r="AB56" s="4"/>
      <c r="AC56" s="4"/>
    </row>
    <row r="57" spans="1:29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7">
        <f>Table3[[#This Row],[E1Y]]+AC$2</f>
        <v>1.8699999999999997</v>
      </c>
      <c r="Q57" s="7">
        <f>Table3[[#This Row],[E1TY]]+AB$2</f>
        <v>1.7499999999999996</v>
      </c>
      <c r="R57" s="7">
        <f>Y$2+Z$2*(Table3[[#This Row],[Effect 1 Y]]-1)</f>
        <v>2.4699999999999998</v>
      </c>
      <c r="S57" s="7">
        <f>Table3[[#This Row],[E2Y]]+AC$2</f>
        <v>2.56</v>
      </c>
      <c r="T57" s="7">
        <f>Table3[[#This Row],[E2TY]]+AB$2</f>
        <v>2.44</v>
      </c>
      <c r="U57" s="7">
        <f>Y$2+Table3[[#This Row],[Linewidth]]*(Table3[[#This Row],[Effect 2 Y]]-1)+AA$2</f>
        <v>3.16</v>
      </c>
      <c r="V57" s="7">
        <f>Table3[[#This Row],[E3Y]]+AC$2</f>
        <v>2.76</v>
      </c>
      <c r="W57" s="7">
        <f>Table3[[#This Row],[E3TY]]+AB$2</f>
        <v>2.6399999999999997</v>
      </c>
      <c r="X57" s="6">
        <f>Y$2+Table3[[#This Row],[Linewidth]]*(Table3[[#This Row],[Effect 3 Y]]-1)+2*AA$2</f>
        <v>3.36</v>
      </c>
      <c r="Y57" s="8"/>
      <c r="Z57" s="8"/>
      <c r="AA57" s="8"/>
      <c r="AB57" s="8"/>
      <c r="AC57" s="8"/>
    </row>
  </sheetData>
  <phoneticPr fontId="2" type="noConversion"/>
  <conditionalFormatting sqref="B1:B3 B8:B18 B54:B57">
    <cfRule type="containsText" dxfId="31" priority="27" operator="containsText" text="Accessory">
      <formula>NOT(ISERROR(SEARCH("Accessory",B1)))</formula>
    </cfRule>
    <cfRule type="containsText" dxfId="30" priority="28" operator="containsText" text="Armour">
      <formula>NOT(ISERROR(SEARCH("Armour",B1)))</formula>
    </cfRule>
    <cfRule type="containsText" dxfId="29" priority="29" operator="containsText" text="Equipment">
      <formula>NOT(ISERROR(SEARCH("Equipment",B1)))</formula>
    </cfRule>
    <cfRule type="containsText" dxfId="28" priority="30" operator="containsText" text="Impression">
      <formula>NOT(ISERROR(SEARCH("Impression",B1)))</formula>
    </cfRule>
    <cfRule type="containsText" dxfId="27" priority="31" operator="containsText" text="Spell">
      <formula>NOT(ISERROR(SEARCH("Spell",B1)))</formula>
    </cfRule>
  </conditionalFormatting>
  <conditionalFormatting sqref="B3">
    <cfRule type="containsText" dxfId="26" priority="21" operator="containsText" text="Accessory">
      <formula>NOT(ISERROR(SEARCH("Accessory",B3)))</formula>
    </cfRule>
    <cfRule type="containsText" dxfId="25" priority="22" operator="containsText" text="Armour">
      <formula>NOT(ISERROR(SEARCH("Armour",B3)))</formula>
    </cfRule>
    <cfRule type="containsText" dxfId="24" priority="23" operator="containsText" text="Equipment">
      <formula>NOT(ISERROR(SEARCH("Equipment",B3)))</formula>
    </cfRule>
    <cfRule type="containsText" dxfId="23" priority="24" operator="containsText" text="Impression">
      <formula>NOT(ISERROR(SEARCH("Impression",B3)))</formula>
    </cfRule>
    <cfRule type="containsText" dxfId="22" priority="25" operator="containsText" text="Spell">
      <formula>NOT(ISERROR(SEARCH("Spell",B3)))</formula>
    </cfRule>
  </conditionalFormatting>
  <conditionalFormatting sqref="B7">
    <cfRule type="containsText" dxfId="21" priority="11" operator="containsText" text="Accessory">
      <formula>NOT(ISERROR(SEARCH("Accessory",B7)))</formula>
    </cfRule>
    <cfRule type="containsText" dxfId="20" priority="12" operator="containsText" text="Armour">
      <formula>NOT(ISERROR(SEARCH("Armour",B7)))</formula>
    </cfRule>
    <cfRule type="containsText" dxfId="19" priority="13" operator="containsText" text="Equipment">
      <formula>NOT(ISERROR(SEARCH("Equipment",B7)))</formula>
    </cfRule>
    <cfRule type="containsText" dxfId="18" priority="14" operator="containsText" text="Impression">
      <formula>NOT(ISERROR(SEARCH("Impression",B7)))</formula>
    </cfRule>
    <cfRule type="containsText" dxfId="17" priority="15" operator="containsText" text="Spell">
      <formula>NOT(ISERROR(SEARCH("Spell",B7)))</formula>
    </cfRule>
  </conditionalFormatting>
  <conditionalFormatting sqref="B52:C53 B19:B51">
    <cfRule type="containsText" dxfId="16" priority="6" operator="containsText" text="Accessory">
      <formula>NOT(ISERROR(SEARCH("Accessory",B19)))</formula>
    </cfRule>
    <cfRule type="containsText" dxfId="15" priority="7" operator="containsText" text="Armour">
      <formula>NOT(ISERROR(SEARCH("Armour",B19)))</formula>
    </cfRule>
    <cfRule type="containsText" dxfId="14" priority="8" operator="containsText" text="Equipment">
      <formula>NOT(ISERROR(SEARCH("Equipment",B19)))</formula>
    </cfRule>
    <cfRule type="containsText" dxfId="13" priority="9" operator="containsText" text="Impression">
      <formula>NOT(ISERROR(SEARCH("Impression",B19)))</formula>
    </cfRule>
    <cfRule type="containsText" dxfId="12" priority="10" operator="containsText" text="Spell">
      <formula>NOT(ISERROR(SEARCH("Spell",B19)))</formula>
    </cfRule>
  </conditionalFormatting>
  <conditionalFormatting sqref="B4:B6">
    <cfRule type="containsText" dxfId="11" priority="16" operator="containsText" text="Accessory">
      <formula>NOT(ISERROR(SEARCH("Accessory",B4)))</formula>
    </cfRule>
    <cfRule type="containsText" dxfId="10" priority="17" operator="containsText" text="Armour">
      <formula>NOT(ISERROR(SEARCH("Armour",B4)))</formula>
    </cfRule>
    <cfRule type="containsText" dxfId="9" priority="18" operator="containsText" text="Equipment">
      <formula>NOT(ISERROR(SEARCH("Equipment",B4)))</formula>
    </cfRule>
    <cfRule type="containsText" dxfId="8" priority="19" operator="containsText" text="Impression">
      <formula>NOT(ISERROR(SEARCH("Impression",B4)))</formula>
    </cfRule>
    <cfRule type="containsText" dxfId="7" priority="20" operator="containsText" text="Spell">
      <formula>NOT(ISERROR(SEARCH("Spell",B4)))</formula>
    </cfRule>
  </conditionalFormatting>
  <conditionalFormatting sqref="C17">
    <cfRule type="containsText" dxfId="6" priority="1" operator="containsText" text="Accessory">
      <formula>NOT(ISERROR(SEARCH("Accessory",C17)))</formula>
    </cfRule>
    <cfRule type="containsText" dxfId="5" priority="2" operator="containsText" text="Armour">
      <formula>NOT(ISERROR(SEARCH("Armour",C17)))</formula>
    </cfRule>
    <cfRule type="containsText" dxfId="4" priority="3" operator="containsText" text="Equipment">
      <formula>NOT(ISERROR(SEARCH("Equipment",C17)))</formula>
    </cfRule>
    <cfRule type="containsText" dxfId="3" priority="4" operator="containsText" text="Impression">
      <formula>NOT(ISERROR(SEARCH("Impression",C17)))</formula>
    </cfRule>
    <cfRule type="containsText" dxfId="2" priority="5" operator="containsText" text="Spell">
      <formula>NOT(ISERROR(SEARCH("Spell",C17)))</formula>
    </cfRule>
  </conditionalFormatting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1</cp:revision>
  <dcterms:created xsi:type="dcterms:W3CDTF">2025-06-22T09:18:10Z</dcterms:created>
  <dcterms:modified xsi:type="dcterms:W3CDTF">2025-11-23T08:39:50Z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